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1"/>
  <workbookPr/>
  <xr:revisionPtr revIDLastSave="552" documentId="11_7E4E55BF84DCCEE3ED7FF6F99031F45BFA722949" xr6:coauthVersionLast="47" xr6:coauthVersionMax="47" xr10:uidLastSave="{91E6EF21-7D5A-42AA-A0F4-D39FF657D100}"/>
  <bookViews>
    <workbookView xWindow="240" yWindow="105" windowWidth="14805" windowHeight="8010" firstSheet="2" xr2:uid="{00000000-000D-0000-FFFF-FFFF00000000}"/>
  </bookViews>
  <sheets>
    <sheet name="Resumen" sheetId="1" r:id="rId1"/>
    <sheet name="Windows" sheetId="2" r:id="rId2"/>
    <sheet name="Linux" sheetId="3" r:id="rId3"/>
    <sheet name="Chromebook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3" l="1"/>
  <c r="E9" i="2"/>
  <c r="E10" i="2"/>
  <c r="E6" i="2"/>
  <c r="E10" i="3"/>
  <c r="H9" i="4"/>
  <c r="I9" i="4"/>
  <c r="G9" i="4"/>
  <c r="F11" i="4"/>
  <c r="G11" i="4"/>
  <c r="H11" i="4"/>
  <c r="I11" i="4"/>
  <c r="J11" i="4"/>
  <c r="E11" i="4"/>
  <c r="G11" i="3"/>
  <c r="H11" i="3"/>
  <c r="I11" i="3"/>
  <c r="J11" i="3"/>
  <c r="K11" i="3"/>
  <c r="F11" i="3"/>
  <c r="G11" i="2"/>
  <c r="H11" i="2"/>
  <c r="I11" i="2"/>
  <c r="J11" i="2"/>
  <c r="K11" i="2"/>
  <c r="F11" i="2"/>
  <c r="D7" i="1"/>
  <c r="K7" i="2"/>
  <c r="K9" i="2"/>
  <c r="K10" i="2"/>
  <c r="K5" i="3"/>
  <c r="K6" i="3"/>
  <c r="K7" i="3"/>
  <c r="K8" i="3"/>
  <c r="K9" i="3"/>
  <c r="K10" i="3"/>
  <c r="K12" i="3"/>
  <c r="K4" i="3"/>
  <c r="F13" i="3"/>
  <c r="E6" i="1" s="1"/>
  <c r="G13" i="3"/>
  <c r="F6" i="1" s="1"/>
  <c r="H13" i="3"/>
  <c r="G6" i="1" s="1"/>
  <c r="I13" i="3"/>
  <c r="H6" i="1" s="1"/>
  <c r="J13" i="3"/>
  <c r="I6" i="1" s="1"/>
  <c r="K13" i="3"/>
  <c r="E13" i="3"/>
  <c r="D6" i="1" s="1"/>
  <c r="J5" i="4"/>
  <c r="J6" i="4"/>
  <c r="J7" i="4"/>
  <c r="J8" i="4"/>
  <c r="J9" i="4"/>
  <c r="J10" i="4"/>
  <c r="J12" i="4"/>
  <c r="J4" i="4"/>
  <c r="E13" i="4"/>
  <c r="E7" i="1" s="1"/>
  <c r="F13" i="4"/>
  <c r="F7" i="1" s="1"/>
  <c r="G13" i="4"/>
  <c r="G7" i="1" s="1"/>
  <c r="H13" i="4"/>
  <c r="H7" i="1" s="1"/>
  <c r="I13" i="4"/>
  <c r="I7" i="1" s="1"/>
  <c r="J13" i="4"/>
  <c r="D13" i="4"/>
  <c r="K6" i="2"/>
  <c r="G8" i="2"/>
  <c r="H8" i="2"/>
  <c r="I8" i="2"/>
  <c r="J8" i="2"/>
  <c r="F8" i="2"/>
  <c r="S18" i="2"/>
  <c r="E5" i="2" s="1"/>
  <c r="K5" i="2" s="1"/>
  <c r="E4" i="2"/>
  <c r="F8" i="4"/>
  <c r="G8" i="4"/>
  <c r="H8" i="4"/>
  <c r="I8" i="4"/>
  <c r="E8" i="4"/>
  <c r="D6" i="4"/>
  <c r="D5" i="4"/>
  <c r="D4" i="4"/>
  <c r="E4" i="3"/>
  <c r="G8" i="3"/>
  <c r="H8" i="3"/>
  <c r="I8" i="3"/>
  <c r="J8" i="3"/>
  <c r="F8" i="3"/>
  <c r="E6" i="3"/>
  <c r="E5" i="3"/>
  <c r="E12" i="4"/>
  <c r="F12" i="4"/>
  <c r="G12" i="4"/>
  <c r="H12" i="4"/>
  <c r="I12" i="4"/>
  <c r="F12" i="3"/>
  <c r="G12" i="3"/>
  <c r="H12" i="3"/>
  <c r="I12" i="3"/>
  <c r="J12" i="3"/>
  <c r="J12" i="2"/>
  <c r="I12" i="2"/>
  <c r="H12" i="2"/>
  <c r="G12" i="2"/>
  <c r="F12" i="2"/>
  <c r="K12" i="2" s="1"/>
  <c r="E14" i="1"/>
  <c r="F14" i="1"/>
  <c r="G14" i="1"/>
  <c r="H14" i="1"/>
  <c r="I14" i="1"/>
  <c r="D14" i="1"/>
  <c r="J7" i="1" l="1"/>
  <c r="J6" i="1"/>
  <c r="K4" i="2"/>
  <c r="E13" i="2"/>
  <c r="D5" i="1" s="1"/>
  <c r="K8" i="2"/>
  <c r="F13" i="2"/>
  <c r="E5" i="1" s="1"/>
  <c r="J13" i="2"/>
  <c r="I5" i="1" s="1"/>
  <c r="I13" i="2"/>
  <c r="H5" i="1" s="1"/>
  <c r="H13" i="2"/>
  <c r="G5" i="1" s="1"/>
  <c r="G13" i="2"/>
  <c r="F5" i="1" s="1"/>
  <c r="D20" i="1"/>
  <c r="D21" i="1"/>
  <c r="D19" i="1"/>
  <c r="I21" i="1"/>
  <c r="I20" i="1"/>
  <c r="I19" i="1"/>
  <c r="H21" i="1"/>
  <c r="H20" i="1"/>
  <c r="H19" i="1"/>
  <c r="G21" i="1"/>
  <c r="G20" i="1"/>
  <c r="G19" i="1"/>
  <c r="F21" i="1"/>
  <c r="F20" i="1"/>
  <c r="F19" i="1"/>
  <c r="E21" i="1"/>
  <c r="E20" i="1"/>
  <c r="E19" i="1"/>
  <c r="J5" i="1" l="1"/>
  <c r="K13" i="2"/>
  <c r="J19" i="1"/>
  <c r="J21" i="1"/>
  <c r="J20" i="1"/>
</calcChain>
</file>

<file path=xl/sharedStrings.xml><?xml version="1.0" encoding="utf-8"?>
<sst xmlns="http://schemas.openxmlformats.org/spreadsheetml/2006/main" count="134" uniqueCount="66">
  <si>
    <t>Años</t>
  </si>
  <si>
    <t>TOTAL</t>
  </si>
  <si>
    <t>Windows</t>
  </si>
  <si>
    <t>Linux</t>
  </si>
  <si>
    <t>Chromebooks</t>
  </si>
  <si>
    <t>Hardware acquisition</t>
  </si>
  <si>
    <t>Purchase price of computer hardware equipment, including computers, terminals, storage, and printers</t>
  </si>
  <si>
    <t xml:space="preserve">Se utiliza un interes del </t>
  </si>
  <si>
    <t>Software acquisition</t>
  </si>
  <si>
    <t>Purchase or license of software for each user</t>
  </si>
  <si>
    <t>Installation</t>
  </si>
  <si>
    <t>Cost to install computers and software</t>
  </si>
  <si>
    <t>Training</t>
  </si>
  <si>
    <t>Cost to provide training for information systems specialists and end users</t>
  </si>
  <si>
    <t>Incremento</t>
  </si>
  <si>
    <t>Support</t>
  </si>
  <si>
    <t>Cost to provide ongoing technical support, help desks, and so forth</t>
  </si>
  <si>
    <t>Maintenance</t>
  </si>
  <si>
    <t>Cost to upgrade the hardware and software</t>
  </si>
  <si>
    <t>Infrastructure</t>
  </si>
  <si>
    <t>Cost to acquire, maintain, and support related infrastructure, such as networks and specialized equipment (including storage backup units)</t>
  </si>
  <si>
    <t>Downtime</t>
  </si>
  <si>
    <t>Cost of lost productivity if hardware or software failures cause the system to be unavailable for processing and user tasks</t>
  </si>
  <si>
    <t>Space and energy</t>
  </si>
  <si>
    <t>Real estate and utility costs for housing and providing power for the technology</t>
  </si>
  <si>
    <t>Decision FINAL</t>
  </si>
  <si>
    <t>¿Porque hemos elegido el Linux?</t>
  </si>
  <si>
    <t>Hemos elegido el Linux porque es mas asequible que el linux. Tambien hemos elegido el Linux porque el mejor Chromebook que hay en el mercado no sirve para cursar varias carreras de la Politecnica, las cuales requieren equipos potentes como la carrera de ingenieria informática que requiere un equipo con mucha RAM para abrir muchas maquinas (Hay varias asignaturas que requieren abrir mas de 4 maquinas para crear con linux y windows equipos que simulen Routers, Switchs y pcs), o como por ejemplo la carrera de arquitectura la cuál requiere equipos potentes en graficos para simular los planos de las estructuras. Entonces un equipo minimo para que puedan desarrollarse todas las carreras con todas las asignaturas de la Politecnica seria el de Windows o el de Linux. Y por lo tanto, hemos elegido ahorrar unos € con la licencia de Windows y hemos elegido Linux como nuestra opcion ideal.</t>
  </si>
  <si>
    <t>Año</t>
  </si>
  <si>
    <t>INFRAESTRUCTURE COMPONENT</t>
  </si>
  <si>
    <t>TOTAL ANUAL</t>
  </si>
  <si>
    <t>Component</t>
  </si>
  <si>
    <t>Precio</t>
  </si>
  <si>
    <t>Hardware</t>
  </si>
  <si>
    <t>El hardware necesario para que haya varias maquinas virtualizadas (Necesitara al menos 4GB de RAM por equipo virtualizado y suelen haber 4 como minimo por lo tanto 16GB de RAM pero el equipo principal necesita RAM tambien y siempre debe ser el doble al gastado (Si gastas 4GB en abrir programas, el Sistema operativo necesitara 4GB tambien para seguir funcionando correctamente) por lo tanto un equipo ideal sera como minimo 32GB de RAM) necesarias para muchas asignaturas de Informática y el hardware necesario para ejercicios graficos para arquitectura. Hemos elegido el siguiente equipo que da suficientes recursos para poder correr todo sin perder tiempo y que pueda funcionar todo correctamente según los softwares extremos que necesitan algunas carreras. El ordenador portatil sera el siguiente:  Portátil ASUS TUF Gaming F16 FX608JPR-QT002 Intel Core i7-14650HX/32GB/1TB SSD/RTX 5070/16" (https://www.pccomponentes.com/portatil-asus-tuf-gaming-f16-fx608jpr-qt002-intel-core-i7-14650hx-32gb-1tb-ssd-rtx-5070-16)</t>
  </si>
  <si>
    <t>Software</t>
  </si>
  <si>
    <t>El equipo no viene instalado el Windows 11 Pro lo adquirimos  por un precio 194,96€ por portatil, el Office asi que le instalaremos el office 2019 por 58,64€ por licencia para uso de vida del portatil (Basicamente para siempre, solo para ese equipo) (https://es.gvgmall.com/key/201810041728402402.html) (Asi que 50 licencias para 50 equipos (1 por equipo) son 2932€ y solo un unico pago hasta que cambiemos los equipos de nuevo) , despues cada alumno que use el equipo instalara el software que necesite como el VirtualBox para hacer maquinas virtuales, o el Matlab para calculos. (Tambien se podria ahorrar la licencia de Office 2019 e instalar OpenOffice que es gratuita solo tendrian que pagar el coste de instalación en una empresa externa)</t>
  </si>
  <si>
    <t>Instalación</t>
  </si>
  <si>
    <t xml:space="preserve">El coste por instalación del sotfware lo realizará el equipo informático de la UBU, si hubiera problemas lo realizará el soporte ya contratado.						</t>
  </si>
  <si>
    <t>Formación</t>
  </si>
  <si>
    <t>Al ser equipos windows, consideramos a los alumnos suficientemente forrmados.</t>
  </si>
  <si>
    <t>Soporte</t>
  </si>
  <si>
    <t>Los fallos  generales serán atendidos por el soporte informático de la UBU, el resto de falloso fuera de hora los atenderá una empresa externa.</t>
  </si>
  <si>
    <t>Mantenimiento</t>
  </si>
  <si>
    <t>El mantenimineto, que implica mas  al HW, lo consideramos como extensión de garantia por 192€ por portatil para 5 años de garantia.</t>
  </si>
  <si>
    <t>Infraestructura</t>
  </si>
  <si>
    <t>Carrito - Armario para almacenar portátiles (Necesitamos dos) (https://www.pccomponentes.com/ewent-ew1700-carrito-y-armario-de-dispositivo-portatil-negro?campaigntype=eshopping&amp;campaignchannel=shopping&amp;gad_source=1&amp;gad_campaignid=12885548290&amp;gclid=Cj0KCQjw267GBhCSARIsAOjVJ4FZM0zZpim2Dc4VGRvllj-T4iTWyMp90SOyMyAE89VGOseO-GLT3AkaAi24EALw_wcB)</t>
  </si>
  <si>
    <t>T. Inactividad</t>
  </si>
  <si>
    <t>Consideramos 1 hora por equipo al mes, ya que un equipo Windows es mas facil de manejar al usuario y sugiere menos problemas</t>
  </si>
  <si>
    <t>Espacio y Energia</t>
  </si>
  <si>
    <t>Consideramos de el coste de energia 10€ mensuales</t>
  </si>
  <si>
    <t>COMPONENT</t>
  </si>
  <si>
    <t>Licencia de Office  2019 por 58,64€ para uso de vida del portatil (Basicamente para siempre, solo para ese equipo) (https://es.gvgmall.com/key/201810041728402402.html) . Despues cada alumno que use el equipo instalara el software que necesite como el VirtualBox para hacer maquinas virtuales, o el Matlab para calculos. (Tambien se podria ahorrar la licencia de Office 2019 e instalar OpenOffice que es gratuita solo tendrian que pagar el coste de instalación en una empresa externa)</t>
  </si>
  <si>
    <t>El coste por instalación del sotfware lo hemos puesto a 12€ por equipo como decimos en la sección software, y el coste por montaje del equipo ya esta incluido en el precio del hardware.</t>
  </si>
  <si>
    <t>Los  alumnos pueden no tener formación en Linux. Necesitaran formación. Para ello hemos encontrado un curso gratuito para la formación de Linux: https://edutin.com/curso-de-linux</t>
  </si>
  <si>
    <t>Los fallos  generales serán atendidos por el soporte informático de la UBU, el resto de fallos fuera de hora los atenderá una empresa externa.</t>
  </si>
  <si>
    <t>Consideramos 2 horas por equipo al mes</t>
  </si>
  <si>
    <t>Consideramos de el coste de energia 10€ mensuales por equipo</t>
  </si>
  <si>
    <t>AÑO</t>
  </si>
  <si>
    <t>Google for Education - Recursos online para docentes y alumnos</t>
  </si>
  <si>
    <t>Portátil ASUS Chromebook Plus CX3402CBA-PQ0692 Intel Core i5-1235U/16GB/256GB UFS/14" | PcComponente | PcComponentes.com</t>
  </si>
  <si>
    <t>Se instalará OpenOffice, o cualquier distribución ofimatica gratuita.</t>
  </si>
  <si>
    <t xml:space="preserve">El coste por instalación del sotfware ya esta incluido en el precio de las licencias, y el coste por montaje del equipo ya esta incluido en el precio del hardware.														
</t>
  </si>
  <si>
    <t>Los alumnos pueden necesitar algo de formación, menos que en equipos Linux, al ser sistemas mas sencillos.</t>
  </si>
  <si>
    <t>El mantenimineto, que implica mas  al HW, lo consideramos como extensión de garantia, a partir del segundo año.</t>
  </si>
  <si>
    <t>Consideramos 2 horas por equipo al mes, ya qu este equipo necesita conexión a internet para funcionar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</si>
</sst>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9">
    <font>
      <sz val="11"/>
      <color theme="1"/>
      <name val="Aptos Narrow"/>
      <family val="2"/>
      <scheme val="minor"/>
    </font>
    <font>
      <u/>
      <sz val="11"/>
      <color theme="10"/>
      <name val="Aptos Narrow"/>
      <family val="2"/>
      <scheme val="minor"/>
    </font>
    <font>
      <b/>
      <sz val="12"/>
      <color rgb="FF104861"/>
      <name val="Times New Roman"/>
      <family val="1"/>
    </font>
    <font>
      <sz val="12"/>
      <color rgb="FF104861"/>
      <name val="Times New Roman"/>
      <family val="1"/>
    </font>
    <font>
      <sz val="11"/>
      <color rgb="FF000000"/>
      <name val="Calibri"/>
      <family val="2"/>
    </font>
    <font>
      <sz val="11"/>
      <color rgb="FF000000"/>
      <name val="Aptos Narrow"/>
      <family val="2"/>
    </font>
    <font>
      <sz val="12"/>
      <color rgb="FF000000"/>
      <name val="Aptos Narrow"/>
      <family val="2"/>
    </font>
    <font>
      <b/>
      <sz val="11"/>
      <color rgb="FF000000"/>
      <name val="Calibri"/>
      <family val="2"/>
    </font>
    <font>
      <b/>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1" fillId="0" borderId="0" xfId="1"/>
    <xf numFmtId="0" fontId="4" fillId="0" borderId="1" xfId="0" applyFont="1" applyBorder="1"/>
    <xf numFmtId="0" fontId="2" fillId="0" borderId="1" xfId="0" applyFont="1" applyBorder="1" applyAlignment="1">
      <alignment wrapText="1"/>
    </xf>
    <xf numFmtId="0" fontId="0" fillId="0" borderId="1" xfId="0" applyBorder="1"/>
    <xf numFmtId="0" fontId="3" fillId="0" borderId="1" xfId="0" applyFont="1" applyBorder="1" applyAlignment="1">
      <alignment wrapText="1"/>
    </xf>
    <xf numFmtId="0" fontId="6" fillId="0" borderId="0" xfId="0" applyFont="1"/>
    <xf numFmtId="8" fontId="4" fillId="0" borderId="6" xfId="0" applyNumberFormat="1" applyFont="1" applyBorder="1" applyAlignment="1">
      <alignment wrapText="1"/>
    </xf>
    <xf numFmtId="0" fontId="4" fillId="2" borderId="3" xfId="0" applyFont="1" applyFill="1" applyBorder="1" applyAlignment="1">
      <alignment wrapText="1"/>
    </xf>
    <xf numFmtId="0" fontId="4" fillId="2" borderId="4" xfId="0" applyFont="1" applyFill="1" applyBorder="1" applyAlignment="1">
      <alignment wrapText="1"/>
    </xf>
    <xf numFmtId="0" fontId="7" fillId="2" borderId="5" xfId="0" applyFont="1" applyFill="1" applyBorder="1" applyAlignment="1">
      <alignment wrapText="1"/>
    </xf>
    <xf numFmtId="0" fontId="7" fillId="2" borderId="2" xfId="0" applyFont="1" applyFill="1" applyBorder="1" applyAlignment="1">
      <alignment wrapText="1"/>
    </xf>
    <xf numFmtId="0" fontId="7" fillId="2" borderId="7" xfId="0" applyFont="1" applyFill="1" applyBorder="1" applyAlignment="1">
      <alignment wrapText="1"/>
    </xf>
    <xf numFmtId="0" fontId="7" fillId="2" borderId="8" xfId="0" applyFont="1" applyFill="1" applyBorder="1" applyAlignment="1">
      <alignment wrapText="1"/>
    </xf>
    <xf numFmtId="0" fontId="3" fillId="2" borderId="1" xfId="0" applyFont="1" applyFill="1" applyBorder="1" applyAlignment="1">
      <alignment wrapText="1"/>
    </xf>
    <xf numFmtId="0" fontId="4" fillId="0" borderId="1" xfId="0" applyFont="1" applyBorder="1" applyAlignment="1">
      <alignment horizontal="center" vertical="center"/>
    </xf>
    <xf numFmtId="0" fontId="0" fillId="0" borderId="12" xfId="0" applyBorder="1"/>
    <xf numFmtId="0" fontId="0" fillId="0" borderId="13" xfId="0" applyBorder="1"/>
    <xf numFmtId="0" fontId="0" fillId="0" borderId="9" xfId="0" applyBorder="1"/>
    <xf numFmtId="0" fontId="0" fillId="0" borderId="11" xfId="0" applyBorder="1"/>
    <xf numFmtId="0" fontId="4" fillId="0" borderId="12" xfId="0" applyFont="1" applyBorder="1"/>
    <xf numFmtId="0" fontId="3" fillId="2" borderId="14" xfId="0" applyFont="1" applyFill="1" applyBorder="1" applyAlignment="1">
      <alignment wrapText="1"/>
    </xf>
    <xf numFmtId="0" fontId="0" fillId="0" borderId="14" xfId="0" applyBorder="1"/>
    <xf numFmtId="0" fontId="0" fillId="0" borderId="15" xfId="0" applyBorder="1"/>
    <xf numFmtId="9" fontId="0" fillId="0" borderId="1" xfId="0" applyNumberFormat="1" applyBorder="1"/>
    <xf numFmtId="0" fontId="8" fillId="0" borderId="1" xfId="0" applyFont="1" applyBorder="1"/>
    <xf numFmtId="0" fontId="0" fillId="0" borderId="1" xfId="0" applyBorder="1" applyAlignment="1">
      <alignment horizontal="left"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wrapText="1"/>
    </xf>
    <xf numFmtId="0" fontId="5" fillId="0" borderId="1" xfId="0" applyFont="1" applyBorder="1" applyAlignment="1">
      <alignment horizontal="center" vertical="center" wrapText="1"/>
    </xf>
    <xf numFmtId="0" fontId="5" fillId="0" borderId="9" xfId="0" applyFont="1" applyBorder="1" applyAlignment="1">
      <alignment horizontal="center" vertical="center" wrapText="1"/>
    </xf>
    <xf numFmtId="4" fontId="0" fillId="0" borderId="1" xfId="0" applyNumberFormat="1" applyBorder="1"/>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edu.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N30"/>
  <sheetViews>
    <sheetView tabSelected="1" workbookViewId="0">
      <selection activeCell="J12" sqref="J12"/>
    </sheetView>
  </sheetViews>
  <sheetFormatPr defaultRowHeight="15"/>
  <cols>
    <col min="3" max="3" width="15.28515625" customWidth="1"/>
    <col min="4" max="4" width="15" customWidth="1"/>
    <col min="5" max="5" width="12.85546875" customWidth="1"/>
    <col min="6" max="6" width="21.28515625" customWidth="1"/>
    <col min="7" max="7" width="12" customWidth="1"/>
    <col min="8" max="8" width="15.85546875" customWidth="1"/>
    <col min="9" max="9" width="12.7109375" customWidth="1"/>
    <col min="10" max="10" width="13.140625" customWidth="1"/>
    <col min="13" max="13" width="19" bestFit="1" customWidth="1"/>
    <col min="14" max="14" width="118.85546875" bestFit="1" customWidth="1"/>
  </cols>
  <sheetData>
    <row r="3" spans="3:14" ht="15.75">
      <c r="C3" s="6"/>
      <c r="D3" s="6"/>
      <c r="E3" s="6"/>
      <c r="F3" s="6"/>
      <c r="G3" s="6"/>
      <c r="H3" s="6"/>
      <c r="I3" s="6"/>
      <c r="J3" s="6"/>
    </row>
    <row r="4" spans="3:14">
      <c r="C4" s="11" t="s">
        <v>0</v>
      </c>
      <c r="D4" s="8">
        <v>0</v>
      </c>
      <c r="E4" s="8">
        <v>1</v>
      </c>
      <c r="F4" s="8">
        <v>2</v>
      </c>
      <c r="G4" s="8">
        <v>3</v>
      </c>
      <c r="H4" s="8">
        <v>4</v>
      </c>
      <c r="I4" s="9">
        <v>5</v>
      </c>
      <c r="J4" s="10" t="s">
        <v>1</v>
      </c>
    </row>
    <row r="5" spans="3:14">
      <c r="C5" s="11" t="s">
        <v>2</v>
      </c>
      <c r="D5" s="7">
        <f>Windows!E13</f>
        <v>104163.86</v>
      </c>
      <c r="E5" s="7">
        <f>Windows!F13</f>
        <v>2100</v>
      </c>
      <c r="F5" s="7">
        <f>Windows!G13</f>
        <v>2100</v>
      </c>
      <c r="G5" s="7">
        <f>Windows!H13</f>
        <v>2100</v>
      </c>
      <c r="H5" s="7">
        <f>Windows!I13</f>
        <v>2100</v>
      </c>
      <c r="I5" s="7">
        <f>Windows!J13</f>
        <v>2100</v>
      </c>
      <c r="J5" s="7">
        <f>SUM(D5:I5)</f>
        <v>114663.86</v>
      </c>
    </row>
    <row r="6" spans="3:14">
      <c r="C6" s="12" t="s">
        <v>3</v>
      </c>
      <c r="D6" s="7">
        <f>Linux!E13</f>
        <v>94415.86</v>
      </c>
      <c r="E6" s="7">
        <f>Linux!F13</f>
        <v>2700</v>
      </c>
      <c r="F6" s="7">
        <f>Linux!G13</f>
        <v>2700</v>
      </c>
      <c r="G6" s="7">
        <f>Linux!H13</f>
        <v>2700</v>
      </c>
      <c r="H6" s="7">
        <f>Linux!I13</f>
        <v>2700</v>
      </c>
      <c r="I6" s="7">
        <f>Linux!J13</f>
        <v>2700</v>
      </c>
      <c r="J6" s="7">
        <f>SUM(D6:I6)</f>
        <v>107915.86</v>
      </c>
    </row>
    <row r="7" spans="3:14">
      <c r="C7" s="13" t="s">
        <v>4</v>
      </c>
      <c r="D7" s="7">
        <f>Chromebooks!D13</f>
        <v>28482</v>
      </c>
      <c r="E7" s="7">
        <f>Chromebooks!E13</f>
        <v>4942</v>
      </c>
      <c r="F7" s="7">
        <f>Chromebooks!F13</f>
        <v>3300</v>
      </c>
      <c r="G7" s="7">
        <f>Chromebooks!G13</f>
        <v>3320</v>
      </c>
      <c r="H7" s="7">
        <f>Chromebooks!H13</f>
        <v>3320</v>
      </c>
      <c r="I7" s="7">
        <f>Chromebooks!I13</f>
        <v>3320</v>
      </c>
      <c r="J7" s="7">
        <f>SUM(D7:I7)</f>
        <v>46684</v>
      </c>
    </row>
    <row r="10" spans="3:14">
      <c r="M10" s="4" t="s">
        <v>5</v>
      </c>
      <c r="N10" s="4" t="s">
        <v>6</v>
      </c>
    </row>
    <row r="11" spans="3:14">
      <c r="C11" s="25" t="s">
        <v>7</v>
      </c>
      <c r="D11" s="25"/>
      <c r="E11" s="24">
        <v>0.03</v>
      </c>
      <c r="M11" s="4" t="s">
        <v>8</v>
      </c>
      <c r="N11" s="4" t="s">
        <v>9</v>
      </c>
    </row>
    <row r="12" spans="3:14">
      <c r="M12" s="4" t="s">
        <v>10</v>
      </c>
      <c r="N12" s="4" t="s">
        <v>11</v>
      </c>
    </row>
    <row r="13" spans="3:14">
      <c r="C13" s="4" t="s">
        <v>0</v>
      </c>
      <c r="D13" s="4">
        <v>0</v>
      </c>
      <c r="E13" s="4">
        <v>1</v>
      </c>
      <c r="F13" s="4">
        <v>2</v>
      </c>
      <c r="G13" s="4">
        <v>3</v>
      </c>
      <c r="H13" s="4">
        <v>4</v>
      </c>
      <c r="I13" s="4">
        <v>5</v>
      </c>
      <c r="M13" s="4" t="s">
        <v>12</v>
      </c>
      <c r="N13" s="4" t="s">
        <v>13</v>
      </c>
    </row>
    <row r="14" spans="3:14">
      <c r="C14" s="4" t="s">
        <v>14</v>
      </c>
      <c r="D14" s="4">
        <f>(1+$E$11)^D13</f>
        <v>1</v>
      </c>
      <c r="E14" s="4">
        <f t="shared" ref="E14:I14" si="0">(1+$E$11)^E13</f>
        <v>1.03</v>
      </c>
      <c r="F14" s="4">
        <f t="shared" si="0"/>
        <v>1.0609</v>
      </c>
      <c r="G14" s="4">
        <f t="shared" si="0"/>
        <v>1.092727</v>
      </c>
      <c r="H14" s="4">
        <f t="shared" si="0"/>
        <v>1.1255088099999999</v>
      </c>
      <c r="I14" s="4">
        <f t="shared" si="0"/>
        <v>1.1592740742999998</v>
      </c>
      <c r="M14" s="4" t="s">
        <v>15</v>
      </c>
      <c r="N14" s="4" t="s">
        <v>16</v>
      </c>
    </row>
    <row r="15" spans="3:14">
      <c r="M15" s="4" t="s">
        <v>17</v>
      </c>
      <c r="N15" s="4" t="s">
        <v>18</v>
      </c>
    </row>
    <row r="16" spans="3:14">
      <c r="M16" s="4" t="s">
        <v>19</v>
      </c>
      <c r="N16" s="4" t="s">
        <v>20</v>
      </c>
    </row>
    <row r="17" spans="3:14">
      <c r="M17" s="4" t="s">
        <v>21</v>
      </c>
      <c r="N17" s="4" t="s">
        <v>22</v>
      </c>
    </row>
    <row r="18" spans="3:14">
      <c r="C18" s="11" t="s">
        <v>0</v>
      </c>
      <c r="D18" s="8">
        <v>0</v>
      </c>
      <c r="E18" s="8">
        <v>1</v>
      </c>
      <c r="F18" s="8">
        <v>2</v>
      </c>
      <c r="G18" s="8">
        <v>3</v>
      </c>
      <c r="H18" s="8">
        <v>4</v>
      </c>
      <c r="I18" s="9">
        <v>5</v>
      </c>
      <c r="J18" s="10" t="s">
        <v>1</v>
      </c>
      <c r="M18" s="4" t="s">
        <v>23</v>
      </c>
      <c r="N18" s="4" t="s">
        <v>24</v>
      </c>
    </row>
    <row r="19" spans="3:14">
      <c r="C19" s="11" t="s">
        <v>2</v>
      </c>
      <c r="D19" s="7">
        <f>D5/D$14</f>
        <v>104163.86</v>
      </c>
      <c r="E19" s="7">
        <f t="shared" ref="E19:I19" si="1">E5/E14</f>
        <v>2038.8349514563106</v>
      </c>
      <c r="F19" s="7">
        <f t="shared" si="1"/>
        <v>1979.4514091808842</v>
      </c>
      <c r="G19" s="7">
        <f t="shared" si="1"/>
        <v>1921.797484641635</v>
      </c>
      <c r="H19" s="7">
        <f t="shared" si="1"/>
        <v>1865.8228006229469</v>
      </c>
      <c r="I19" s="7">
        <f t="shared" si="1"/>
        <v>1811.4784472067447</v>
      </c>
      <c r="J19" s="7">
        <f>SUM(D19:I19)</f>
        <v>113781.24509310852</v>
      </c>
    </row>
    <row r="20" spans="3:14">
      <c r="C20" s="12" t="s">
        <v>3</v>
      </c>
      <c r="D20" s="7">
        <f t="shared" ref="D20:I21" si="2">D6/D$14</f>
        <v>94415.86</v>
      </c>
      <c r="E20" s="7">
        <f t="shared" si="2"/>
        <v>2621.3592233009708</v>
      </c>
      <c r="F20" s="7">
        <f t="shared" si="2"/>
        <v>2545.0089546611371</v>
      </c>
      <c r="G20" s="7">
        <f t="shared" si="2"/>
        <v>2470.882480253531</v>
      </c>
      <c r="H20" s="7">
        <f t="shared" si="2"/>
        <v>2398.9150293723601</v>
      </c>
      <c r="I20" s="7">
        <f t="shared" si="2"/>
        <v>2329.0437178372431</v>
      </c>
      <c r="J20" s="7">
        <f>SUM(D20:I20)</f>
        <v>106781.06940542525</v>
      </c>
    </row>
    <row r="21" spans="3:14">
      <c r="C21" s="13" t="s">
        <v>4</v>
      </c>
      <c r="D21" s="7">
        <f t="shared" si="2"/>
        <v>28482</v>
      </c>
      <c r="E21" s="7">
        <f t="shared" si="2"/>
        <v>4798.058252427184</v>
      </c>
      <c r="F21" s="7">
        <f t="shared" si="2"/>
        <v>3110.5665001413895</v>
      </c>
      <c r="G21" s="7">
        <f t="shared" si="2"/>
        <v>3038.2703090524897</v>
      </c>
      <c r="H21" s="7">
        <f t="shared" si="2"/>
        <v>2949.7769990800875</v>
      </c>
      <c r="I21" s="7">
        <f t="shared" si="2"/>
        <v>2863.8611641554248</v>
      </c>
      <c r="J21" s="7">
        <f>SUM(D21:I21)</f>
        <v>45242.533224856568</v>
      </c>
    </row>
    <row r="25" spans="3:14">
      <c r="C25" s="25" t="s">
        <v>25</v>
      </c>
      <c r="D25" s="27" t="s">
        <v>3</v>
      </c>
      <c r="E25" s="28"/>
      <c r="F25" s="28"/>
      <c r="G25" s="29"/>
    </row>
    <row r="26" spans="3:14">
      <c r="C26" s="27" t="s">
        <v>26</v>
      </c>
      <c r="D26" s="28"/>
      <c r="E26" s="28"/>
      <c r="F26" s="28"/>
      <c r="G26" s="29"/>
    </row>
    <row r="27" spans="3:14">
      <c r="C27" s="26" t="s">
        <v>27</v>
      </c>
      <c r="D27" s="26"/>
      <c r="E27" s="26"/>
      <c r="F27" s="26"/>
      <c r="G27" s="26"/>
    </row>
    <row r="28" spans="3:14">
      <c r="C28" s="26"/>
      <c r="D28" s="26"/>
      <c r="E28" s="26"/>
      <c r="F28" s="26"/>
      <c r="G28" s="26"/>
    </row>
    <row r="29" spans="3:14">
      <c r="C29" s="26"/>
      <c r="D29" s="26"/>
      <c r="E29" s="26"/>
      <c r="F29" s="26"/>
      <c r="G29" s="26"/>
    </row>
    <row r="30" spans="3:14" ht="133.5" customHeight="1">
      <c r="C30" s="26"/>
      <c r="D30" s="26"/>
      <c r="E30" s="26"/>
      <c r="F30" s="26"/>
      <c r="G30" s="26"/>
    </row>
  </sheetData>
  <mergeCells count="3">
    <mergeCell ref="C27:G30"/>
    <mergeCell ref="D25:G25"/>
    <mergeCell ref="C26:G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E816-0A07-4704-BF3C-B33C0EE251F6}">
  <dimension ref="C2:S28"/>
  <sheetViews>
    <sheetView topLeftCell="B1" workbookViewId="0">
      <selection activeCell="O27" sqref="O27"/>
    </sheetView>
  </sheetViews>
  <sheetFormatPr defaultRowHeight="15"/>
  <cols>
    <col min="3" max="3" width="48.42578125" customWidth="1"/>
  </cols>
  <sheetData>
    <row r="2" spans="3:19">
      <c r="D2" s="30" t="s">
        <v>28</v>
      </c>
      <c r="E2" s="30"/>
      <c r="F2" s="30"/>
      <c r="G2" s="30"/>
      <c r="H2" s="30"/>
      <c r="I2" s="30"/>
      <c r="J2" s="30"/>
    </row>
    <row r="3" spans="3:19">
      <c r="C3" s="3" t="s">
        <v>29</v>
      </c>
      <c r="D3" s="16"/>
      <c r="E3" s="16">
        <v>0</v>
      </c>
      <c r="F3" s="16">
        <v>1</v>
      </c>
      <c r="G3" s="16">
        <v>2</v>
      </c>
      <c r="H3" s="16">
        <v>3</v>
      </c>
      <c r="I3" s="16">
        <v>4</v>
      </c>
      <c r="J3" s="17">
        <v>5</v>
      </c>
      <c r="K3" s="4" t="s">
        <v>1</v>
      </c>
    </row>
    <row r="4" spans="3:19">
      <c r="C4" s="8" t="s">
        <v>5</v>
      </c>
      <c r="D4" s="4"/>
      <c r="E4" s="4">
        <f>50*S17</f>
        <v>79950</v>
      </c>
      <c r="F4" s="4"/>
      <c r="G4" s="4"/>
      <c r="H4" s="4"/>
      <c r="I4" s="4"/>
      <c r="J4" s="18"/>
      <c r="K4" s="16">
        <f>SUM(E4:J4)</f>
        <v>79950</v>
      </c>
    </row>
    <row r="5" spans="3:19">
      <c r="C5" s="5" t="s">
        <v>8</v>
      </c>
      <c r="D5" s="4"/>
      <c r="E5" s="4">
        <f>50*S18</f>
        <v>12680.000000000002</v>
      </c>
      <c r="F5" s="4"/>
      <c r="G5" s="4"/>
      <c r="H5" s="4"/>
      <c r="I5" s="4"/>
      <c r="J5" s="18"/>
      <c r="K5" s="16">
        <f>SUM(E5:J5)</f>
        <v>12680.000000000002</v>
      </c>
    </row>
    <row r="6" spans="3:19">
      <c r="C6" s="14" t="s">
        <v>10</v>
      </c>
      <c r="D6" s="4"/>
      <c r="E6" s="4">
        <f>S19*50</f>
        <v>600</v>
      </c>
      <c r="G6" s="4"/>
      <c r="H6" s="4"/>
      <c r="I6" s="4"/>
      <c r="J6" s="18"/>
      <c r="K6" s="16">
        <f>SUM(E6:J6)</f>
        <v>600</v>
      </c>
    </row>
    <row r="7" spans="3:19">
      <c r="C7" s="5" t="s">
        <v>12</v>
      </c>
      <c r="D7" s="4"/>
      <c r="E7" s="4"/>
      <c r="F7" s="4"/>
      <c r="G7" s="4"/>
      <c r="H7" s="4"/>
      <c r="I7" s="4"/>
      <c r="J7" s="4"/>
      <c r="K7" s="16">
        <f>SUM(E7:J7)</f>
        <v>0</v>
      </c>
    </row>
    <row r="8" spans="3:19">
      <c r="C8" s="14" t="s">
        <v>15</v>
      </c>
      <c r="D8" s="4"/>
      <c r="E8" s="4"/>
      <c r="F8" s="4">
        <f>50*$S$21</f>
        <v>1000</v>
      </c>
      <c r="G8" s="4">
        <f>50*$S$21</f>
        <v>1000</v>
      </c>
      <c r="H8" s="4">
        <f>50*$S$21</f>
        <v>1000</v>
      </c>
      <c r="I8" s="4">
        <f>50*$S$21</f>
        <v>1000</v>
      </c>
      <c r="J8" s="18">
        <f>50*$S$21</f>
        <v>1000</v>
      </c>
      <c r="K8" s="16">
        <f>SUM(E8:J8)</f>
        <v>5000</v>
      </c>
    </row>
    <row r="9" spans="3:19">
      <c r="C9" s="5" t="s">
        <v>17</v>
      </c>
      <c r="D9" s="4"/>
      <c r="E9" s="4">
        <f>S22*50</f>
        <v>9600</v>
      </c>
      <c r="F9" s="4"/>
      <c r="G9" s="4"/>
      <c r="H9" s="4"/>
      <c r="I9" s="4"/>
      <c r="J9" s="4"/>
      <c r="K9" s="16">
        <f>SUM(E9:J9)</f>
        <v>9600</v>
      </c>
    </row>
    <row r="10" spans="3:19">
      <c r="C10" s="14" t="s">
        <v>19</v>
      </c>
      <c r="D10" s="4"/>
      <c r="E10" s="4">
        <f>S23</f>
        <v>1333.86</v>
      </c>
      <c r="F10" s="4"/>
      <c r="G10" s="4"/>
      <c r="H10" s="4"/>
      <c r="I10" s="4"/>
      <c r="J10" s="18"/>
      <c r="K10" s="16">
        <f>SUM(E10:J10)</f>
        <v>1333.86</v>
      </c>
    </row>
    <row r="11" spans="3:19">
      <c r="C11" s="5" t="s">
        <v>21</v>
      </c>
      <c r="D11" s="4"/>
      <c r="E11" s="4"/>
      <c r="F11" s="4">
        <f>12*50*$S$24</f>
        <v>600</v>
      </c>
      <c r="G11" s="4">
        <f>12*50*$S$24</f>
        <v>600</v>
      </c>
      <c r="H11" s="4">
        <f>12*50*$S$24</f>
        <v>600</v>
      </c>
      <c r="I11" s="4">
        <f>12*50*$S$24</f>
        <v>600</v>
      </c>
      <c r="J11" s="4">
        <f>12*50*$S$24</f>
        <v>600</v>
      </c>
      <c r="K11" s="4">
        <f>12*50*$S$24</f>
        <v>600</v>
      </c>
    </row>
    <row r="12" spans="3:19">
      <c r="C12" s="21" t="s">
        <v>23</v>
      </c>
      <c r="D12" s="22"/>
      <c r="E12" s="22"/>
      <c r="F12" s="22">
        <f>10*50</f>
        <v>500</v>
      </c>
      <c r="G12" s="22">
        <f>10*50</f>
        <v>500</v>
      </c>
      <c r="H12" s="22">
        <f>10*50</f>
        <v>500</v>
      </c>
      <c r="I12" s="22">
        <f>10*50</f>
        <v>500</v>
      </c>
      <c r="J12" s="23">
        <f>10*50</f>
        <v>500</v>
      </c>
      <c r="K12" s="16">
        <f>SUM(E12:J12)</f>
        <v>2500</v>
      </c>
    </row>
    <row r="13" spans="3:19">
      <c r="C13" s="4" t="s">
        <v>30</v>
      </c>
      <c r="D13" s="4"/>
      <c r="E13" s="4">
        <f>SUM(E4:E12)</f>
        <v>104163.86</v>
      </c>
      <c r="F13" s="4">
        <f>SUM(F4:F12)</f>
        <v>2100</v>
      </c>
      <c r="G13" s="4">
        <f>SUM(G4:G12)</f>
        <v>2100</v>
      </c>
      <c r="H13" s="4">
        <f>SUM(H4:H12)</f>
        <v>2100</v>
      </c>
      <c r="I13" s="4">
        <f>SUM(I4:I12)</f>
        <v>2100</v>
      </c>
      <c r="J13" s="4">
        <f>SUM(J4:J12)</f>
        <v>2100</v>
      </c>
      <c r="K13" s="4">
        <f>SUM(K4:K12)</f>
        <v>112263.86</v>
      </c>
    </row>
    <row r="16" spans="3:19">
      <c r="C16" s="4" t="s">
        <v>31</v>
      </c>
      <c r="D16" s="27"/>
      <c r="E16" s="28"/>
      <c r="F16" s="28"/>
      <c r="G16" s="28"/>
      <c r="H16" s="28"/>
      <c r="I16" s="28"/>
      <c r="J16" s="28"/>
      <c r="K16" s="28"/>
      <c r="L16" s="28"/>
      <c r="M16" s="28"/>
      <c r="N16" s="28"/>
      <c r="O16" s="28"/>
      <c r="P16" s="28"/>
      <c r="Q16" s="28"/>
      <c r="R16" s="29"/>
      <c r="S16" s="19" t="s">
        <v>32</v>
      </c>
    </row>
    <row r="17" spans="3:19" ht="127.5" customHeight="1">
      <c r="C17" s="20" t="s">
        <v>33</v>
      </c>
      <c r="D17" s="32" t="s">
        <v>34</v>
      </c>
      <c r="E17" s="32"/>
      <c r="F17" s="32"/>
      <c r="G17" s="32"/>
      <c r="H17" s="32"/>
      <c r="I17" s="32"/>
      <c r="J17" s="32"/>
      <c r="K17" s="32"/>
      <c r="L17" s="32"/>
      <c r="M17" s="32"/>
      <c r="N17" s="32"/>
      <c r="O17" s="32"/>
      <c r="P17" s="32"/>
      <c r="Q17" s="32"/>
      <c r="R17" s="32"/>
      <c r="S17" s="4">
        <v>1599</v>
      </c>
    </row>
    <row r="18" spans="3:19" ht="111" customHeight="1">
      <c r="C18" s="2" t="s">
        <v>35</v>
      </c>
      <c r="D18" s="31" t="s">
        <v>36</v>
      </c>
      <c r="E18" s="33"/>
      <c r="F18" s="33"/>
      <c r="G18" s="33"/>
      <c r="H18" s="33"/>
      <c r="I18" s="33"/>
      <c r="J18" s="33"/>
      <c r="K18" s="33"/>
      <c r="L18" s="33"/>
      <c r="M18" s="33"/>
      <c r="N18" s="33"/>
      <c r="O18" s="33"/>
      <c r="P18" s="33"/>
      <c r="Q18" s="33"/>
      <c r="R18" s="33"/>
      <c r="S18" s="4">
        <f>194.96+58.64</f>
        <v>253.60000000000002</v>
      </c>
    </row>
    <row r="19" spans="3:19" ht="26.25" customHeight="1">
      <c r="C19" s="2" t="s">
        <v>37</v>
      </c>
      <c r="D19" s="31" t="s">
        <v>38</v>
      </c>
      <c r="E19" s="31"/>
      <c r="F19" s="31"/>
      <c r="G19" s="31"/>
      <c r="H19" s="31"/>
      <c r="I19" s="31"/>
      <c r="J19" s="31"/>
      <c r="K19" s="31"/>
      <c r="L19" s="31"/>
      <c r="M19" s="31"/>
      <c r="N19" s="31"/>
      <c r="O19" s="31"/>
      <c r="P19" s="31"/>
      <c r="Q19" s="31"/>
      <c r="R19" s="31"/>
      <c r="S19" s="4">
        <v>12</v>
      </c>
    </row>
    <row r="20" spans="3:19">
      <c r="C20" s="2" t="s">
        <v>39</v>
      </c>
      <c r="D20" s="31" t="s">
        <v>40</v>
      </c>
      <c r="E20" s="31"/>
      <c r="F20" s="31"/>
      <c r="G20" s="31"/>
      <c r="H20" s="31"/>
      <c r="I20" s="31"/>
      <c r="J20" s="31"/>
      <c r="K20" s="31"/>
      <c r="L20" s="31"/>
      <c r="M20" s="31"/>
      <c r="N20" s="31"/>
      <c r="O20" s="31"/>
      <c r="P20" s="31"/>
      <c r="Q20" s="31"/>
      <c r="R20" s="31"/>
      <c r="S20" s="4"/>
    </row>
    <row r="21" spans="3:19">
      <c r="C21" s="2" t="s">
        <v>41</v>
      </c>
      <c r="D21" s="33" t="s">
        <v>42</v>
      </c>
      <c r="E21" s="33"/>
      <c r="F21" s="33"/>
      <c r="G21" s="33"/>
      <c r="H21" s="33"/>
      <c r="I21" s="33"/>
      <c r="J21" s="33"/>
      <c r="K21" s="33"/>
      <c r="L21" s="33"/>
      <c r="M21" s="33"/>
      <c r="N21" s="33"/>
      <c r="O21" s="33"/>
      <c r="P21" s="33"/>
      <c r="Q21" s="33"/>
      <c r="R21" s="33"/>
      <c r="S21" s="4">
        <v>20</v>
      </c>
    </row>
    <row r="22" spans="3:19" ht="20.25" customHeight="1">
      <c r="C22" s="2" t="s">
        <v>43</v>
      </c>
      <c r="D22" s="31" t="s">
        <v>44</v>
      </c>
      <c r="E22" s="31"/>
      <c r="F22" s="31"/>
      <c r="G22" s="31"/>
      <c r="H22" s="31"/>
      <c r="I22" s="31"/>
      <c r="J22" s="31"/>
      <c r="K22" s="31"/>
      <c r="L22" s="31"/>
      <c r="M22" s="31"/>
      <c r="N22" s="31"/>
      <c r="O22" s="31"/>
      <c r="P22" s="31"/>
      <c r="Q22" s="31"/>
      <c r="R22" s="31"/>
      <c r="S22" s="4">
        <v>192</v>
      </c>
    </row>
    <row r="23" spans="3:19" ht="62.25" customHeight="1">
      <c r="C23" s="2" t="s">
        <v>45</v>
      </c>
      <c r="D23" s="31" t="s">
        <v>46</v>
      </c>
      <c r="E23" s="31"/>
      <c r="F23" s="31"/>
      <c r="G23" s="31"/>
      <c r="H23" s="31"/>
      <c r="I23" s="31"/>
      <c r="J23" s="31"/>
      <c r="K23" s="31"/>
      <c r="L23" s="31"/>
      <c r="M23" s="31"/>
      <c r="N23" s="31"/>
      <c r="O23" s="31"/>
      <c r="P23" s="31"/>
      <c r="Q23" s="31"/>
      <c r="R23" s="31"/>
      <c r="S23" s="37">
        <v>1333.86</v>
      </c>
    </row>
    <row r="24" spans="3:19">
      <c r="C24" s="2" t="s">
        <v>47</v>
      </c>
      <c r="D24" s="31" t="s">
        <v>48</v>
      </c>
      <c r="E24" s="31"/>
      <c r="F24" s="31"/>
      <c r="G24" s="31"/>
      <c r="H24" s="31"/>
      <c r="I24" s="31"/>
      <c r="J24" s="31"/>
      <c r="K24" s="31"/>
      <c r="L24" s="31"/>
      <c r="M24" s="31"/>
      <c r="N24" s="31"/>
      <c r="O24" s="31"/>
      <c r="P24" s="31"/>
      <c r="Q24" s="31"/>
      <c r="R24" s="31"/>
      <c r="S24" s="4">
        <v>1</v>
      </c>
    </row>
    <row r="25" spans="3:19">
      <c r="C25" s="2" t="s">
        <v>49</v>
      </c>
      <c r="D25" s="31" t="s">
        <v>50</v>
      </c>
      <c r="E25" s="31"/>
      <c r="F25" s="31"/>
      <c r="G25" s="31"/>
      <c r="H25" s="31"/>
      <c r="I25" s="31"/>
      <c r="J25" s="31"/>
      <c r="K25" s="31"/>
      <c r="L25" s="31"/>
      <c r="M25" s="31"/>
      <c r="N25" s="31"/>
      <c r="O25" s="31"/>
      <c r="P25" s="31"/>
      <c r="Q25" s="31"/>
      <c r="R25" s="31"/>
      <c r="S25" s="4">
        <v>10</v>
      </c>
    </row>
    <row r="28" spans="3:19">
      <c r="D28" s="26"/>
      <c r="E28" s="26"/>
      <c r="F28" s="26"/>
      <c r="G28" s="26"/>
      <c r="H28" s="26"/>
      <c r="I28" s="26"/>
      <c r="J28" s="26"/>
      <c r="K28" s="26"/>
      <c r="L28" s="26"/>
      <c r="M28" s="26"/>
      <c r="N28" s="26"/>
      <c r="O28" s="26"/>
      <c r="P28" s="26"/>
      <c r="Q28" s="26"/>
      <c r="R28" s="26"/>
    </row>
  </sheetData>
  <mergeCells count="12">
    <mergeCell ref="D16:R16"/>
    <mergeCell ref="D2:J2"/>
    <mergeCell ref="D28:R28"/>
    <mergeCell ref="D23:R23"/>
    <mergeCell ref="D24:R24"/>
    <mergeCell ref="D25:R25"/>
    <mergeCell ref="D17:R17"/>
    <mergeCell ref="D18:R18"/>
    <mergeCell ref="D19:R19"/>
    <mergeCell ref="D21:R21"/>
    <mergeCell ref="D20:R20"/>
    <mergeCell ref="D22:R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3CCA0-CA89-4EC3-B086-DB061A43CCA0}">
  <dimension ref="C2:S25"/>
  <sheetViews>
    <sheetView topLeftCell="A7" workbookViewId="0">
      <selection activeCell="S23" sqref="S23"/>
    </sheetView>
  </sheetViews>
  <sheetFormatPr defaultRowHeight="15"/>
  <cols>
    <col min="3" max="3" width="46" customWidth="1"/>
  </cols>
  <sheetData>
    <row r="2" spans="3:19">
      <c r="D2" s="30" t="s">
        <v>28</v>
      </c>
      <c r="E2" s="30"/>
      <c r="F2" s="30"/>
      <c r="G2" s="30"/>
      <c r="H2" s="30"/>
      <c r="I2" s="30"/>
      <c r="J2" s="30"/>
    </row>
    <row r="3" spans="3:19" ht="29.25">
      <c r="C3" s="3" t="s">
        <v>29</v>
      </c>
      <c r="D3" s="16"/>
      <c r="E3" s="16">
        <v>0</v>
      </c>
      <c r="F3" s="16">
        <v>1</v>
      </c>
      <c r="G3" s="16">
        <v>2</v>
      </c>
      <c r="H3" s="16">
        <v>3</v>
      </c>
      <c r="I3" s="16">
        <v>4</v>
      </c>
      <c r="J3" s="17">
        <v>5</v>
      </c>
      <c r="K3" s="4" t="s">
        <v>1</v>
      </c>
    </row>
    <row r="4" spans="3:19">
      <c r="C4" s="14" t="s">
        <v>5</v>
      </c>
      <c r="D4" s="4"/>
      <c r="E4" s="4">
        <f>50*S17</f>
        <v>79950</v>
      </c>
      <c r="F4" s="4"/>
      <c r="G4" s="4"/>
      <c r="H4" s="4"/>
      <c r="I4" s="4"/>
      <c r="J4" s="18"/>
      <c r="K4" s="4">
        <f>SUM(E4:J4)</f>
        <v>79950</v>
      </c>
    </row>
    <row r="5" spans="3:19">
      <c r="C5" s="5" t="s">
        <v>8</v>
      </c>
      <c r="D5" s="4"/>
      <c r="E5" s="4">
        <f>50*S18</f>
        <v>2932</v>
      </c>
      <c r="F5" s="4"/>
      <c r="G5" s="4"/>
      <c r="H5" s="4"/>
      <c r="I5" s="4"/>
      <c r="J5" s="18"/>
      <c r="K5" s="4">
        <f>SUM(E5:J5)</f>
        <v>2932</v>
      </c>
    </row>
    <row r="6" spans="3:19">
      <c r="C6" s="14" t="s">
        <v>10</v>
      </c>
      <c r="D6" s="4"/>
      <c r="E6" s="4">
        <f>50*S19</f>
        <v>600</v>
      </c>
      <c r="F6" s="4"/>
      <c r="G6" s="4"/>
      <c r="H6" s="4"/>
      <c r="I6" s="4"/>
      <c r="J6" s="18"/>
      <c r="K6" s="4">
        <f>SUM(E6:J6)</f>
        <v>600</v>
      </c>
    </row>
    <row r="7" spans="3:19">
      <c r="C7" s="5" t="s">
        <v>12</v>
      </c>
      <c r="D7" s="4"/>
      <c r="E7" s="4"/>
      <c r="F7" s="4"/>
      <c r="G7" s="4"/>
      <c r="H7" s="4"/>
      <c r="I7" s="4"/>
      <c r="J7" s="18"/>
      <c r="K7" s="4">
        <f>SUM(E7:J7)</f>
        <v>0</v>
      </c>
    </row>
    <row r="8" spans="3:19">
      <c r="C8" s="14" t="s">
        <v>15</v>
      </c>
      <c r="D8" s="4"/>
      <c r="E8" s="4"/>
      <c r="F8" s="4">
        <f>50*$S$21</f>
        <v>1000</v>
      </c>
      <c r="G8" s="4">
        <f>50*$S$21</f>
        <v>1000</v>
      </c>
      <c r="H8" s="4">
        <f>50*$S$21</f>
        <v>1000</v>
      </c>
      <c r="I8" s="4">
        <f>50*$S$21</f>
        <v>1000</v>
      </c>
      <c r="J8" s="18">
        <f>50*$S$21</f>
        <v>1000</v>
      </c>
      <c r="K8" s="4">
        <f>SUM(E8:J8)</f>
        <v>5000</v>
      </c>
    </row>
    <row r="9" spans="3:19">
      <c r="C9" s="5" t="s">
        <v>17</v>
      </c>
      <c r="D9" s="4"/>
      <c r="E9" s="4">
        <f>S22*50</f>
        <v>9600</v>
      </c>
      <c r="F9" s="4"/>
      <c r="G9" s="4"/>
      <c r="H9" s="4"/>
      <c r="I9" s="4"/>
      <c r="J9" s="4"/>
      <c r="K9" s="4">
        <f>SUM(E9:J9)</f>
        <v>9600</v>
      </c>
    </row>
    <row r="10" spans="3:19">
      <c r="C10" s="14" t="s">
        <v>19</v>
      </c>
      <c r="D10" s="4"/>
      <c r="E10" s="4">
        <f>S23</f>
        <v>1333.86</v>
      </c>
      <c r="F10" s="4"/>
      <c r="G10" s="4"/>
      <c r="H10" s="4"/>
      <c r="I10" s="4"/>
      <c r="J10" s="18"/>
      <c r="K10" s="4">
        <f>SUM(E10:J10)</f>
        <v>1333.86</v>
      </c>
    </row>
    <row r="11" spans="3:19">
      <c r="C11" s="5" t="s">
        <v>21</v>
      </c>
      <c r="D11" s="4"/>
      <c r="E11" s="4"/>
      <c r="F11" s="4">
        <f>12*50*$S$24</f>
        <v>1200</v>
      </c>
      <c r="G11" s="4">
        <f>12*50*$S$24</f>
        <v>1200</v>
      </c>
      <c r="H11" s="4">
        <f>12*50*$S$24</f>
        <v>1200</v>
      </c>
      <c r="I11" s="4">
        <f>12*50*$S$24</f>
        <v>1200</v>
      </c>
      <c r="J11" s="4">
        <f>12*50*$S$24</f>
        <v>1200</v>
      </c>
      <c r="K11" s="4">
        <f>12*50*$S$24</f>
        <v>1200</v>
      </c>
    </row>
    <row r="12" spans="3:19">
      <c r="C12" s="14" t="s">
        <v>23</v>
      </c>
      <c r="D12" s="4"/>
      <c r="E12" s="4"/>
      <c r="F12" s="4">
        <f>10*50</f>
        <v>500</v>
      </c>
      <c r="G12" s="4">
        <f>10*50</f>
        <v>500</v>
      </c>
      <c r="H12" s="4">
        <f>10*50</f>
        <v>500</v>
      </c>
      <c r="I12" s="4">
        <f>10*50</f>
        <v>500</v>
      </c>
      <c r="J12" s="18">
        <f>10*50</f>
        <v>500</v>
      </c>
      <c r="K12" s="4">
        <f>SUM(E12:J12)</f>
        <v>2500</v>
      </c>
    </row>
    <row r="13" spans="3:19">
      <c r="C13" s="4" t="s">
        <v>30</v>
      </c>
      <c r="D13" s="4"/>
      <c r="E13" s="4">
        <f>SUM(E4:E12)</f>
        <v>94415.86</v>
      </c>
      <c r="F13" s="4">
        <f>SUM(F4:F12)</f>
        <v>2700</v>
      </c>
      <c r="G13" s="4">
        <f>SUM(G4:G12)</f>
        <v>2700</v>
      </c>
      <c r="H13" s="4">
        <f>SUM(H4:H12)</f>
        <v>2700</v>
      </c>
      <c r="I13" s="4">
        <f>SUM(I4:I12)</f>
        <v>2700</v>
      </c>
      <c r="J13" s="4">
        <f>SUM(J4:J12)</f>
        <v>2700</v>
      </c>
      <c r="K13" s="4">
        <f>SUM(K4:K12)</f>
        <v>103115.86</v>
      </c>
    </row>
    <row r="16" spans="3:19">
      <c r="C16" s="4" t="s">
        <v>51</v>
      </c>
      <c r="D16" s="27"/>
      <c r="E16" s="28"/>
      <c r="F16" s="28"/>
      <c r="G16" s="28"/>
      <c r="H16" s="28"/>
      <c r="I16" s="28"/>
      <c r="J16" s="28"/>
      <c r="K16" s="28"/>
      <c r="L16" s="28"/>
      <c r="M16" s="28"/>
      <c r="N16" s="28"/>
      <c r="O16" s="28"/>
      <c r="P16" s="28"/>
      <c r="Q16" s="28"/>
      <c r="R16" s="28"/>
      <c r="S16" s="4" t="s">
        <v>32</v>
      </c>
    </row>
    <row r="17" spans="3:19" ht="132.75" customHeight="1">
      <c r="C17" s="15" t="s">
        <v>33</v>
      </c>
      <c r="D17" s="31" t="s">
        <v>34</v>
      </c>
      <c r="E17" s="31"/>
      <c r="F17" s="31"/>
      <c r="G17" s="31"/>
      <c r="H17" s="31"/>
      <c r="I17" s="31"/>
      <c r="J17" s="31"/>
      <c r="K17" s="31"/>
      <c r="L17" s="31"/>
      <c r="M17" s="31"/>
      <c r="N17" s="31"/>
      <c r="O17" s="31"/>
      <c r="P17" s="31"/>
      <c r="Q17" s="31"/>
      <c r="R17" s="34"/>
      <c r="S17" s="4">
        <v>1599</v>
      </c>
    </row>
    <row r="18" spans="3:19" ht="110.25" customHeight="1">
      <c r="C18" s="15" t="s">
        <v>35</v>
      </c>
      <c r="D18" s="35" t="s">
        <v>52</v>
      </c>
      <c r="E18" s="35"/>
      <c r="F18" s="35"/>
      <c r="G18" s="35"/>
      <c r="H18" s="35"/>
      <c r="I18" s="35"/>
      <c r="J18" s="35"/>
      <c r="K18" s="35"/>
      <c r="L18" s="35"/>
      <c r="M18" s="35"/>
      <c r="N18" s="35"/>
      <c r="O18" s="35"/>
      <c r="P18" s="35"/>
      <c r="Q18" s="35"/>
      <c r="R18" s="36"/>
      <c r="S18" s="4">
        <v>58.64</v>
      </c>
    </row>
    <row r="19" spans="3:19" ht="43.5" customHeight="1">
      <c r="C19" s="15" t="s">
        <v>37</v>
      </c>
      <c r="D19" s="35" t="s">
        <v>53</v>
      </c>
      <c r="E19" s="35"/>
      <c r="F19" s="35"/>
      <c r="G19" s="35"/>
      <c r="H19" s="35"/>
      <c r="I19" s="35"/>
      <c r="J19" s="35"/>
      <c r="K19" s="35"/>
      <c r="L19" s="35"/>
      <c r="M19" s="35"/>
      <c r="N19" s="35"/>
      <c r="O19" s="35"/>
      <c r="P19" s="35"/>
      <c r="Q19" s="35"/>
      <c r="R19" s="36"/>
      <c r="S19" s="4">
        <v>12</v>
      </c>
    </row>
    <row r="20" spans="3:19" ht="30.75" customHeight="1">
      <c r="C20" s="15" t="s">
        <v>39</v>
      </c>
      <c r="D20" s="31" t="s">
        <v>54</v>
      </c>
      <c r="E20" s="31"/>
      <c r="F20" s="31"/>
      <c r="G20" s="31"/>
      <c r="H20" s="31"/>
      <c r="I20" s="31"/>
      <c r="J20" s="31"/>
      <c r="K20" s="31"/>
      <c r="L20" s="31"/>
      <c r="M20" s="31"/>
      <c r="N20" s="31"/>
      <c r="O20" s="31"/>
      <c r="P20" s="31"/>
      <c r="Q20" s="31"/>
      <c r="R20" s="34"/>
      <c r="S20" s="4"/>
    </row>
    <row r="21" spans="3:19">
      <c r="C21" s="15" t="s">
        <v>41</v>
      </c>
      <c r="D21" s="30" t="s">
        <v>55</v>
      </c>
      <c r="E21" s="30"/>
      <c r="F21" s="30"/>
      <c r="G21" s="30"/>
      <c r="H21" s="30"/>
      <c r="I21" s="30"/>
      <c r="J21" s="30"/>
      <c r="K21" s="30"/>
      <c r="L21" s="30"/>
      <c r="M21" s="30"/>
      <c r="N21" s="30"/>
      <c r="O21" s="30"/>
      <c r="P21" s="30"/>
      <c r="Q21" s="30"/>
      <c r="R21" s="27"/>
      <c r="S21" s="4">
        <v>20</v>
      </c>
    </row>
    <row r="22" spans="3:19">
      <c r="C22" s="15" t="s">
        <v>43</v>
      </c>
      <c r="D22" s="30" t="s">
        <v>44</v>
      </c>
      <c r="E22" s="30"/>
      <c r="F22" s="30"/>
      <c r="G22" s="30"/>
      <c r="H22" s="30"/>
      <c r="I22" s="30"/>
      <c r="J22" s="30"/>
      <c r="K22" s="30"/>
      <c r="L22" s="30"/>
      <c r="M22" s="30"/>
      <c r="N22" s="30"/>
      <c r="O22" s="30"/>
      <c r="P22" s="30"/>
      <c r="Q22" s="30"/>
      <c r="R22" s="30"/>
      <c r="S22" s="4">
        <v>192</v>
      </c>
    </row>
    <row r="23" spans="3:19" ht="62.25" customHeight="1">
      <c r="C23" s="15" t="s">
        <v>45</v>
      </c>
      <c r="D23" s="31" t="s">
        <v>46</v>
      </c>
      <c r="E23" s="31"/>
      <c r="F23" s="31"/>
      <c r="G23" s="31"/>
      <c r="H23" s="31"/>
      <c r="I23" s="31"/>
      <c r="J23" s="31"/>
      <c r="K23" s="31"/>
      <c r="L23" s="31"/>
      <c r="M23" s="31"/>
      <c r="N23" s="31"/>
      <c r="O23" s="31"/>
      <c r="P23" s="31"/>
      <c r="Q23" s="31"/>
      <c r="R23" s="31"/>
      <c r="S23" s="37">
        <v>1333.86</v>
      </c>
    </row>
    <row r="24" spans="3:19">
      <c r="C24" s="15" t="s">
        <v>47</v>
      </c>
      <c r="D24" s="31" t="s">
        <v>56</v>
      </c>
      <c r="E24" s="31"/>
      <c r="F24" s="31"/>
      <c r="G24" s="31"/>
      <c r="H24" s="31"/>
      <c r="I24" s="31"/>
      <c r="J24" s="31"/>
      <c r="K24" s="31"/>
      <c r="L24" s="31"/>
      <c r="M24" s="31"/>
      <c r="N24" s="31"/>
      <c r="O24" s="31"/>
      <c r="P24" s="31"/>
      <c r="Q24" s="31"/>
      <c r="R24" s="34"/>
      <c r="S24" s="4">
        <v>2</v>
      </c>
    </row>
    <row r="25" spans="3:19">
      <c r="C25" s="15" t="s">
        <v>49</v>
      </c>
      <c r="D25" s="31" t="s">
        <v>57</v>
      </c>
      <c r="E25" s="31"/>
      <c r="F25" s="31"/>
      <c r="G25" s="31"/>
      <c r="H25" s="31"/>
      <c r="I25" s="31"/>
      <c r="J25" s="31"/>
      <c r="K25" s="31"/>
      <c r="L25" s="31"/>
      <c r="M25" s="31"/>
      <c r="N25" s="31"/>
      <c r="O25" s="31"/>
      <c r="P25" s="31"/>
      <c r="Q25" s="31"/>
      <c r="R25" s="34"/>
      <c r="S25" s="4">
        <v>10</v>
      </c>
    </row>
  </sheetData>
  <mergeCells count="11">
    <mergeCell ref="D16:R16"/>
    <mergeCell ref="D2:J2"/>
    <mergeCell ref="D24:R24"/>
    <mergeCell ref="D25:R25"/>
    <mergeCell ref="D17:R17"/>
    <mergeCell ref="D18:R18"/>
    <mergeCell ref="D19:R19"/>
    <mergeCell ref="D20:R20"/>
    <mergeCell ref="D21:R21"/>
    <mergeCell ref="D22:R22"/>
    <mergeCell ref="D23:R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754E7-CA54-47B6-9D56-18DA9E55E20D}">
  <dimension ref="B2:R27"/>
  <sheetViews>
    <sheetView topLeftCell="A15" workbookViewId="0">
      <selection activeCell="S25" sqref="S25"/>
    </sheetView>
  </sheetViews>
  <sheetFormatPr defaultRowHeight="15"/>
  <cols>
    <col min="2" max="2" width="40.140625" customWidth="1"/>
  </cols>
  <sheetData>
    <row r="2" spans="2:10">
      <c r="C2" s="30" t="s">
        <v>58</v>
      </c>
      <c r="D2" s="30"/>
      <c r="E2" s="30"/>
      <c r="F2" s="30"/>
      <c r="G2" s="30"/>
      <c r="H2" s="30"/>
      <c r="I2" s="30"/>
    </row>
    <row r="3" spans="2:10" ht="29.25">
      <c r="B3" s="3" t="s">
        <v>29</v>
      </c>
      <c r="C3" s="16"/>
      <c r="D3" s="16">
        <v>0</v>
      </c>
      <c r="E3" s="16">
        <v>1</v>
      </c>
      <c r="F3" s="16">
        <v>2</v>
      </c>
      <c r="G3" s="16">
        <v>3</v>
      </c>
      <c r="H3" s="16">
        <v>4</v>
      </c>
      <c r="I3" s="17">
        <v>5</v>
      </c>
      <c r="J3" s="4" t="s">
        <v>1</v>
      </c>
    </row>
    <row r="4" spans="2:10">
      <c r="B4" s="14" t="s">
        <v>5</v>
      </c>
      <c r="C4" s="4"/>
      <c r="D4" s="4">
        <f>R19*50</f>
        <v>24950</v>
      </c>
      <c r="E4" s="4"/>
      <c r="F4" s="4"/>
      <c r="G4" s="4"/>
      <c r="H4" s="4"/>
      <c r="I4" s="18"/>
      <c r="J4" s="4">
        <f>SUM(D4:I4)</f>
        <v>24950</v>
      </c>
    </row>
    <row r="5" spans="2:10">
      <c r="B5" s="5" t="s">
        <v>8</v>
      </c>
      <c r="C5" s="4"/>
      <c r="D5" s="4">
        <f>R20*50</f>
        <v>2932</v>
      </c>
      <c r="E5" s="4"/>
      <c r="F5" s="4"/>
      <c r="G5" s="4"/>
      <c r="H5" s="4"/>
      <c r="I5" s="18"/>
      <c r="J5" s="4">
        <f>SUM(D5:I5)</f>
        <v>2932</v>
      </c>
    </row>
    <row r="6" spans="2:10">
      <c r="B6" s="14" t="s">
        <v>10</v>
      </c>
      <c r="C6" s="4"/>
      <c r="D6" s="4">
        <f>50*R21</f>
        <v>600</v>
      </c>
      <c r="E6" s="4"/>
      <c r="F6" s="4"/>
      <c r="G6" s="4"/>
      <c r="H6" s="4"/>
      <c r="I6" s="18"/>
      <c r="J6" s="4">
        <f>SUM(D6:I6)</f>
        <v>600</v>
      </c>
    </row>
    <row r="7" spans="2:10">
      <c r="B7" s="5" t="s">
        <v>12</v>
      </c>
      <c r="C7" s="4"/>
      <c r="D7" s="4"/>
      <c r="E7" s="4"/>
      <c r="F7" s="4"/>
      <c r="G7" s="4"/>
      <c r="H7" s="4"/>
      <c r="I7" s="18"/>
      <c r="J7" s="4">
        <f>SUM(D7:I7)</f>
        <v>0</v>
      </c>
    </row>
    <row r="8" spans="2:10">
      <c r="B8" s="14" t="s">
        <v>15</v>
      </c>
      <c r="C8" s="4"/>
      <c r="D8" s="4"/>
      <c r="E8" s="4">
        <f>50*$R$23</f>
        <v>1000</v>
      </c>
      <c r="F8" s="4">
        <f>50*$R$23</f>
        <v>1000</v>
      </c>
      <c r="G8" s="4">
        <f>50*$R$23</f>
        <v>1000</v>
      </c>
      <c r="H8" s="4">
        <f>50*$R$23</f>
        <v>1000</v>
      </c>
      <c r="I8" s="4">
        <f>50*$R$23</f>
        <v>1000</v>
      </c>
      <c r="J8" s="4">
        <f>SUM(D8:I8)</f>
        <v>5000</v>
      </c>
    </row>
    <row r="9" spans="2:10">
      <c r="B9" s="5" t="s">
        <v>17</v>
      </c>
      <c r="C9" s="4"/>
      <c r="D9" s="4"/>
      <c r="E9" s="4"/>
      <c r="F9" s="4"/>
      <c r="G9" s="4">
        <f>$R$24</f>
        <v>20</v>
      </c>
      <c r="H9" s="4">
        <f>$R$24</f>
        <v>20</v>
      </c>
      <c r="I9" s="4">
        <f>$R$24</f>
        <v>20</v>
      </c>
      <c r="J9" s="4">
        <f>SUM(D9:I9)</f>
        <v>60</v>
      </c>
    </row>
    <row r="10" spans="2:10">
      <c r="B10" s="14" t="s">
        <v>19</v>
      </c>
      <c r="C10" s="4"/>
      <c r="D10" s="4"/>
      <c r="E10" s="4">
        <v>1642</v>
      </c>
      <c r="F10" s="4"/>
      <c r="G10" s="4"/>
      <c r="H10" s="4"/>
      <c r="I10" s="18"/>
      <c r="J10" s="4">
        <f>SUM(D10:I10)</f>
        <v>1642</v>
      </c>
    </row>
    <row r="11" spans="2:10">
      <c r="B11" s="5" t="s">
        <v>21</v>
      </c>
      <c r="C11" s="4"/>
      <c r="D11" s="4"/>
      <c r="E11" s="4">
        <f>12*50*$R$26</f>
        <v>1800</v>
      </c>
      <c r="F11" s="4">
        <f>12*50*$R$26</f>
        <v>1800</v>
      </c>
      <c r="G11" s="4">
        <f>12*50*$R$26</f>
        <v>1800</v>
      </c>
      <c r="H11" s="4">
        <f>12*50*$R$26</f>
        <v>1800</v>
      </c>
      <c r="I11" s="4">
        <f>12*50*$R$26</f>
        <v>1800</v>
      </c>
      <c r="J11" s="4">
        <f>12*50*$R$26</f>
        <v>1800</v>
      </c>
    </row>
    <row r="12" spans="2:10">
      <c r="B12" s="14" t="s">
        <v>23</v>
      </c>
      <c r="C12" s="4"/>
      <c r="D12" s="4"/>
      <c r="E12" s="4">
        <f>10*50</f>
        <v>500</v>
      </c>
      <c r="F12" s="4">
        <f>10*50</f>
        <v>500</v>
      </c>
      <c r="G12" s="4">
        <f>10*50</f>
        <v>500</v>
      </c>
      <c r="H12" s="4">
        <f>10*50</f>
        <v>500</v>
      </c>
      <c r="I12" s="18">
        <f>10*50</f>
        <v>500</v>
      </c>
      <c r="J12" s="4">
        <f>SUM(D12:I12)</f>
        <v>2500</v>
      </c>
    </row>
    <row r="13" spans="2:10">
      <c r="B13" s="4" t="s">
        <v>30</v>
      </c>
      <c r="C13" s="4"/>
      <c r="D13" s="4">
        <f>SUM(D4:D12)</f>
        <v>28482</v>
      </c>
      <c r="E13" s="4">
        <f>SUM(E4:E12)</f>
        <v>4942</v>
      </c>
      <c r="F13" s="4">
        <f>SUM(F4:F12)</f>
        <v>3300</v>
      </c>
      <c r="G13" s="4">
        <f>SUM(G4:G12)</f>
        <v>3320</v>
      </c>
      <c r="H13" s="4">
        <f>SUM(H4:H12)</f>
        <v>3320</v>
      </c>
      <c r="I13" s="4">
        <f>SUM(I4:I12)</f>
        <v>3320</v>
      </c>
      <c r="J13" s="4">
        <f>SUM(J4:J12)</f>
        <v>39484</v>
      </c>
    </row>
    <row r="17" spans="2:18">
      <c r="B17" s="1" t="s">
        <v>59</v>
      </c>
    </row>
    <row r="18" spans="2:18">
      <c r="B18" s="4"/>
      <c r="C18" s="27"/>
      <c r="D18" s="28"/>
      <c r="E18" s="28"/>
      <c r="F18" s="28"/>
      <c r="G18" s="28"/>
      <c r="H18" s="28"/>
      <c r="I18" s="28"/>
      <c r="J18" s="28"/>
      <c r="K18" s="28"/>
      <c r="L18" s="28"/>
      <c r="M18" s="28"/>
      <c r="N18" s="28"/>
      <c r="O18" s="28"/>
      <c r="P18" s="28"/>
      <c r="Q18" s="29"/>
      <c r="R18" s="4" t="s">
        <v>32</v>
      </c>
    </row>
    <row r="19" spans="2:18" ht="32.25" customHeight="1">
      <c r="B19" s="15" t="s">
        <v>33</v>
      </c>
      <c r="C19" s="33" t="s">
        <v>60</v>
      </c>
      <c r="D19" s="33"/>
      <c r="E19" s="33"/>
      <c r="F19" s="33"/>
      <c r="G19" s="33"/>
      <c r="H19" s="33"/>
      <c r="I19" s="33"/>
      <c r="J19" s="33"/>
      <c r="K19" s="33"/>
      <c r="L19" s="33"/>
      <c r="M19" s="33"/>
      <c r="N19" s="33"/>
      <c r="O19" s="33"/>
      <c r="P19" s="33"/>
      <c r="Q19" s="33"/>
      <c r="R19" s="4">
        <v>499</v>
      </c>
    </row>
    <row r="20" spans="2:18">
      <c r="B20" s="15" t="s">
        <v>35</v>
      </c>
      <c r="C20" s="31" t="s">
        <v>61</v>
      </c>
      <c r="D20" s="33"/>
      <c r="E20" s="33"/>
      <c r="F20" s="33"/>
      <c r="G20" s="33"/>
      <c r="H20" s="33"/>
      <c r="I20" s="33"/>
      <c r="J20" s="33"/>
      <c r="K20" s="33"/>
      <c r="L20" s="33"/>
      <c r="M20" s="33"/>
      <c r="N20" s="33"/>
      <c r="O20" s="33"/>
      <c r="P20" s="33"/>
      <c r="Q20" s="33"/>
      <c r="R20" s="4">
        <v>58.64</v>
      </c>
    </row>
    <row r="21" spans="2:18" ht="27" customHeight="1">
      <c r="B21" s="15" t="s">
        <v>37</v>
      </c>
      <c r="C21" s="31" t="s">
        <v>62</v>
      </c>
      <c r="D21" s="31"/>
      <c r="E21" s="31"/>
      <c r="F21" s="31"/>
      <c r="G21" s="31"/>
      <c r="H21" s="31"/>
      <c r="I21" s="31"/>
      <c r="J21" s="31"/>
      <c r="K21" s="31"/>
      <c r="L21" s="31"/>
      <c r="M21" s="31"/>
      <c r="N21" s="31"/>
      <c r="O21" s="31"/>
      <c r="P21" s="31"/>
      <c r="Q21" s="31"/>
      <c r="R21" s="4">
        <v>12</v>
      </c>
    </row>
    <row r="22" spans="2:18">
      <c r="B22" s="15" t="s">
        <v>39</v>
      </c>
      <c r="C22" s="33" t="s">
        <v>63</v>
      </c>
      <c r="D22" s="33"/>
      <c r="E22" s="33"/>
      <c r="F22" s="33"/>
      <c r="G22" s="33"/>
      <c r="H22" s="33"/>
      <c r="I22" s="33"/>
      <c r="J22" s="33"/>
      <c r="K22" s="33"/>
      <c r="L22" s="33"/>
      <c r="M22" s="33"/>
      <c r="N22" s="33"/>
      <c r="O22" s="33"/>
      <c r="P22" s="33"/>
      <c r="Q22" s="33"/>
      <c r="R22" s="4"/>
    </row>
    <row r="23" spans="2:18" ht="27" customHeight="1">
      <c r="B23" s="15" t="s">
        <v>41</v>
      </c>
      <c r="C23" s="33" t="s">
        <v>42</v>
      </c>
      <c r="D23" s="33"/>
      <c r="E23" s="33"/>
      <c r="F23" s="33"/>
      <c r="G23" s="33"/>
      <c r="H23" s="33"/>
      <c r="I23" s="33"/>
      <c r="J23" s="33"/>
      <c r="K23" s="33"/>
      <c r="L23" s="33"/>
      <c r="M23" s="33"/>
      <c r="N23" s="33"/>
      <c r="O23" s="33"/>
      <c r="P23" s="33"/>
      <c r="Q23" s="33"/>
      <c r="R23" s="4">
        <v>20</v>
      </c>
    </row>
    <row r="24" spans="2:18">
      <c r="B24" s="15" t="s">
        <v>43</v>
      </c>
      <c r="C24" s="30" t="s">
        <v>64</v>
      </c>
      <c r="D24" s="30"/>
      <c r="E24" s="30"/>
      <c r="F24" s="30"/>
      <c r="G24" s="30"/>
      <c r="H24" s="30"/>
      <c r="I24" s="30"/>
      <c r="J24" s="30"/>
      <c r="K24" s="30"/>
      <c r="L24" s="30"/>
      <c r="M24" s="30"/>
      <c r="N24" s="30"/>
      <c r="O24" s="30"/>
      <c r="P24" s="30"/>
      <c r="Q24" s="30"/>
      <c r="R24" s="4">
        <v>20</v>
      </c>
    </row>
    <row r="25" spans="2:18" ht="60" customHeight="1">
      <c r="B25" s="15" t="s">
        <v>45</v>
      </c>
      <c r="C25" s="31" t="s">
        <v>46</v>
      </c>
      <c r="D25" s="31"/>
      <c r="E25" s="31"/>
      <c r="F25" s="31"/>
      <c r="G25" s="31"/>
      <c r="H25" s="31"/>
      <c r="I25" s="31"/>
      <c r="J25" s="31"/>
      <c r="K25" s="31"/>
      <c r="L25" s="31"/>
      <c r="M25" s="31"/>
      <c r="N25" s="31"/>
      <c r="O25" s="31"/>
      <c r="P25" s="31"/>
      <c r="Q25" s="31"/>
      <c r="R25" s="4">
        <v>1333.86</v>
      </c>
    </row>
    <row r="26" spans="2:18">
      <c r="B26" s="15" t="s">
        <v>47</v>
      </c>
      <c r="C26" s="33" t="s">
        <v>65</v>
      </c>
      <c r="D26" s="33"/>
      <c r="E26" s="33"/>
      <c r="F26" s="33"/>
      <c r="G26" s="33"/>
      <c r="H26" s="33"/>
      <c r="I26" s="33"/>
      <c r="J26" s="33"/>
      <c r="K26" s="33"/>
      <c r="L26" s="33"/>
      <c r="M26" s="33"/>
      <c r="N26" s="33"/>
      <c r="O26" s="33"/>
      <c r="P26" s="33"/>
      <c r="Q26" s="33"/>
      <c r="R26" s="4">
        <v>3</v>
      </c>
    </row>
    <row r="27" spans="2:18">
      <c r="B27" s="15" t="s">
        <v>49</v>
      </c>
      <c r="C27" s="31" t="s">
        <v>50</v>
      </c>
      <c r="D27" s="31"/>
      <c r="E27" s="31"/>
      <c r="F27" s="31"/>
      <c r="G27" s="31"/>
      <c r="H27" s="31"/>
      <c r="I27" s="31"/>
      <c r="J27" s="31"/>
      <c r="K27" s="31"/>
      <c r="L27" s="31"/>
      <c r="M27" s="31"/>
      <c r="N27" s="31"/>
      <c r="O27" s="31"/>
      <c r="P27" s="31"/>
      <c r="Q27" s="31"/>
      <c r="R27" s="4">
        <v>10</v>
      </c>
    </row>
  </sheetData>
  <mergeCells count="11">
    <mergeCell ref="C2:I2"/>
    <mergeCell ref="C18:Q18"/>
    <mergeCell ref="C25:Q25"/>
    <mergeCell ref="C26:Q26"/>
    <mergeCell ref="C27:Q27"/>
    <mergeCell ref="C19:Q19"/>
    <mergeCell ref="C20:Q20"/>
    <mergeCell ref="C21:Q21"/>
    <mergeCell ref="C22:Q22"/>
    <mergeCell ref="C23:Q23"/>
    <mergeCell ref="C24:Q24"/>
  </mergeCells>
  <hyperlinks>
    <hyperlink ref="B17" r:id="rId1" xr:uid="{34BDFE5C-19E1-4287-93E7-64395B3FCE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Rubén Castañeda Matute</cp:lastModifiedBy>
  <cp:revision/>
  <dcterms:created xsi:type="dcterms:W3CDTF">2025-09-11T14:23:46Z</dcterms:created>
  <dcterms:modified xsi:type="dcterms:W3CDTF">2025-09-19T17:22:23Z</dcterms:modified>
  <cp:category/>
  <cp:contentStatus/>
</cp:coreProperties>
</file>