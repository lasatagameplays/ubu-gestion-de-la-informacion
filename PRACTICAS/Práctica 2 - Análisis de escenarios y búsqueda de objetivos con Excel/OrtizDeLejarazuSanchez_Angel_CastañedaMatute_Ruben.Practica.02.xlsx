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R0074M\Downloads\"/>
    </mc:Choice>
  </mc:AlternateContent>
  <xr:revisionPtr revIDLastSave="0" documentId="13_ncr:1_{A6EFB4D7-9FE6-4666-9D9D-58C15FFAFEE5}" xr6:coauthVersionLast="47" xr6:coauthVersionMax="47" xr10:uidLastSave="{00000000-0000-0000-0000-000000000000}"/>
  <bookViews>
    <workbookView xWindow="-120" yWindow="-18120" windowWidth="29040" windowHeight="17520" firstSheet="4" activeTab="9" xr2:uid="{00000000-000D-0000-FFFF-FFFF00000000}"/>
  </bookViews>
  <sheets>
    <sheet name="Ventas" sheetId="1" r:id="rId1"/>
    <sheet name="Productos" sheetId="2" r:id="rId2"/>
    <sheet name="Países" sheetId="3" r:id="rId3"/>
    <sheet name="Clientes" sheetId="4" r:id="rId4"/>
    <sheet name="Inventarios" sheetId="5" r:id="rId5"/>
    <sheet name="Estimaciones" sheetId="6" r:id="rId6"/>
    <sheet name="Calculos" sheetId="9" r:id="rId7"/>
    <sheet name="TablaCompleta" sheetId="10" state="hidden" r:id="rId8"/>
    <sheet name="Escenarios" sheetId="11" r:id="rId9"/>
    <sheet name="Gráficos" sheetId="13" r:id="rId10"/>
    <sheet name="Rentabilidad" sheetId="12" r:id="rId11"/>
  </sheets>
  <definedNames>
    <definedName name="solver_adj" localSheetId="10" hidden="1">Rentabilidad!$E$33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lhs1" localSheetId="10" hidden="1">Rentabilidad!$E$33</definedName>
    <definedName name="solver_lhs2" localSheetId="10" hidden="1">Rentabilidad!$E$15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1</definedName>
    <definedName name="solver_nwt" localSheetId="10" hidden="1">1</definedName>
    <definedName name="solver_opt" localSheetId="10" hidden="1">Rentabilidad!$D$33</definedName>
    <definedName name="solver_pre" localSheetId="10" hidden="1">0.000001</definedName>
    <definedName name="solver_rbv" localSheetId="10" hidden="1">1</definedName>
    <definedName name="solver_rel1" localSheetId="10" hidden="1">3</definedName>
    <definedName name="solver_rel2" localSheetId="10" hidden="1">3</definedName>
    <definedName name="solver_rhs1" localSheetId="10" hidden="1">1</definedName>
    <definedName name="solver_rhs2" localSheetId="10" hidden="1">3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3</definedName>
    <definedName name="solver_val" localSheetId="10" hidden="1">4</definedName>
    <definedName name="solver_ver" localSheetId="10" hidden="1">3</definedName>
  </definedNames>
  <calcPr calcId="191028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11" l="1"/>
  <c r="N11" i="11"/>
  <c r="O11" i="11"/>
  <c r="L11" i="11"/>
  <c r="D33" i="12"/>
  <c r="D15" i="12"/>
  <c r="C33" i="12" l="1"/>
  <c r="H28" i="12"/>
  <c r="G28" i="12"/>
  <c r="F28" i="12"/>
  <c r="H11" i="12"/>
  <c r="G11" i="12"/>
  <c r="F11" i="12"/>
  <c r="C15" i="12" s="1"/>
  <c r="I22" i="12"/>
  <c r="I23" i="12"/>
  <c r="I24" i="12"/>
  <c r="I25" i="12"/>
  <c r="I26" i="12"/>
  <c r="I27" i="12"/>
  <c r="H22" i="12"/>
  <c r="H23" i="12"/>
  <c r="H24" i="12"/>
  <c r="H25" i="12"/>
  <c r="H26" i="12"/>
  <c r="H27" i="12"/>
  <c r="G22" i="12"/>
  <c r="G23" i="12"/>
  <c r="G24" i="12"/>
  <c r="G25" i="12"/>
  <c r="G26" i="12"/>
  <c r="G27" i="12"/>
  <c r="H21" i="12"/>
  <c r="G21" i="12"/>
  <c r="I5" i="12"/>
  <c r="I6" i="12"/>
  <c r="I7" i="12"/>
  <c r="I11" i="12" s="1"/>
  <c r="I8" i="12"/>
  <c r="I9" i="12"/>
  <c r="I4" i="12"/>
  <c r="H5" i="12"/>
  <c r="H6" i="12"/>
  <c r="H7" i="12"/>
  <c r="H8" i="12"/>
  <c r="H9" i="12"/>
  <c r="H10" i="12"/>
  <c r="H4" i="12"/>
  <c r="G5" i="12"/>
  <c r="G6" i="12"/>
  <c r="G7" i="12"/>
  <c r="G8" i="12"/>
  <c r="G9" i="12"/>
  <c r="G10" i="12"/>
  <c r="I10" i="12" s="1"/>
  <c r="G4" i="12"/>
  <c r="F5" i="12"/>
  <c r="F6" i="12"/>
  <c r="F7" i="12"/>
  <c r="F8" i="12"/>
  <c r="F9" i="12"/>
  <c r="F10" i="12"/>
  <c r="F4" i="12"/>
  <c r="F22" i="12"/>
  <c r="F23" i="12"/>
  <c r="F24" i="12"/>
  <c r="F25" i="12"/>
  <c r="F26" i="12"/>
  <c r="F27" i="12"/>
  <c r="F21" i="12"/>
  <c r="I21" i="12" l="1"/>
  <c r="I28" i="12" s="1"/>
  <c r="L5" i="11" l="1"/>
  <c r="L6" i="11"/>
  <c r="L7" i="11"/>
  <c r="L8" i="11"/>
  <c r="L9" i="11"/>
  <c r="L10" i="11"/>
  <c r="O5" i="11"/>
  <c r="O6" i="11"/>
  <c r="O7" i="11"/>
  <c r="O8" i="11"/>
  <c r="O9" i="11"/>
  <c r="O10" i="11"/>
  <c r="N5" i="11"/>
  <c r="N6" i="11"/>
  <c r="N7" i="11"/>
  <c r="N8" i="11"/>
  <c r="N9" i="11"/>
  <c r="N10" i="11"/>
  <c r="M5" i="11"/>
  <c r="M6" i="11"/>
  <c r="M7" i="11"/>
  <c r="M8" i="11"/>
  <c r="M9" i="11"/>
  <c r="M10" i="11"/>
  <c r="O4" i="11"/>
  <c r="N4" i="11"/>
  <c r="M4" i="11"/>
  <c r="L4" i="1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2" i="9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H2" i="10"/>
  <c r="G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2" i="10"/>
  <c r="C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2" i="9"/>
  <c r="H999" i="9"/>
  <c r="H998" i="9"/>
  <c r="H997" i="9"/>
  <c r="H996" i="9"/>
  <c r="H995" i="9"/>
  <c r="H994" i="9"/>
  <c r="H993" i="9"/>
  <c r="H992" i="9"/>
  <c r="H991" i="9"/>
  <c r="H990" i="9"/>
  <c r="H989" i="9"/>
  <c r="H988" i="9"/>
  <c r="H987" i="9"/>
  <c r="H986" i="9"/>
  <c r="H985" i="9"/>
  <c r="H984" i="9"/>
  <c r="H983" i="9"/>
  <c r="H982" i="9"/>
  <c r="H981" i="9"/>
  <c r="H980" i="9"/>
  <c r="H979" i="9"/>
  <c r="H978" i="9"/>
  <c r="H977" i="9"/>
  <c r="H976" i="9"/>
  <c r="H975" i="9"/>
  <c r="H974" i="9"/>
  <c r="H973" i="9"/>
  <c r="H972" i="9"/>
  <c r="H971" i="9"/>
  <c r="H970" i="9"/>
  <c r="H969" i="9"/>
  <c r="H968" i="9"/>
  <c r="H967" i="9"/>
  <c r="H966" i="9"/>
  <c r="H965" i="9"/>
  <c r="H964" i="9"/>
  <c r="H963" i="9"/>
  <c r="H962" i="9"/>
  <c r="H961" i="9"/>
  <c r="H960" i="9"/>
  <c r="H959" i="9"/>
  <c r="H958" i="9"/>
  <c r="H957" i="9"/>
  <c r="H956" i="9"/>
  <c r="H955" i="9"/>
  <c r="H954" i="9"/>
  <c r="H953" i="9"/>
  <c r="H952" i="9"/>
  <c r="H951" i="9"/>
  <c r="H950" i="9"/>
  <c r="H949" i="9"/>
  <c r="H948" i="9"/>
  <c r="H947" i="9"/>
  <c r="H946" i="9"/>
  <c r="H945" i="9"/>
  <c r="H944" i="9"/>
  <c r="H943" i="9"/>
  <c r="H942" i="9"/>
  <c r="H941" i="9"/>
  <c r="H940" i="9"/>
  <c r="H939" i="9"/>
  <c r="H938" i="9"/>
  <c r="H937" i="9"/>
  <c r="H936" i="9"/>
  <c r="H935" i="9"/>
  <c r="H934" i="9"/>
  <c r="H933" i="9"/>
  <c r="H932" i="9"/>
  <c r="H931" i="9"/>
  <c r="H930" i="9"/>
  <c r="H929" i="9"/>
  <c r="H928" i="9"/>
  <c r="H927" i="9"/>
  <c r="H926" i="9"/>
  <c r="H925" i="9"/>
  <c r="H924" i="9"/>
  <c r="H923" i="9"/>
  <c r="H922" i="9"/>
  <c r="H921" i="9"/>
  <c r="H920" i="9"/>
  <c r="H919" i="9"/>
  <c r="H918" i="9"/>
  <c r="H917" i="9"/>
  <c r="H916" i="9"/>
  <c r="H915" i="9"/>
  <c r="H914" i="9"/>
  <c r="H913" i="9"/>
  <c r="H912" i="9"/>
  <c r="H911" i="9"/>
  <c r="H910" i="9"/>
  <c r="H909" i="9"/>
  <c r="H908" i="9"/>
  <c r="H907" i="9"/>
  <c r="H906" i="9"/>
  <c r="H905" i="9"/>
  <c r="H904" i="9"/>
  <c r="H903" i="9"/>
  <c r="H902" i="9"/>
  <c r="H901" i="9"/>
  <c r="H900" i="9"/>
  <c r="H899" i="9"/>
  <c r="H898" i="9"/>
  <c r="H897" i="9"/>
  <c r="H896" i="9"/>
  <c r="H895" i="9"/>
  <c r="H894" i="9"/>
  <c r="H893" i="9"/>
  <c r="H892" i="9"/>
  <c r="H891" i="9"/>
  <c r="H890" i="9"/>
  <c r="H889" i="9"/>
  <c r="H888" i="9"/>
  <c r="H887" i="9"/>
  <c r="H886" i="9"/>
  <c r="H885" i="9"/>
  <c r="H884" i="9"/>
  <c r="H883" i="9"/>
  <c r="H882" i="9"/>
  <c r="H881" i="9"/>
  <c r="H880" i="9"/>
  <c r="H879" i="9"/>
  <c r="H878" i="9"/>
  <c r="H877" i="9"/>
  <c r="H876" i="9"/>
  <c r="H875" i="9"/>
  <c r="H874" i="9"/>
  <c r="H873" i="9"/>
  <c r="H872" i="9"/>
  <c r="H871" i="9"/>
  <c r="H870" i="9"/>
  <c r="H869" i="9"/>
  <c r="H868" i="9"/>
  <c r="H867" i="9"/>
  <c r="H866" i="9"/>
  <c r="H865" i="9"/>
  <c r="H864" i="9"/>
  <c r="H863" i="9"/>
  <c r="H862" i="9"/>
  <c r="H861" i="9"/>
  <c r="H860" i="9"/>
  <c r="H859" i="9"/>
  <c r="H858" i="9"/>
  <c r="H857" i="9"/>
  <c r="H856" i="9"/>
  <c r="H855" i="9"/>
  <c r="H854" i="9"/>
  <c r="H853" i="9"/>
  <c r="H852" i="9"/>
  <c r="H851" i="9"/>
  <c r="H850" i="9"/>
  <c r="H849" i="9"/>
  <c r="H848" i="9"/>
  <c r="H847" i="9"/>
  <c r="H846" i="9"/>
  <c r="H845" i="9"/>
  <c r="H844" i="9"/>
  <c r="H843" i="9"/>
  <c r="H842" i="9"/>
  <c r="H841" i="9"/>
  <c r="H840" i="9"/>
  <c r="H839" i="9"/>
  <c r="H838" i="9"/>
  <c r="H837" i="9"/>
  <c r="H836" i="9"/>
  <c r="H835" i="9"/>
  <c r="H834" i="9"/>
  <c r="H833" i="9"/>
  <c r="H832" i="9"/>
  <c r="H831" i="9"/>
  <c r="H830" i="9"/>
  <c r="H829" i="9"/>
  <c r="H828" i="9"/>
  <c r="H827" i="9"/>
  <c r="H826" i="9"/>
  <c r="H825" i="9"/>
  <c r="H824" i="9"/>
  <c r="H823" i="9"/>
  <c r="H822" i="9"/>
  <c r="H821" i="9"/>
  <c r="H820" i="9"/>
  <c r="H819" i="9"/>
  <c r="H818" i="9"/>
  <c r="H817" i="9"/>
  <c r="H816" i="9"/>
  <c r="H815" i="9"/>
  <c r="H814" i="9"/>
  <c r="H813" i="9"/>
  <c r="H812" i="9"/>
  <c r="H811" i="9"/>
  <c r="H810" i="9"/>
  <c r="H809" i="9"/>
  <c r="H808" i="9"/>
  <c r="H807" i="9"/>
  <c r="H806" i="9"/>
  <c r="H805" i="9"/>
  <c r="H804" i="9"/>
  <c r="H803" i="9"/>
  <c r="H802" i="9"/>
  <c r="H801" i="9"/>
  <c r="H800" i="9"/>
  <c r="H799" i="9"/>
  <c r="H798" i="9"/>
  <c r="H797" i="9"/>
  <c r="H796" i="9"/>
  <c r="H795" i="9"/>
  <c r="H794" i="9"/>
  <c r="H793" i="9"/>
  <c r="H792" i="9"/>
  <c r="H791" i="9"/>
  <c r="H790" i="9"/>
  <c r="H789" i="9"/>
  <c r="H788" i="9"/>
  <c r="H787" i="9"/>
  <c r="H786" i="9"/>
  <c r="H785" i="9"/>
  <c r="H784" i="9"/>
  <c r="H783" i="9"/>
  <c r="H782" i="9"/>
  <c r="H781" i="9"/>
  <c r="H780" i="9"/>
  <c r="H779" i="9"/>
  <c r="H778" i="9"/>
  <c r="H777" i="9"/>
  <c r="H776" i="9"/>
  <c r="H775" i="9"/>
  <c r="H774" i="9"/>
  <c r="H773" i="9"/>
  <c r="H772" i="9"/>
  <c r="H771" i="9"/>
  <c r="H770" i="9"/>
  <c r="H769" i="9"/>
  <c r="H768" i="9"/>
  <c r="H767" i="9"/>
  <c r="H766" i="9"/>
  <c r="H765" i="9"/>
  <c r="H764" i="9"/>
  <c r="H763" i="9"/>
  <c r="H762" i="9"/>
  <c r="H761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40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7" i="9"/>
  <c r="H716" i="9"/>
  <c r="H715" i="9"/>
  <c r="H714" i="9"/>
  <c r="H713" i="9"/>
  <c r="H712" i="9"/>
  <c r="H711" i="9"/>
  <c r="H710" i="9"/>
  <c r="H709" i="9"/>
  <c r="H708" i="9"/>
  <c r="H707" i="9"/>
  <c r="H706" i="9"/>
  <c r="H705" i="9"/>
  <c r="H704" i="9"/>
  <c r="H703" i="9"/>
  <c r="H702" i="9"/>
  <c r="H701" i="9"/>
  <c r="H700" i="9"/>
  <c r="H699" i="9"/>
  <c r="H698" i="9"/>
  <c r="H697" i="9"/>
  <c r="H696" i="9"/>
  <c r="H695" i="9"/>
  <c r="H694" i="9"/>
  <c r="H693" i="9"/>
  <c r="H692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1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94" i="9"/>
  <c r="H593" i="9"/>
  <c r="H592" i="9"/>
  <c r="H591" i="9"/>
  <c r="H590" i="9"/>
  <c r="H589" i="9"/>
  <c r="H588" i="9"/>
  <c r="H587" i="9"/>
  <c r="H586" i="9"/>
  <c r="H58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8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2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2" i="9"/>
  <c r="E2" i="9" s="1"/>
  <c r="C18" i="9"/>
  <c r="E18" i="9" s="1"/>
  <c r="C19" i="9"/>
  <c r="E19" i="9" s="1"/>
  <c r="C20" i="9"/>
  <c r="E20" i="9" s="1"/>
  <c r="C21" i="9"/>
  <c r="E21" i="9" s="1"/>
  <c r="C22" i="9"/>
  <c r="E22" i="9" s="1"/>
  <c r="C23" i="9"/>
  <c r="E23" i="9" s="1"/>
  <c r="C24" i="9"/>
  <c r="E24" i="9" s="1"/>
  <c r="C25" i="9"/>
  <c r="E25" i="9" s="1"/>
  <c r="C26" i="9"/>
  <c r="E26" i="9" s="1"/>
  <c r="C27" i="9"/>
  <c r="E27" i="9" s="1"/>
  <c r="C28" i="9"/>
  <c r="E28" i="9" s="1"/>
  <c r="C29" i="9"/>
  <c r="E29" i="9" s="1"/>
  <c r="C30" i="9"/>
  <c r="E30" i="9" s="1"/>
  <c r="C31" i="9"/>
  <c r="E31" i="9" s="1"/>
  <c r="C32" i="9"/>
  <c r="E32" i="9" s="1"/>
  <c r="C33" i="9"/>
  <c r="E33" i="9" s="1"/>
  <c r="C34" i="9"/>
  <c r="E34" i="9" s="1"/>
  <c r="C35" i="9"/>
  <c r="E35" i="9" s="1"/>
  <c r="C36" i="9"/>
  <c r="E36" i="9" s="1"/>
  <c r="C37" i="9"/>
  <c r="E37" i="9" s="1"/>
  <c r="C38" i="9"/>
  <c r="E38" i="9" s="1"/>
  <c r="C39" i="9"/>
  <c r="E39" i="9" s="1"/>
  <c r="C40" i="9"/>
  <c r="E40" i="9" s="1"/>
  <c r="C41" i="9"/>
  <c r="E41" i="9" s="1"/>
  <c r="C42" i="9"/>
  <c r="E42" i="9" s="1"/>
  <c r="C43" i="9"/>
  <c r="E43" i="9" s="1"/>
  <c r="C44" i="9"/>
  <c r="E44" i="9" s="1"/>
  <c r="C45" i="9"/>
  <c r="E45" i="9" s="1"/>
  <c r="C46" i="9"/>
  <c r="E46" i="9" s="1"/>
  <c r="C47" i="9"/>
  <c r="E47" i="9" s="1"/>
  <c r="C48" i="9"/>
  <c r="E48" i="9" s="1"/>
  <c r="C49" i="9"/>
  <c r="E49" i="9" s="1"/>
  <c r="C50" i="9"/>
  <c r="E50" i="9" s="1"/>
  <c r="C51" i="9"/>
  <c r="E51" i="9" s="1"/>
  <c r="C52" i="9"/>
  <c r="E52" i="9" s="1"/>
  <c r="C53" i="9"/>
  <c r="E53" i="9" s="1"/>
  <c r="C54" i="9"/>
  <c r="E54" i="9" s="1"/>
  <c r="C55" i="9"/>
  <c r="E55" i="9" s="1"/>
  <c r="C56" i="9"/>
  <c r="E56" i="9" s="1"/>
  <c r="C57" i="9"/>
  <c r="E57" i="9" s="1"/>
  <c r="C58" i="9"/>
  <c r="E58" i="9" s="1"/>
  <c r="C59" i="9"/>
  <c r="E59" i="9" s="1"/>
  <c r="C60" i="9"/>
  <c r="E60" i="9" s="1"/>
  <c r="C61" i="9"/>
  <c r="E61" i="9" s="1"/>
  <c r="C62" i="9"/>
  <c r="E62" i="9" s="1"/>
  <c r="C63" i="9"/>
  <c r="E63" i="9" s="1"/>
  <c r="C64" i="9"/>
  <c r="E64" i="9" s="1"/>
  <c r="C65" i="9"/>
  <c r="E65" i="9" s="1"/>
  <c r="C66" i="9"/>
  <c r="E66" i="9" s="1"/>
  <c r="C67" i="9"/>
  <c r="E67" i="9" s="1"/>
  <c r="C68" i="9"/>
  <c r="E68" i="9" s="1"/>
  <c r="C69" i="9"/>
  <c r="E69" i="9" s="1"/>
  <c r="C70" i="9"/>
  <c r="E70" i="9" s="1"/>
  <c r="C71" i="9"/>
  <c r="E71" i="9" s="1"/>
  <c r="C72" i="9"/>
  <c r="E72" i="9" s="1"/>
  <c r="C73" i="9"/>
  <c r="E73" i="9" s="1"/>
  <c r="C74" i="9"/>
  <c r="E74" i="9" s="1"/>
  <c r="C75" i="9"/>
  <c r="E75" i="9" s="1"/>
  <c r="C76" i="9"/>
  <c r="E76" i="9" s="1"/>
  <c r="C77" i="9"/>
  <c r="E77" i="9" s="1"/>
  <c r="C78" i="9"/>
  <c r="E78" i="9" s="1"/>
  <c r="C79" i="9"/>
  <c r="E79" i="9" s="1"/>
  <c r="C80" i="9"/>
  <c r="E80" i="9" s="1"/>
  <c r="C81" i="9"/>
  <c r="E81" i="9" s="1"/>
  <c r="C82" i="9"/>
  <c r="E82" i="9" s="1"/>
  <c r="C83" i="9"/>
  <c r="E83" i="9" s="1"/>
  <c r="C84" i="9"/>
  <c r="E84" i="9" s="1"/>
  <c r="C85" i="9"/>
  <c r="E85" i="9" s="1"/>
  <c r="C86" i="9"/>
  <c r="E86" i="9" s="1"/>
  <c r="C87" i="9"/>
  <c r="E87" i="9" s="1"/>
  <c r="C88" i="9"/>
  <c r="E88" i="9" s="1"/>
  <c r="C89" i="9"/>
  <c r="E89" i="9" s="1"/>
  <c r="C90" i="9"/>
  <c r="E90" i="9" s="1"/>
  <c r="C91" i="9"/>
  <c r="E91" i="9" s="1"/>
  <c r="C92" i="9"/>
  <c r="E92" i="9" s="1"/>
  <c r="C93" i="9"/>
  <c r="E93" i="9" s="1"/>
  <c r="C94" i="9"/>
  <c r="E94" i="9" s="1"/>
  <c r="C95" i="9"/>
  <c r="E95" i="9" s="1"/>
  <c r="C96" i="9"/>
  <c r="E96" i="9" s="1"/>
  <c r="C97" i="9"/>
  <c r="E97" i="9" s="1"/>
  <c r="C98" i="9"/>
  <c r="E98" i="9" s="1"/>
  <c r="C99" i="9"/>
  <c r="E99" i="9" s="1"/>
  <c r="C100" i="9"/>
  <c r="E100" i="9" s="1"/>
  <c r="C101" i="9"/>
  <c r="E101" i="9" s="1"/>
  <c r="C102" i="9"/>
  <c r="E102" i="9" s="1"/>
  <c r="C103" i="9"/>
  <c r="E103" i="9" s="1"/>
  <c r="C104" i="9"/>
  <c r="E104" i="9" s="1"/>
  <c r="C105" i="9"/>
  <c r="E105" i="9" s="1"/>
  <c r="C106" i="9"/>
  <c r="E106" i="9" s="1"/>
  <c r="C107" i="9"/>
  <c r="E107" i="9" s="1"/>
  <c r="C108" i="9"/>
  <c r="E108" i="9" s="1"/>
  <c r="C109" i="9"/>
  <c r="E109" i="9" s="1"/>
  <c r="C110" i="9"/>
  <c r="E110" i="9" s="1"/>
  <c r="C111" i="9"/>
  <c r="E111" i="9" s="1"/>
  <c r="C112" i="9"/>
  <c r="E112" i="9" s="1"/>
  <c r="C113" i="9"/>
  <c r="E113" i="9" s="1"/>
  <c r="C114" i="9"/>
  <c r="E114" i="9" s="1"/>
  <c r="C115" i="9"/>
  <c r="E115" i="9" s="1"/>
  <c r="C116" i="9"/>
  <c r="E116" i="9" s="1"/>
  <c r="C117" i="9"/>
  <c r="E117" i="9" s="1"/>
  <c r="C118" i="9"/>
  <c r="E118" i="9" s="1"/>
  <c r="C119" i="9"/>
  <c r="E119" i="9" s="1"/>
  <c r="C120" i="9"/>
  <c r="E120" i="9" s="1"/>
  <c r="C121" i="9"/>
  <c r="E121" i="9" s="1"/>
  <c r="C122" i="9"/>
  <c r="E122" i="9" s="1"/>
  <c r="C123" i="9"/>
  <c r="E123" i="9" s="1"/>
  <c r="C124" i="9"/>
  <c r="E124" i="9" s="1"/>
  <c r="C125" i="9"/>
  <c r="E125" i="9" s="1"/>
  <c r="C126" i="9"/>
  <c r="E126" i="9" s="1"/>
  <c r="C127" i="9"/>
  <c r="E127" i="9" s="1"/>
  <c r="C128" i="9"/>
  <c r="E128" i="9" s="1"/>
  <c r="C129" i="9"/>
  <c r="E129" i="9" s="1"/>
  <c r="C130" i="9"/>
  <c r="E130" i="9" s="1"/>
  <c r="C131" i="9"/>
  <c r="E131" i="9" s="1"/>
  <c r="C132" i="9"/>
  <c r="E132" i="9" s="1"/>
  <c r="C133" i="9"/>
  <c r="E133" i="9" s="1"/>
  <c r="C134" i="9"/>
  <c r="E134" i="9" s="1"/>
  <c r="C135" i="9"/>
  <c r="E135" i="9" s="1"/>
  <c r="C136" i="9"/>
  <c r="E136" i="9" s="1"/>
  <c r="C137" i="9"/>
  <c r="E137" i="9" s="1"/>
  <c r="C138" i="9"/>
  <c r="E138" i="9" s="1"/>
  <c r="C139" i="9"/>
  <c r="E139" i="9" s="1"/>
  <c r="C140" i="9"/>
  <c r="E140" i="9" s="1"/>
  <c r="C141" i="9"/>
  <c r="E141" i="9" s="1"/>
  <c r="C142" i="9"/>
  <c r="E142" i="9" s="1"/>
  <c r="C143" i="9"/>
  <c r="E143" i="9" s="1"/>
  <c r="C144" i="9"/>
  <c r="E144" i="9" s="1"/>
  <c r="C145" i="9"/>
  <c r="E145" i="9" s="1"/>
  <c r="C146" i="9"/>
  <c r="E146" i="9" s="1"/>
  <c r="C147" i="9"/>
  <c r="E147" i="9" s="1"/>
  <c r="C148" i="9"/>
  <c r="E148" i="9" s="1"/>
  <c r="C149" i="9"/>
  <c r="E149" i="9" s="1"/>
  <c r="C150" i="9"/>
  <c r="E150" i="9" s="1"/>
  <c r="C151" i="9"/>
  <c r="E151" i="9" s="1"/>
  <c r="C152" i="9"/>
  <c r="E152" i="9" s="1"/>
  <c r="C153" i="9"/>
  <c r="E153" i="9" s="1"/>
  <c r="C154" i="9"/>
  <c r="E154" i="9" s="1"/>
  <c r="C155" i="9"/>
  <c r="E155" i="9" s="1"/>
  <c r="C156" i="9"/>
  <c r="E156" i="9" s="1"/>
  <c r="C157" i="9"/>
  <c r="E157" i="9" s="1"/>
  <c r="C158" i="9"/>
  <c r="E158" i="9" s="1"/>
  <c r="C159" i="9"/>
  <c r="E159" i="9" s="1"/>
  <c r="C160" i="9"/>
  <c r="E160" i="9" s="1"/>
  <c r="C161" i="9"/>
  <c r="E161" i="9" s="1"/>
  <c r="C162" i="9"/>
  <c r="E162" i="9" s="1"/>
  <c r="C163" i="9"/>
  <c r="E163" i="9" s="1"/>
  <c r="C164" i="9"/>
  <c r="E164" i="9" s="1"/>
  <c r="C165" i="9"/>
  <c r="E165" i="9" s="1"/>
  <c r="C166" i="9"/>
  <c r="E166" i="9" s="1"/>
  <c r="C167" i="9"/>
  <c r="E167" i="9" s="1"/>
  <c r="C168" i="9"/>
  <c r="E168" i="9" s="1"/>
  <c r="C169" i="9"/>
  <c r="E169" i="9" s="1"/>
  <c r="C170" i="9"/>
  <c r="E170" i="9" s="1"/>
  <c r="C171" i="9"/>
  <c r="E171" i="9" s="1"/>
  <c r="C172" i="9"/>
  <c r="E172" i="9" s="1"/>
  <c r="C173" i="9"/>
  <c r="E173" i="9" s="1"/>
  <c r="C174" i="9"/>
  <c r="E174" i="9" s="1"/>
  <c r="C175" i="9"/>
  <c r="E175" i="9" s="1"/>
  <c r="C176" i="9"/>
  <c r="E176" i="9" s="1"/>
  <c r="C177" i="9"/>
  <c r="E177" i="9" s="1"/>
  <c r="C178" i="9"/>
  <c r="E178" i="9" s="1"/>
  <c r="C179" i="9"/>
  <c r="E179" i="9" s="1"/>
  <c r="C180" i="9"/>
  <c r="E180" i="9" s="1"/>
  <c r="C181" i="9"/>
  <c r="E181" i="9" s="1"/>
  <c r="C182" i="9"/>
  <c r="E182" i="9" s="1"/>
  <c r="C183" i="9"/>
  <c r="E183" i="9" s="1"/>
  <c r="C184" i="9"/>
  <c r="E184" i="9" s="1"/>
  <c r="C185" i="9"/>
  <c r="E185" i="9" s="1"/>
  <c r="C186" i="9"/>
  <c r="E186" i="9" s="1"/>
  <c r="C187" i="9"/>
  <c r="E187" i="9" s="1"/>
  <c r="C188" i="9"/>
  <c r="E188" i="9" s="1"/>
  <c r="C189" i="9"/>
  <c r="E189" i="9" s="1"/>
  <c r="C190" i="9"/>
  <c r="E190" i="9" s="1"/>
  <c r="C191" i="9"/>
  <c r="E191" i="9" s="1"/>
  <c r="C192" i="9"/>
  <c r="E192" i="9" s="1"/>
  <c r="C193" i="9"/>
  <c r="E193" i="9" s="1"/>
  <c r="C194" i="9"/>
  <c r="E194" i="9" s="1"/>
  <c r="C195" i="9"/>
  <c r="E195" i="9" s="1"/>
  <c r="C196" i="9"/>
  <c r="E196" i="9" s="1"/>
  <c r="C197" i="9"/>
  <c r="E197" i="9" s="1"/>
  <c r="C198" i="9"/>
  <c r="E198" i="9" s="1"/>
  <c r="C199" i="9"/>
  <c r="E199" i="9" s="1"/>
  <c r="C200" i="9"/>
  <c r="E200" i="9" s="1"/>
  <c r="C201" i="9"/>
  <c r="E201" i="9" s="1"/>
  <c r="C202" i="9"/>
  <c r="E202" i="9" s="1"/>
  <c r="C203" i="9"/>
  <c r="E203" i="9" s="1"/>
  <c r="C204" i="9"/>
  <c r="E204" i="9" s="1"/>
  <c r="C205" i="9"/>
  <c r="E205" i="9" s="1"/>
  <c r="C206" i="9"/>
  <c r="E206" i="9" s="1"/>
  <c r="C207" i="9"/>
  <c r="E207" i="9" s="1"/>
  <c r="C208" i="9"/>
  <c r="E208" i="9" s="1"/>
  <c r="C209" i="9"/>
  <c r="E209" i="9" s="1"/>
  <c r="C210" i="9"/>
  <c r="E210" i="9" s="1"/>
  <c r="C211" i="9"/>
  <c r="E211" i="9" s="1"/>
  <c r="C212" i="9"/>
  <c r="E212" i="9" s="1"/>
  <c r="C213" i="9"/>
  <c r="E213" i="9" s="1"/>
  <c r="C214" i="9"/>
  <c r="E214" i="9" s="1"/>
  <c r="C215" i="9"/>
  <c r="E215" i="9" s="1"/>
  <c r="C216" i="9"/>
  <c r="E216" i="9" s="1"/>
  <c r="C217" i="9"/>
  <c r="E217" i="9" s="1"/>
  <c r="C218" i="9"/>
  <c r="E218" i="9" s="1"/>
  <c r="C219" i="9"/>
  <c r="E219" i="9" s="1"/>
  <c r="C220" i="9"/>
  <c r="E220" i="9" s="1"/>
  <c r="C221" i="9"/>
  <c r="E221" i="9" s="1"/>
  <c r="C222" i="9"/>
  <c r="E222" i="9" s="1"/>
  <c r="C223" i="9"/>
  <c r="E223" i="9" s="1"/>
  <c r="C224" i="9"/>
  <c r="E224" i="9" s="1"/>
  <c r="C225" i="9"/>
  <c r="E225" i="9" s="1"/>
  <c r="C226" i="9"/>
  <c r="E226" i="9" s="1"/>
  <c r="C227" i="9"/>
  <c r="E227" i="9" s="1"/>
  <c r="C228" i="9"/>
  <c r="E228" i="9" s="1"/>
  <c r="C229" i="9"/>
  <c r="E229" i="9" s="1"/>
  <c r="C230" i="9"/>
  <c r="E230" i="9" s="1"/>
  <c r="C231" i="9"/>
  <c r="E231" i="9" s="1"/>
  <c r="C232" i="9"/>
  <c r="E232" i="9" s="1"/>
  <c r="C233" i="9"/>
  <c r="E233" i="9" s="1"/>
  <c r="C234" i="9"/>
  <c r="E234" i="9" s="1"/>
  <c r="C235" i="9"/>
  <c r="E235" i="9" s="1"/>
  <c r="C236" i="9"/>
  <c r="E236" i="9" s="1"/>
  <c r="C237" i="9"/>
  <c r="E237" i="9" s="1"/>
  <c r="C238" i="9"/>
  <c r="E238" i="9" s="1"/>
  <c r="C239" i="9"/>
  <c r="E239" i="9" s="1"/>
  <c r="C240" i="9"/>
  <c r="E240" i="9" s="1"/>
  <c r="C241" i="9"/>
  <c r="E241" i="9" s="1"/>
  <c r="C242" i="9"/>
  <c r="E242" i="9" s="1"/>
  <c r="C243" i="9"/>
  <c r="E243" i="9" s="1"/>
  <c r="C244" i="9"/>
  <c r="E244" i="9" s="1"/>
  <c r="C245" i="9"/>
  <c r="E245" i="9" s="1"/>
  <c r="C246" i="9"/>
  <c r="E246" i="9" s="1"/>
  <c r="C247" i="9"/>
  <c r="E247" i="9" s="1"/>
  <c r="C248" i="9"/>
  <c r="E248" i="9" s="1"/>
  <c r="C249" i="9"/>
  <c r="E249" i="9" s="1"/>
  <c r="C250" i="9"/>
  <c r="E250" i="9" s="1"/>
  <c r="C251" i="9"/>
  <c r="E251" i="9" s="1"/>
  <c r="C252" i="9"/>
  <c r="E252" i="9" s="1"/>
  <c r="C253" i="9"/>
  <c r="E253" i="9" s="1"/>
  <c r="C254" i="9"/>
  <c r="E254" i="9" s="1"/>
  <c r="C255" i="9"/>
  <c r="E255" i="9" s="1"/>
  <c r="C256" i="9"/>
  <c r="E256" i="9" s="1"/>
  <c r="C257" i="9"/>
  <c r="E257" i="9" s="1"/>
  <c r="C258" i="9"/>
  <c r="E258" i="9" s="1"/>
  <c r="C259" i="9"/>
  <c r="E259" i="9" s="1"/>
  <c r="C260" i="9"/>
  <c r="E260" i="9" s="1"/>
  <c r="C261" i="9"/>
  <c r="E261" i="9" s="1"/>
  <c r="C262" i="9"/>
  <c r="E262" i="9" s="1"/>
  <c r="C263" i="9"/>
  <c r="E263" i="9" s="1"/>
  <c r="C264" i="9"/>
  <c r="E264" i="9" s="1"/>
  <c r="C265" i="9"/>
  <c r="E265" i="9" s="1"/>
  <c r="C266" i="9"/>
  <c r="E266" i="9" s="1"/>
  <c r="C267" i="9"/>
  <c r="E267" i="9" s="1"/>
  <c r="C268" i="9"/>
  <c r="E268" i="9" s="1"/>
  <c r="C269" i="9"/>
  <c r="E269" i="9" s="1"/>
  <c r="C270" i="9"/>
  <c r="E270" i="9" s="1"/>
  <c r="C271" i="9"/>
  <c r="E271" i="9" s="1"/>
  <c r="C272" i="9"/>
  <c r="E272" i="9" s="1"/>
  <c r="C273" i="9"/>
  <c r="E273" i="9" s="1"/>
  <c r="C274" i="9"/>
  <c r="E274" i="9" s="1"/>
  <c r="C275" i="9"/>
  <c r="E275" i="9" s="1"/>
  <c r="C276" i="9"/>
  <c r="E276" i="9" s="1"/>
  <c r="C277" i="9"/>
  <c r="E277" i="9" s="1"/>
  <c r="C278" i="9"/>
  <c r="E278" i="9" s="1"/>
  <c r="C279" i="9"/>
  <c r="E279" i="9" s="1"/>
  <c r="C280" i="9"/>
  <c r="E280" i="9" s="1"/>
  <c r="C281" i="9"/>
  <c r="E281" i="9" s="1"/>
  <c r="C282" i="9"/>
  <c r="E282" i="9" s="1"/>
  <c r="C283" i="9"/>
  <c r="E283" i="9" s="1"/>
  <c r="C284" i="9"/>
  <c r="E284" i="9" s="1"/>
  <c r="C285" i="9"/>
  <c r="E285" i="9" s="1"/>
  <c r="C286" i="9"/>
  <c r="E286" i="9" s="1"/>
  <c r="C287" i="9"/>
  <c r="E287" i="9" s="1"/>
  <c r="C288" i="9"/>
  <c r="E288" i="9" s="1"/>
  <c r="C289" i="9"/>
  <c r="E289" i="9" s="1"/>
  <c r="C290" i="9"/>
  <c r="E290" i="9" s="1"/>
  <c r="C291" i="9"/>
  <c r="E291" i="9" s="1"/>
  <c r="C292" i="9"/>
  <c r="E292" i="9" s="1"/>
  <c r="C293" i="9"/>
  <c r="E293" i="9" s="1"/>
  <c r="C294" i="9"/>
  <c r="E294" i="9" s="1"/>
  <c r="C295" i="9"/>
  <c r="E295" i="9" s="1"/>
  <c r="C296" i="9"/>
  <c r="E296" i="9" s="1"/>
  <c r="C297" i="9"/>
  <c r="E297" i="9" s="1"/>
  <c r="C298" i="9"/>
  <c r="E298" i="9" s="1"/>
  <c r="C299" i="9"/>
  <c r="E299" i="9" s="1"/>
  <c r="C300" i="9"/>
  <c r="E300" i="9" s="1"/>
  <c r="C301" i="9"/>
  <c r="E301" i="9" s="1"/>
  <c r="C302" i="9"/>
  <c r="E302" i="9" s="1"/>
  <c r="C303" i="9"/>
  <c r="E303" i="9" s="1"/>
  <c r="C304" i="9"/>
  <c r="E304" i="9" s="1"/>
  <c r="C305" i="9"/>
  <c r="E305" i="9" s="1"/>
  <c r="C306" i="9"/>
  <c r="E306" i="9" s="1"/>
  <c r="C307" i="9"/>
  <c r="E307" i="9" s="1"/>
  <c r="C308" i="9"/>
  <c r="E308" i="9" s="1"/>
  <c r="C309" i="9"/>
  <c r="E309" i="9" s="1"/>
  <c r="C310" i="9"/>
  <c r="E310" i="9" s="1"/>
  <c r="C311" i="9"/>
  <c r="E311" i="9" s="1"/>
  <c r="C312" i="9"/>
  <c r="E312" i="9" s="1"/>
  <c r="C313" i="9"/>
  <c r="E313" i="9" s="1"/>
  <c r="C314" i="9"/>
  <c r="E314" i="9" s="1"/>
  <c r="C315" i="9"/>
  <c r="E315" i="9" s="1"/>
  <c r="C316" i="9"/>
  <c r="E316" i="9" s="1"/>
  <c r="C317" i="9"/>
  <c r="E317" i="9" s="1"/>
  <c r="C318" i="9"/>
  <c r="E318" i="9" s="1"/>
  <c r="C319" i="9"/>
  <c r="E319" i="9" s="1"/>
  <c r="C320" i="9"/>
  <c r="E320" i="9" s="1"/>
  <c r="C321" i="9"/>
  <c r="E321" i="9" s="1"/>
  <c r="C322" i="9"/>
  <c r="E322" i="9" s="1"/>
  <c r="C323" i="9"/>
  <c r="E323" i="9" s="1"/>
  <c r="C324" i="9"/>
  <c r="E324" i="9" s="1"/>
  <c r="C325" i="9"/>
  <c r="E325" i="9" s="1"/>
  <c r="C326" i="9"/>
  <c r="E326" i="9" s="1"/>
  <c r="C327" i="9"/>
  <c r="E327" i="9" s="1"/>
  <c r="C328" i="9"/>
  <c r="E328" i="9" s="1"/>
  <c r="C329" i="9"/>
  <c r="E329" i="9" s="1"/>
  <c r="C330" i="9"/>
  <c r="E330" i="9" s="1"/>
  <c r="C331" i="9"/>
  <c r="E331" i="9" s="1"/>
  <c r="C332" i="9"/>
  <c r="E332" i="9" s="1"/>
  <c r="C333" i="9"/>
  <c r="E333" i="9" s="1"/>
  <c r="C334" i="9"/>
  <c r="E334" i="9" s="1"/>
  <c r="C335" i="9"/>
  <c r="E335" i="9" s="1"/>
  <c r="C336" i="9"/>
  <c r="E336" i="9" s="1"/>
  <c r="C337" i="9"/>
  <c r="E337" i="9" s="1"/>
  <c r="C338" i="9"/>
  <c r="E338" i="9" s="1"/>
  <c r="C339" i="9"/>
  <c r="E339" i="9" s="1"/>
  <c r="C340" i="9"/>
  <c r="E340" i="9" s="1"/>
  <c r="C341" i="9"/>
  <c r="E341" i="9" s="1"/>
  <c r="C342" i="9"/>
  <c r="E342" i="9" s="1"/>
  <c r="C343" i="9"/>
  <c r="E343" i="9" s="1"/>
  <c r="C344" i="9"/>
  <c r="E344" i="9" s="1"/>
  <c r="C345" i="9"/>
  <c r="E345" i="9" s="1"/>
  <c r="C346" i="9"/>
  <c r="E346" i="9" s="1"/>
  <c r="C347" i="9"/>
  <c r="E347" i="9" s="1"/>
  <c r="C348" i="9"/>
  <c r="E348" i="9" s="1"/>
  <c r="C349" i="9"/>
  <c r="E349" i="9" s="1"/>
  <c r="C350" i="9"/>
  <c r="E350" i="9" s="1"/>
  <c r="C351" i="9"/>
  <c r="E351" i="9" s="1"/>
  <c r="C352" i="9"/>
  <c r="E352" i="9" s="1"/>
  <c r="C353" i="9"/>
  <c r="E353" i="9" s="1"/>
  <c r="C354" i="9"/>
  <c r="E354" i="9" s="1"/>
  <c r="C355" i="9"/>
  <c r="E355" i="9" s="1"/>
  <c r="C356" i="9"/>
  <c r="E356" i="9" s="1"/>
  <c r="C357" i="9"/>
  <c r="E357" i="9" s="1"/>
  <c r="C358" i="9"/>
  <c r="E358" i="9" s="1"/>
  <c r="C359" i="9"/>
  <c r="E359" i="9" s="1"/>
  <c r="C360" i="9"/>
  <c r="E360" i="9" s="1"/>
  <c r="C361" i="9"/>
  <c r="E361" i="9" s="1"/>
  <c r="C362" i="9"/>
  <c r="E362" i="9" s="1"/>
  <c r="C363" i="9"/>
  <c r="E363" i="9" s="1"/>
  <c r="C364" i="9"/>
  <c r="E364" i="9" s="1"/>
  <c r="C365" i="9"/>
  <c r="E365" i="9" s="1"/>
  <c r="C366" i="9"/>
  <c r="E366" i="9" s="1"/>
  <c r="C367" i="9"/>
  <c r="E367" i="9" s="1"/>
  <c r="C368" i="9"/>
  <c r="E368" i="9" s="1"/>
  <c r="C369" i="9"/>
  <c r="E369" i="9" s="1"/>
  <c r="C370" i="9"/>
  <c r="E370" i="9" s="1"/>
  <c r="C371" i="9"/>
  <c r="E371" i="9" s="1"/>
  <c r="C372" i="9"/>
  <c r="E372" i="9" s="1"/>
  <c r="C373" i="9"/>
  <c r="E373" i="9" s="1"/>
  <c r="C374" i="9"/>
  <c r="E374" i="9" s="1"/>
  <c r="C375" i="9"/>
  <c r="E375" i="9" s="1"/>
  <c r="C376" i="9"/>
  <c r="E376" i="9" s="1"/>
  <c r="C377" i="9"/>
  <c r="E377" i="9" s="1"/>
  <c r="C378" i="9"/>
  <c r="E378" i="9" s="1"/>
  <c r="C379" i="9"/>
  <c r="E379" i="9" s="1"/>
  <c r="C380" i="9"/>
  <c r="E380" i="9" s="1"/>
  <c r="C381" i="9"/>
  <c r="E381" i="9" s="1"/>
  <c r="C382" i="9"/>
  <c r="E382" i="9" s="1"/>
  <c r="C383" i="9"/>
  <c r="E383" i="9" s="1"/>
  <c r="C384" i="9"/>
  <c r="E384" i="9" s="1"/>
  <c r="C385" i="9"/>
  <c r="E385" i="9" s="1"/>
  <c r="C386" i="9"/>
  <c r="E386" i="9" s="1"/>
  <c r="C387" i="9"/>
  <c r="E387" i="9" s="1"/>
  <c r="C388" i="9"/>
  <c r="E388" i="9" s="1"/>
  <c r="C389" i="9"/>
  <c r="E389" i="9" s="1"/>
  <c r="C390" i="9"/>
  <c r="E390" i="9" s="1"/>
  <c r="C391" i="9"/>
  <c r="E391" i="9" s="1"/>
  <c r="C392" i="9"/>
  <c r="E392" i="9" s="1"/>
  <c r="C393" i="9"/>
  <c r="E393" i="9" s="1"/>
  <c r="C394" i="9"/>
  <c r="E394" i="9" s="1"/>
  <c r="C395" i="9"/>
  <c r="E395" i="9" s="1"/>
  <c r="C396" i="9"/>
  <c r="E396" i="9" s="1"/>
  <c r="C397" i="9"/>
  <c r="E397" i="9" s="1"/>
  <c r="C398" i="9"/>
  <c r="E398" i="9" s="1"/>
  <c r="C399" i="9"/>
  <c r="E399" i="9" s="1"/>
  <c r="C400" i="9"/>
  <c r="E400" i="9" s="1"/>
  <c r="C401" i="9"/>
  <c r="E401" i="9" s="1"/>
  <c r="C402" i="9"/>
  <c r="E402" i="9" s="1"/>
  <c r="C403" i="9"/>
  <c r="E403" i="9" s="1"/>
  <c r="C404" i="9"/>
  <c r="E404" i="9" s="1"/>
  <c r="C405" i="9"/>
  <c r="E405" i="9" s="1"/>
  <c r="C406" i="9"/>
  <c r="E406" i="9" s="1"/>
  <c r="C407" i="9"/>
  <c r="E407" i="9" s="1"/>
  <c r="C408" i="9"/>
  <c r="E408" i="9" s="1"/>
  <c r="C409" i="9"/>
  <c r="E409" i="9" s="1"/>
  <c r="C410" i="9"/>
  <c r="E410" i="9" s="1"/>
  <c r="C411" i="9"/>
  <c r="E411" i="9" s="1"/>
  <c r="C412" i="9"/>
  <c r="E412" i="9" s="1"/>
  <c r="C413" i="9"/>
  <c r="E413" i="9" s="1"/>
  <c r="C414" i="9"/>
  <c r="E414" i="9" s="1"/>
  <c r="C415" i="9"/>
  <c r="E415" i="9" s="1"/>
  <c r="C416" i="9"/>
  <c r="E416" i="9" s="1"/>
  <c r="C417" i="9"/>
  <c r="E417" i="9" s="1"/>
  <c r="C418" i="9"/>
  <c r="E418" i="9" s="1"/>
  <c r="C419" i="9"/>
  <c r="E419" i="9" s="1"/>
  <c r="C420" i="9"/>
  <c r="E420" i="9" s="1"/>
  <c r="C421" i="9"/>
  <c r="E421" i="9" s="1"/>
  <c r="C422" i="9"/>
  <c r="E422" i="9" s="1"/>
  <c r="C423" i="9"/>
  <c r="E423" i="9" s="1"/>
  <c r="C424" i="9"/>
  <c r="E424" i="9" s="1"/>
  <c r="C425" i="9"/>
  <c r="E425" i="9" s="1"/>
  <c r="C426" i="9"/>
  <c r="E426" i="9" s="1"/>
  <c r="C427" i="9"/>
  <c r="E427" i="9" s="1"/>
  <c r="C428" i="9"/>
  <c r="E428" i="9" s="1"/>
  <c r="C429" i="9"/>
  <c r="E429" i="9" s="1"/>
  <c r="C430" i="9"/>
  <c r="E430" i="9" s="1"/>
  <c r="C431" i="9"/>
  <c r="E431" i="9" s="1"/>
  <c r="C432" i="9"/>
  <c r="E432" i="9" s="1"/>
  <c r="C433" i="9"/>
  <c r="E433" i="9" s="1"/>
  <c r="C434" i="9"/>
  <c r="E434" i="9" s="1"/>
  <c r="C435" i="9"/>
  <c r="E435" i="9" s="1"/>
  <c r="C436" i="9"/>
  <c r="E436" i="9" s="1"/>
  <c r="C437" i="9"/>
  <c r="E437" i="9" s="1"/>
  <c r="C438" i="9"/>
  <c r="E438" i="9" s="1"/>
  <c r="C439" i="9"/>
  <c r="E439" i="9" s="1"/>
  <c r="C440" i="9"/>
  <c r="E440" i="9" s="1"/>
  <c r="C441" i="9"/>
  <c r="E441" i="9" s="1"/>
  <c r="C442" i="9"/>
  <c r="E442" i="9" s="1"/>
  <c r="C443" i="9"/>
  <c r="E443" i="9" s="1"/>
  <c r="C444" i="9"/>
  <c r="E444" i="9" s="1"/>
  <c r="C445" i="9"/>
  <c r="E445" i="9" s="1"/>
  <c r="C446" i="9"/>
  <c r="E446" i="9" s="1"/>
  <c r="C447" i="9"/>
  <c r="E447" i="9" s="1"/>
  <c r="C448" i="9"/>
  <c r="E448" i="9" s="1"/>
  <c r="C449" i="9"/>
  <c r="E449" i="9" s="1"/>
  <c r="C450" i="9"/>
  <c r="E450" i="9" s="1"/>
  <c r="C451" i="9"/>
  <c r="E451" i="9" s="1"/>
  <c r="C452" i="9"/>
  <c r="E452" i="9" s="1"/>
  <c r="C453" i="9"/>
  <c r="E453" i="9" s="1"/>
  <c r="C454" i="9"/>
  <c r="E454" i="9" s="1"/>
  <c r="C455" i="9"/>
  <c r="E455" i="9" s="1"/>
  <c r="C456" i="9"/>
  <c r="E456" i="9" s="1"/>
  <c r="C457" i="9"/>
  <c r="E457" i="9" s="1"/>
  <c r="C458" i="9"/>
  <c r="E458" i="9" s="1"/>
  <c r="C459" i="9"/>
  <c r="E459" i="9" s="1"/>
  <c r="C460" i="9"/>
  <c r="E460" i="9" s="1"/>
  <c r="C461" i="9"/>
  <c r="E461" i="9" s="1"/>
  <c r="C462" i="9"/>
  <c r="E462" i="9" s="1"/>
  <c r="C463" i="9"/>
  <c r="E463" i="9" s="1"/>
  <c r="C464" i="9"/>
  <c r="E464" i="9" s="1"/>
  <c r="C465" i="9"/>
  <c r="E465" i="9" s="1"/>
  <c r="C466" i="9"/>
  <c r="E466" i="9" s="1"/>
  <c r="C467" i="9"/>
  <c r="E467" i="9" s="1"/>
  <c r="C468" i="9"/>
  <c r="E468" i="9" s="1"/>
  <c r="C469" i="9"/>
  <c r="E469" i="9" s="1"/>
  <c r="C470" i="9"/>
  <c r="E470" i="9" s="1"/>
  <c r="C471" i="9"/>
  <c r="E471" i="9" s="1"/>
  <c r="C472" i="9"/>
  <c r="E472" i="9" s="1"/>
  <c r="C473" i="9"/>
  <c r="E473" i="9" s="1"/>
  <c r="C474" i="9"/>
  <c r="E474" i="9" s="1"/>
  <c r="C475" i="9"/>
  <c r="E475" i="9" s="1"/>
  <c r="C476" i="9"/>
  <c r="E476" i="9" s="1"/>
  <c r="C477" i="9"/>
  <c r="E477" i="9" s="1"/>
  <c r="C478" i="9"/>
  <c r="E478" i="9" s="1"/>
  <c r="C479" i="9"/>
  <c r="E479" i="9" s="1"/>
  <c r="C480" i="9"/>
  <c r="E480" i="9" s="1"/>
  <c r="C481" i="9"/>
  <c r="E481" i="9" s="1"/>
  <c r="C482" i="9"/>
  <c r="E482" i="9" s="1"/>
  <c r="C483" i="9"/>
  <c r="E483" i="9" s="1"/>
  <c r="C484" i="9"/>
  <c r="E484" i="9" s="1"/>
  <c r="C485" i="9"/>
  <c r="E485" i="9" s="1"/>
  <c r="C486" i="9"/>
  <c r="E486" i="9" s="1"/>
  <c r="C487" i="9"/>
  <c r="E487" i="9" s="1"/>
  <c r="C488" i="9"/>
  <c r="E488" i="9" s="1"/>
  <c r="C489" i="9"/>
  <c r="E489" i="9" s="1"/>
  <c r="C490" i="9"/>
  <c r="E490" i="9" s="1"/>
  <c r="C491" i="9"/>
  <c r="E491" i="9" s="1"/>
  <c r="C492" i="9"/>
  <c r="E492" i="9" s="1"/>
  <c r="C493" i="9"/>
  <c r="E493" i="9" s="1"/>
  <c r="C494" i="9"/>
  <c r="E494" i="9" s="1"/>
  <c r="C495" i="9"/>
  <c r="E495" i="9" s="1"/>
  <c r="C496" i="9"/>
  <c r="E496" i="9" s="1"/>
  <c r="C497" i="9"/>
  <c r="E497" i="9" s="1"/>
  <c r="C498" i="9"/>
  <c r="E498" i="9" s="1"/>
  <c r="C499" i="9"/>
  <c r="E499" i="9" s="1"/>
  <c r="C500" i="9"/>
  <c r="E500" i="9" s="1"/>
  <c r="C501" i="9"/>
  <c r="E501" i="9" s="1"/>
  <c r="C502" i="9"/>
  <c r="E502" i="9" s="1"/>
  <c r="C503" i="9"/>
  <c r="E503" i="9" s="1"/>
  <c r="C504" i="9"/>
  <c r="E504" i="9" s="1"/>
  <c r="C505" i="9"/>
  <c r="E505" i="9" s="1"/>
  <c r="C506" i="9"/>
  <c r="E506" i="9" s="1"/>
  <c r="C507" i="9"/>
  <c r="E507" i="9" s="1"/>
  <c r="C508" i="9"/>
  <c r="E508" i="9" s="1"/>
  <c r="C509" i="9"/>
  <c r="E509" i="9" s="1"/>
  <c r="C510" i="9"/>
  <c r="E510" i="9" s="1"/>
  <c r="C511" i="9"/>
  <c r="E511" i="9" s="1"/>
  <c r="C512" i="9"/>
  <c r="E512" i="9" s="1"/>
  <c r="C513" i="9"/>
  <c r="E513" i="9" s="1"/>
  <c r="C514" i="9"/>
  <c r="E514" i="9" s="1"/>
  <c r="C515" i="9"/>
  <c r="E515" i="9" s="1"/>
  <c r="C516" i="9"/>
  <c r="E516" i="9" s="1"/>
  <c r="C517" i="9"/>
  <c r="E517" i="9" s="1"/>
  <c r="C518" i="9"/>
  <c r="E518" i="9" s="1"/>
  <c r="C519" i="9"/>
  <c r="E519" i="9" s="1"/>
  <c r="C520" i="9"/>
  <c r="E520" i="9" s="1"/>
  <c r="C521" i="9"/>
  <c r="E521" i="9" s="1"/>
  <c r="C522" i="9"/>
  <c r="E522" i="9" s="1"/>
  <c r="C523" i="9"/>
  <c r="E523" i="9" s="1"/>
  <c r="C524" i="9"/>
  <c r="E524" i="9" s="1"/>
  <c r="C525" i="9"/>
  <c r="E525" i="9" s="1"/>
  <c r="C526" i="9"/>
  <c r="E526" i="9" s="1"/>
  <c r="C527" i="9"/>
  <c r="E527" i="9" s="1"/>
  <c r="C528" i="9"/>
  <c r="E528" i="9" s="1"/>
  <c r="C529" i="9"/>
  <c r="E529" i="9" s="1"/>
  <c r="C530" i="9"/>
  <c r="E530" i="9" s="1"/>
  <c r="C531" i="9"/>
  <c r="E531" i="9" s="1"/>
  <c r="C532" i="9"/>
  <c r="E532" i="9" s="1"/>
  <c r="C533" i="9"/>
  <c r="E533" i="9" s="1"/>
  <c r="C534" i="9"/>
  <c r="E534" i="9" s="1"/>
  <c r="C535" i="9"/>
  <c r="E535" i="9" s="1"/>
  <c r="C536" i="9"/>
  <c r="E536" i="9" s="1"/>
  <c r="C537" i="9"/>
  <c r="E537" i="9" s="1"/>
  <c r="C538" i="9"/>
  <c r="E538" i="9" s="1"/>
  <c r="C539" i="9"/>
  <c r="E539" i="9" s="1"/>
  <c r="C540" i="9"/>
  <c r="E540" i="9" s="1"/>
  <c r="C541" i="9"/>
  <c r="E541" i="9" s="1"/>
  <c r="C542" i="9"/>
  <c r="E542" i="9" s="1"/>
  <c r="C543" i="9"/>
  <c r="E543" i="9" s="1"/>
  <c r="C544" i="9"/>
  <c r="E544" i="9" s="1"/>
  <c r="C545" i="9"/>
  <c r="E545" i="9" s="1"/>
  <c r="C546" i="9"/>
  <c r="E546" i="9" s="1"/>
  <c r="C547" i="9"/>
  <c r="E547" i="9" s="1"/>
  <c r="C548" i="9"/>
  <c r="E548" i="9" s="1"/>
  <c r="C549" i="9"/>
  <c r="E549" i="9" s="1"/>
  <c r="C550" i="9"/>
  <c r="E550" i="9" s="1"/>
  <c r="C551" i="9"/>
  <c r="E551" i="9" s="1"/>
  <c r="C552" i="9"/>
  <c r="E552" i="9" s="1"/>
  <c r="C553" i="9"/>
  <c r="E553" i="9" s="1"/>
  <c r="C554" i="9"/>
  <c r="E554" i="9" s="1"/>
  <c r="C555" i="9"/>
  <c r="E555" i="9" s="1"/>
  <c r="C556" i="9"/>
  <c r="E556" i="9" s="1"/>
  <c r="C557" i="9"/>
  <c r="E557" i="9" s="1"/>
  <c r="C558" i="9"/>
  <c r="E558" i="9" s="1"/>
  <c r="C559" i="9"/>
  <c r="E559" i="9" s="1"/>
  <c r="C560" i="9"/>
  <c r="E560" i="9" s="1"/>
  <c r="C561" i="9"/>
  <c r="E561" i="9" s="1"/>
  <c r="C562" i="9"/>
  <c r="E562" i="9" s="1"/>
  <c r="C563" i="9"/>
  <c r="E563" i="9" s="1"/>
  <c r="C564" i="9"/>
  <c r="E564" i="9" s="1"/>
  <c r="C565" i="9"/>
  <c r="E565" i="9" s="1"/>
  <c r="C566" i="9"/>
  <c r="E566" i="9" s="1"/>
  <c r="C567" i="9"/>
  <c r="E567" i="9" s="1"/>
  <c r="C568" i="9"/>
  <c r="E568" i="9" s="1"/>
  <c r="C569" i="9"/>
  <c r="E569" i="9" s="1"/>
  <c r="C570" i="9"/>
  <c r="E570" i="9" s="1"/>
  <c r="C571" i="9"/>
  <c r="E571" i="9" s="1"/>
  <c r="C572" i="9"/>
  <c r="E572" i="9" s="1"/>
  <c r="C573" i="9"/>
  <c r="E573" i="9" s="1"/>
  <c r="C574" i="9"/>
  <c r="E574" i="9" s="1"/>
  <c r="C575" i="9"/>
  <c r="E575" i="9" s="1"/>
  <c r="C576" i="9"/>
  <c r="E576" i="9" s="1"/>
  <c r="C577" i="9"/>
  <c r="E577" i="9" s="1"/>
  <c r="C578" i="9"/>
  <c r="E578" i="9" s="1"/>
  <c r="C579" i="9"/>
  <c r="E579" i="9" s="1"/>
  <c r="C580" i="9"/>
  <c r="E580" i="9" s="1"/>
  <c r="C581" i="9"/>
  <c r="E581" i="9" s="1"/>
  <c r="C582" i="9"/>
  <c r="E582" i="9" s="1"/>
  <c r="C583" i="9"/>
  <c r="E583" i="9" s="1"/>
  <c r="C584" i="9"/>
  <c r="E584" i="9" s="1"/>
  <c r="C585" i="9"/>
  <c r="E585" i="9" s="1"/>
  <c r="C586" i="9"/>
  <c r="E586" i="9" s="1"/>
  <c r="C587" i="9"/>
  <c r="E587" i="9" s="1"/>
  <c r="C588" i="9"/>
  <c r="E588" i="9" s="1"/>
  <c r="C589" i="9"/>
  <c r="E589" i="9" s="1"/>
  <c r="C590" i="9"/>
  <c r="E590" i="9" s="1"/>
  <c r="C591" i="9"/>
  <c r="E591" i="9" s="1"/>
  <c r="C592" i="9"/>
  <c r="E592" i="9" s="1"/>
  <c r="C593" i="9"/>
  <c r="E593" i="9" s="1"/>
  <c r="C594" i="9"/>
  <c r="E594" i="9" s="1"/>
  <c r="C595" i="9"/>
  <c r="E595" i="9" s="1"/>
  <c r="C596" i="9"/>
  <c r="E596" i="9" s="1"/>
  <c r="C597" i="9"/>
  <c r="E597" i="9" s="1"/>
  <c r="C598" i="9"/>
  <c r="E598" i="9" s="1"/>
  <c r="C599" i="9"/>
  <c r="E599" i="9" s="1"/>
  <c r="C600" i="9"/>
  <c r="E600" i="9" s="1"/>
  <c r="C601" i="9"/>
  <c r="E601" i="9" s="1"/>
  <c r="C602" i="9"/>
  <c r="E602" i="9" s="1"/>
  <c r="C603" i="9"/>
  <c r="E603" i="9" s="1"/>
  <c r="C604" i="9"/>
  <c r="E604" i="9" s="1"/>
  <c r="C605" i="9"/>
  <c r="E605" i="9" s="1"/>
  <c r="C606" i="9"/>
  <c r="E606" i="9" s="1"/>
  <c r="C607" i="9"/>
  <c r="E607" i="9" s="1"/>
  <c r="C608" i="9"/>
  <c r="E608" i="9" s="1"/>
  <c r="C609" i="9"/>
  <c r="E609" i="9" s="1"/>
  <c r="C610" i="9"/>
  <c r="E610" i="9" s="1"/>
  <c r="C611" i="9"/>
  <c r="E611" i="9" s="1"/>
  <c r="C612" i="9"/>
  <c r="E612" i="9" s="1"/>
  <c r="C613" i="9"/>
  <c r="E613" i="9" s="1"/>
  <c r="C614" i="9"/>
  <c r="E614" i="9" s="1"/>
  <c r="C615" i="9"/>
  <c r="E615" i="9" s="1"/>
  <c r="C616" i="9"/>
  <c r="E616" i="9" s="1"/>
  <c r="C617" i="9"/>
  <c r="E617" i="9" s="1"/>
  <c r="C618" i="9"/>
  <c r="E618" i="9" s="1"/>
  <c r="C619" i="9"/>
  <c r="E619" i="9" s="1"/>
  <c r="C620" i="9"/>
  <c r="E620" i="9" s="1"/>
  <c r="C621" i="9"/>
  <c r="E621" i="9" s="1"/>
  <c r="C622" i="9"/>
  <c r="E622" i="9" s="1"/>
  <c r="C623" i="9"/>
  <c r="E623" i="9" s="1"/>
  <c r="C624" i="9"/>
  <c r="E624" i="9" s="1"/>
  <c r="C625" i="9"/>
  <c r="E625" i="9" s="1"/>
  <c r="C626" i="9"/>
  <c r="E626" i="9" s="1"/>
  <c r="C627" i="9"/>
  <c r="E627" i="9" s="1"/>
  <c r="C628" i="9"/>
  <c r="E628" i="9" s="1"/>
  <c r="C629" i="9"/>
  <c r="E629" i="9" s="1"/>
  <c r="C630" i="9"/>
  <c r="E630" i="9" s="1"/>
  <c r="C631" i="9"/>
  <c r="E631" i="9" s="1"/>
  <c r="C632" i="9"/>
  <c r="E632" i="9" s="1"/>
  <c r="C633" i="9"/>
  <c r="E633" i="9" s="1"/>
  <c r="C634" i="9"/>
  <c r="E634" i="9" s="1"/>
  <c r="C635" i="9"/>
  <c r="E635" i="9" s="1"/>
  <c r="C636" i="9"/>
  <c r="E636" i="9" s="1"/>
  <c r="C637" i="9"/>
  <c r="E637" i="9" s="1"/>
  <c r="C638" i="9"/>
  <c r="E638" i="9" s="1"/>
  <c r="C639" i="9"/>
  <c r="E639" i="9" s="1"/>
  <c r="C640" i="9"/>
  <c r="E640" i="9" s="1"/>
  <c r="C641" i="9"/>
  <c r="E641" i="9" s="1"/>
  <c r="C642" i="9"/>
  <c r="E642" i="9" s="1"/>
  <c r="C643" i="9"/>
  <c r="E643" i="9" s="1"/>
  <c r="C644" i="9"/>
  <c r="E644" i="9" s="1"/>
  <c r="C645" i="9"/>
  <c r="E645" i="9" s="1"/>
  <c r="C646" i="9"/>
  <c r="E646" i="9" s="1"/>
  <c r="C647" i="9"/>
  <c r="E647" i="9" s="1"/>
  <c r="C648" i="9"/>
  <c r="E648" i="9" s="1"/>
  <c r="C649" i="9"/>
  <c r="E649" i="9" s="1"/>
  <c r="C650" i="9"/>
  <c r="E650" i="9" s="1"/>
  <c r="C651" i="9"/>
  <c r="E651" i="9" s="1"/>
  <c r="C652" i="9"/>
  <c r="E652" i="9" s="1"/>
  <c r="C653" i="9"/>
  <c r="E653" i="9" s="1"/>
  <c r="C654" i="9"/>
  <c r="E654" i="9" s="1"/>
  <c r="C655" i="9"/>
  <c r="E655" i="9" s="1"/>
  <c r="C656" i="9"/>
  <c r="E656" i="9" s="1"/>
  <c r="C657" i="9"/>
  <c r="E657" i="9" s="1"/>
  <c r="C658" i="9"/>
  <c r="E658" i="9" s="1"/>
  <c r="C659" i="9"/>
  <c r="E659" i="9" s="1"/>
  <c r="C660" i="9"/>
  <c r="E660" i="9" s="1"/>
  <c r="C661" i="9"/>
  <c r="E661" i="9" s="1"/>
  <c r="C662" i="9"/>
  <c r="E662" i="9" s="1"/>
  <c r="C663" i="9"/>
  <c r="E663" i="9" s="1"/>
  <c r="C664" i="9"/>
  <c r="E664" i="9" s="1"/>
  <c r="C665" i="9"/>
  <c r="E665" i="9" s="1"/>
  <c r="C666" i="9"/>
  <c r="E666" i="9" s="1"/>
  <c r="C667" i="9"/>
  <c r="E667" i="9" s="1"/>
  <c r="C668" i="9"/>
  <c r="E668" i="9" s="1"/>
  <c r="C669" i="9"/>
  <c r="E669" i="9" s="1"/>
  <c r="C670" i="9"/>
  <c r="E670" i="9" s="1"/>
  <c r="C671" i="9"/>
  <c r="E671" i="9" s="1"/>
  <c r="C672" i="9"/>
  <c r="E672" i="9" s="1"/>
  <c r="C673" i="9"/>
  <c r="E673" i="9" s="1"/>
  <c r="C674" i="9"/>
  <c r="E674" i="9" s="1"/>
  <c r="C675" i="9"/>
  <c r="E675" i="9" s="1"/>
  <c r="C676" i="9"/>
  <c r="E676" i="9" s="1"/>
  <c r="C677" i="9"/>
  <c r="E677" i="9" s="1"/>
  <c r="C678" i="9"/>
  <c r="E678" i="9" s="1"/>
  <c r="C679" i="9"/>
  <c r="E679" i="9" s="1"/>
  <c r="C680" i="9"/>
  <c r="E680" i="9" s="1"/>
  <c r="C681" i="9"/>
  <c r="E681" i="9" s="1"/>
  <c r="C682" i="9"/>
  <c r="E682" i="9" s="1"/>
  <c r="C683" i="9"/>
  <c r="E683" i="9" s="1"/>
  <c r="C684" i="9"/>
  <c r="E684" i="9" s="1"/>
  <c r="C685" i="9"/>
  <c r="E685" i="9" s="1"/>
  <c r="C686" i="9"/>
  <c r="E686" i="9" s="1"/>
  <c r="C687" i="9"/>
  <c r="E687" i="9" s="1"/>
  <c r="C688" i="9"/>
  <c r="E688" i="9" s="1"/>
  <c r="C689" i="9"/>
  <c r="E689" i="9" s="1"/>
  <c r="C690" i="9"/>
  <c r="E690" i="9" s="1"/>
  <c r="C691" i="9"/>
  <c r="E691" i="9" s="1"/>
  <c r="C692" i="9"/>
  <c r="E692" i="9" s="1"/>
  <c r="C693" i="9"/>
  <c r="E693" i="9" s="1"/>
  <c r="C694" i="9"/>
  <c r="E694" i="9" s="1"/>
  <c r="C695" i="9"/>
  <c r="E695" i="9" s="1"/>
  <c r="C696" i="9"/>
  <c r="E696" i="9" s="1"/>
  <c r="C697" i="9"/>
  <c r="E697" i="9" s="1"/>
  <c r="C698" i="9"/>
  <c r="E698" i="9" s="1"/>
  <c r="C699" i="9"/>
  <c r="E699" i="9" s="1"/>
  <c r="C700" i="9"/>
  <c r="E700" i="9" s="1"/>
  <c r="C701" i="9"/>
  <c r="E701" i="9" s="1"/>
  <c r="C702" i="9"/>
  <c r="E702" i="9" s="1"/>
  <c r="C703" i="9"/>
  <c r="E703" i="9" s="1"/>
  <c r="C704" i="9"/>
  <c r="E704" i="9" s="1"/>
  <c r="C705" i="9"/>
  <c r="E705" i="9" s="1"/>
  <c r="C706" i="9"/>
  <c r="E706" i="9" s="1"/>
  <c r="C707" i="9"/>
  <c r="E707" i="9" s="1"/>
  <c r="C708" i="9"/>
  <c r="E708" i="9" s="1"/>
  <c r="C709" i="9"/>
  <c r="E709" i="9" s="1"/>
  <c r="C710" i="9"/>
  <c r="E710" i="9" s="1"/>
  <c r="C711" i="9"/>
  <c r="E711" i="9" s="1"/>
  <c r="C712" i="9"/>
  <c r="E712" i="9" s="1"/>
  <c r="C713" i="9"/>
  <c r="E713" i="9" s="1"/>
  <c r="C714" i="9"/>
  <c r="E714" i="9" s="1"/>
  <c r="C715" i="9"/>
  <c r="E715" i="9" s="1"/>
  <c r="C716" i="9"/>
  <c r="E716" i="9" s="1"/>
  <c r="C717" i="9"/>
  <c r="E717" i="9" s="1"/>
  <c r="C718" i="9"/>
  <c r="E718" i="9" s="1"/>
  <c r="C719" i="9"/>
  <c r="E719" i="9" s="1"/>
  <c r="C720" i="9"/>
  <c r="E720" i="9" s="1"/>
  <c r="C721" i="9"/>
  <c r="E721" i="9" s="1"/>
  <c r="C722" i="9"/>
  <c r="E722" i="9" s="1"/>
  <c r="C723" i="9"/>
  <c r="E723" i="9" s="1"/>
  <c r="C724" i="9"/>
  <c r="E724" i="9" s="1"/>
  <c r="C725" i="9"/>
  <c r="E725" i="9" s="1"/>
  <c r="C726" i="9"/>
  <c r="E726" i="9" s="1"/>
  <c r="C727" i="9"/>
  <c r="E727" i="9" s="1"/>
  <c r="C728" i="9"/>
  <c r="E728" i="9" s="1"/>
  <c r="C729" i="9"/>
  <c r="E729" i="9" s="1"/>
  <c r="C730" i="9"/>
  <c r="E730" i="9" s="1"/>
  <c r="C731" i="9"/>
  <c r="E731" i="9" s="1"/>
  <c r="C732" i="9"/>
  <c r="E732" i="9" s="1"/>
  <c r="C733" i="9"/>
  <c r="E733" i="9" s="1"/>
  <c r="C734" i="9"/>
  <c r="E734" i="9" s="1"/>
  <c r="C735" i="9"/>
  <c r="E735" i="9" s="1"/>
  <c r="C736" i="9"/>
  <c r="E736" i="9" s="1"/>
  <c r="C737" i="9"/>
  <c r="E737" i="9" s="1"/>
  <c r="C738" i="9"/>
  <c r="E738" i="9" s="1"/>
  <c r="C739" i="9"/>
  <c r="E739" i="9" s="1"/>
  <c r="C740" i="9"/>
  <c r="E740" i="9" s="1"/>
  <c r="C741" i="9"/>
  <c r="E741" i="9" s="1"/>
  <c r="C742" i="9"/>
  <c r="E742" i="9" s="1"/>
  <c r="C743" i="9"/>
  <c r="E743" i="9" s="1"/>
  <c r="C744" i="9"/>
  <c r="E744" i="9" s="1"/>
  <c r="C745" i="9"/>
  <c r="E745" i="9" s="1"/>
  <c r="C746" i="9"/>
  <c r="E746" i="9" s="1"/>
  <c r="C747" i="9"/>
  <c r="E747" i="9" s="1"/>
  <c r="C748" i="9"/>
  <c r="E748" i="9" s="1"/>
  <c r="C749" i="9"/>
  <c r="E749" i="9" s="1"/>
  <c r="C750" i="9"/>
  <c r="E750" i="9" s="1"/>
  <c r="C751" i="9"/>
  <c r="E751" i="9" s="1"/>
  <c r="C752" i="9"/>
  <c r="E752" i="9" s="1"/>
  <c r="C753" i="9"/>
  <c r="E753" i="9" s="1"/>
  <c r="C754" i="9"/>
  <c r="E754" i="9" s="1"/>
  <c r="C755" i="9"/>
  <c r="E755" i="9" s="1"/>
  <c r="C756" i="9"/>
  <c r="E756" i="9" s="1"/>
  <c r="C757" i="9"/>
  <c r="E757" i="9" s="1"/>
  <c r="C758" i="9"/>
  <c r="E758" i="9" s="1"/>
  <c r="C759" i="9"/>
  <c r="E759" i="9" s="1"/>
  <c r="C760" i="9"/>
  <c r="E760" i="9" s="1"/>
  <c r="C761" i="9"/>
  <c r="E761" i="9" s="1"/>
  <c r="C762" i="9"/>
  <c r="E762" i="9" s="1"/>
  <c r="C763" i="9"/>
  <c r="E763" i="9" s="1"/>
  <c r="C764" i="9"/>
  <c r="E764" i="9" s="1"/>
  <c r="C765" i="9"/>
  <c r="E765" i="9" s="1"/>
  <c r="C766" i="9"/>
  <c r="E766" i="9" s="1"/>
  <c r="C767" i="9"/>
  <c r="E767" i="9" s="1"/>
  <c r="C768" i="9"/>
  <c r="E768" i="9" s="1"/>
  <c r="C769" i="9"/>
  <c r="E769" i="9" s="1"/>
  <c r="C770" i="9"/>
  <c r="E770" i="9" s="1"/>
  <c r="C771" i="9"/>
  <c r="E771" i="9" s="1"/>
  <c r="C772" i="9"/>
  <c r="E772" i="9" s="1"/>
  <c r="C773" i="9"/>
  <c r="E773" i="9" s="1"/>
  <c r="C774" i="9"/>
  <c r="E774" i="9" s="1"/>
  <c r="C775" i="9"/>
  <c r="E775" i="9" s="1"/>
  <c r="C776" i="9"/>
  <c r="E776" i="9" s="1"/>
  <c r="C777" i="9"/>
  <c r="E777" i="9" s="1"/>
  <c r="C778" i="9"/>
  <c r="E778" i="9" s="1"/>
  <c r="C779" i="9"/>
  <c r="E779" i="9" s="1"/>
  <c r="C780" i="9"/>
  <c r="E780" i="9" s="1"/>
  <c r="C781" i="9"/>
  <c r="E781" i="9" s="1"/>
  <c r="C782" i="9"/>
  <c r="E782" i="9" s="1"/>
  <c r="C783" i="9"/>
  <c r="E783" i="9" s="1"/>
  <c r="C784" i="9"/>
  <c r="E784" i="9" s="1"/>
  <c r="C785" i="9"/>
  <c r="E785" i="9" s="1"/>
  <c r="C786" i="9"/>
  <c r="E786" i="9" s="1"/>
  <c r="C787" i="9"/>
  <c r="E787" i="9" s="1"/>
  <c r="C788" i="9"/>
  <c r="E788" i="9" s="1"/>
  <c r="C789" i="9"/>
  <c r="E789" i="9" s="1"/>
  <c r="C790" i="9"/>
  <c r="E790" i="9" s="1"/>
  <c r="C791" i="9"/>
  <c r="E791" i="9" s="1"/>
  <c r="C792" i="9"/>
  <c r="E792" i="9" s="1"/>
  <c r="C793" i="9"/>
  <c r="E793" i="9" s="1"/>
  <c r="C794" i="9"/>
  <c r="E794" i="9" s="1"/>
  <c r="C795" i="9"/>
  <c r="E795" i="9" s="1"/>
  <c r="C796" i="9"/>
  <c r="E796" i="9" s="1"/>
  <c r="C797" i="9"/>
  <c r="E797" i="9" s="1"/>
  <c r="C798" i="9"/>
  <c r="E798" i="9" s="1"/>
  <c r="C799" i="9"/>
  <c r="E799" i="9" s="1"/>
  <c r="C800" i="9"/>
  <c r="E800" i="9" s="1"/>
  <c r="C801" i="9"/>
  <c r="E801" i="9" s="1"/>
  <c r="C802" i="9"/>
  <c r="E802" i="9" s="1"/>
  <c r="C803" i="9"/>
  <c r="E803" i="9" s="1"/>
  <c r="C804" i="9"/>
  <c r="E804" i="9" s="1"/>
  <c r="C805" i="9"/>
  <c r="E805" i="9" s="1"/>
  <c r="C806" i="9"/>
  <c r="E806" i="9" s="1"/>
  <c r="C807" i="9"/>
  <c r="E807" i="9" s="1"/>
  <c r="C808" i="9"/>
  <c r="E808" i="9" s="1"/>
  <c r="C809" i="9"/>
  <c r="E809" i="9" s="1"/>
  <c r="C810" i="9"/>
  <c r="E810" i="9" s="1"/>
  <c r="C811" i="9"/>
  <c r="E811" i="9" s="1"/>
  <c r="C812" i="9"/>
  <c r="E812" i="9" s="1"/>
  <c r="C813" i="9"/>
  <c r="E813" i="9" s="1"/>
  <c r="C814" i="9"/>
  <c r="E814" i="9" s="1"/>
  <c r="C815" i="9"/>
  <c r="E815" i="9" s="1"/>
  <c r="C816" i="9"/>
  <c r="E816" i="9" s="1"/>
  <c r="C817" i="9"/>
  <c r="E817" i="9" s="1"/>
  <c r="C818" i="9"/>
  <c r="E818" i="9" s="1"/>
  <c r="C819" i="9"/>
  <c r="E819" i="9" s="1"/>
  <c r="C820" i="9"/>
  <c r="E820" i="9" s="1"/>
  <c r="C821" i="9"/>
  <c r="E821" i="9" s="1"/>
  <c r="C822" i="9"/>
  <c r="E822" i="9" s="1"/>
  <c r="C823" i="9"/>
  <c r="E823" i="9" s="1"/>
  <c r="C824" i="9"/>
  <c r="E824" i="9" s="1"/>
  <c r="C825" i="9"/>
  <c r="E825" i="9" s="1"/>
  <c r="C826" i="9"/>
  <c r="E826" i="9" s="1"/>
  <c r="C827" i="9"/>
  <c r="E827" i="9" s="1"/>
  <c r="C828" i="9"/>
  <c r="E828" i="9" s="1"/>
  <c r="C829" i="9"/>
  <c r="E829" i="9" s="1"/>
  <c r="C830" i="9"/>
  <c r="E830" i="9" s="1"/>
  <c r="C831" i="9"/>
  <c r="E831" i="9" s="1"/>
  <c r="C832" i="9"/>
  <c r="E832" i="9" s="1"/>
  <c r="C833" i="9"/>
  <c r="E833" i="9" s="1"/>
  <c r="C834" i="9"/>
  <c r="E834" i="9" s="1"/>
  <c r="C835" i="9"/>
  <c r="E835" i="9" s="1"/>
  <c r="C836" i="9"/>
  <c r="E836" i="9" s="1"/>
  <c r="C837" i="9"/>
  <c r="E837" i="9" s="1"/>
  <c r="C838" i="9"/>
  <c r="E838" i="9" s="1"/>
  <c r="C839" i="9"/>
  <c r="E839" i="9" s="1"/>
  <c r="C840" i="9"/>
  <c r="E840" i="9" s="1"/>
  <c r="C841" i="9"/>
  <c r="E841" i="9" s="1"/>
  <c r="C842" i="9"/>
  <c r="E842" i="9" s="1"/>
  <c r="C843" i="9"/>
  <c r="E843" i="9" s="1"/>
  <c r="C844" i="9"/>
  <c r="E844" i="9" s="1"/>
  <c r="C845" i="9"/>
  <c r="E845" i="9" s="1"/>
  <c r="C846" i="9"/>
  <c r="E846" i="9" s="1"/>
  <c r="C847" i="9"/>
  <c r="E847" i="9" s="1"/>
  <c r="C848" i="9"/>
  <c r="E848" i="9" s="1"/>
  <c r="C849" i="9"/>
  <c r="E849" i="9" s="1"/>
  <c r="C850" i="9"/>
  <c r="E850" i="9" s="1"/>
  <c r="C851" i="9"/>
  <c r="E851" i="9" s="1"/>
  <c r="C852" i="9"/>
  <c r="E852" i="9" s="1"/>
  <c r="C853" i="9"/>
  <c r="E853" i="9" s="1"/>
  <c r="C854" i="9"/>
  <c r="E854" i="9" s="1"/>
  <c r="C855" i="9"/>
  <c r="E855" i="9" s="1"/>
  <c r="C856" i="9"/>
  <c r="E856" i="9" s="1"/>
  <c r="C857" i="9"/>
  <c r="E857" i="9" s="1"/>
  <c r="C858" i="9"/>
  <c r="E858" i="9" s="1"/>
  <c r="C859" i="9"/>
  <c r="E859" i="9" s="1"/>
  <c r="C860" i="9"/>
  <c r="E860" i="9" s="1"/>
  <c r="C861" i="9"/>
  <c r="E861" i="9" s="1"/>
  <c r="C862" i="9"/>
  <c r="E862" i="9" s="1"/>
  <c r="C863" i="9"/>
  <c r="E863" i="9" s="1"/>
  <c r="C864" i="9"/>
  <c r="E864" i="9" s="1"/>
  <c r="C865" i="9"/>
  <c r="E865" i="9" s="1"/>
  <c r="C866" i="9"/>
  <c r="E866" i="9" s="1"/>
  <c r="C867" i="9"/>
  <c r="E867" i="9" s="1"/>
  <c r="C868" i="9"/>
  <c r="E868" i="9" s="1"/>
  <c r="C869" i="9"/>
  <c r="E869" i="9" s="1"/>
  <c r="C870" i="9"/>
  <c r="E870" i="9" s="1"/>
  <c r="C871" i="9"/>
  <c r="E871" i="9" s="1"/>
  <c r="C872" i="9"/>
  <c r="E872" i="9" s="1"/>
  <c r="C873" i="9"/>
  <c r="E873" i="9" s="1"/>
  <c r="C874" i="9"/>
  <c r="E874" i="9" s="1"/>
  <c r="C875" i="9"/>
  <c r="E875" i="9" s="1"/>
  <c r="C876" i="9"/>
  <c r="E876" i="9" s="1"/>
  <c r="C877" i="9"/>
  <c r="E877" i="9" s="1"/>
  <c r="C878" i="9"/>
  <c r="E878" i="9" s="1"/>
  <c r="C879" i="9"/>
  <c r="E879" i="9" s="1"/>
  <c r="C880" i="9"/>
  <c r="E880" i="9" s="1"/>
  <c r="C881" i="9"/>
  <c r="E881" i="9" s="1"/>
  <c r="C882" i="9"/>
  <c r="E882" i="9" s="1"/>
  <c r="C883" i="9"/>
  <c r="E883" i="9" s="1"/>
  <c r="C884" i="9"/>
  <c r="E884" i="9" s="1"/>
  <c r="C885" i="9"/>
  <c r="E885" i="9" s="1"/>
  <c r="C886" i="9"/>
  <c r="E886" i="9" s="1"/>
  <c r="C887" i="9"/>
  <c r="E887" i="9" s="1"/>
  <c r="C888" i="9"/>
  <c r="E888" i="9" s="1"/>
  <c r="C889" i="9"/>
  <c r="E889" i="9" s="1"/>
  <c r="C890" i="9"/>
  <c r="E890" i="9" s="1"/>
  <c r="C891" i="9"/>
  <c r="E891" i="9" s="1"/>
  <c r="C892" i="9"/>
  <c r="E892" i="9" s="1"/>
  <c r="C893" i="9"/>
  <c r="E893" i="9" s="1"/>
  <c r="C894" i="9"/>
  <c r="E894" i="9" s="1"/>
  <c r="C895" i="9"/>
  <c r="E895" i="9" s="1"/>
  <c r="C896" i="9"/>
  <c r="E896" i="9" s="1"/>
  <c r="C897" i="9"/>
  <c r="E897" i="9" s="1"/>
  <c r="C898" i="9"/>
  <c r="E898" i="9" s="1"/>
  <c r="C899" i="9"/>
  <c r="E899" i="9" s="1"/>
  <c r="C900" i="9"/>
  <c r="E900" i="9" s="1"/>
  <c r="C901" i="9"/>
  <c r="E901" i="9" s="1"/>
  <c r="C902" i="9"/>
  <c r="E902" i="9" s="1"/>
  <c r="C903" i="9"/>
  <c r="E903" i="9" s="1"/>
  <c r="C904" i="9"/>
  <c r="E904" i="9" s="1"/>
  <c r="C905" i="9"/>
  <c r="E905" i="9" s="1"/>
  <c r="C906" i="9"/>
  <c r="E906" i="9" s="1"/>
  <c r="C907" i="9"/>
  <c r="E907" i="9" s="1"/>
  <c r="C908" i="9"/>
  <c r="E908" i="9" s="1"/>
  <c r="C909" i="9"/>
  <c r="E909" i="9" s="1"/>
  <c r="C910" i="9"/>
  <c r="E910" i="9" s="1"/>
  <c r="C911" i="9"/>
  <c r="E911" i="9" s="1"/>
  <c r="C912" i="9"/>
  <c r="E912" i="9" s="1"/>
  <c r="C913" i="9"/>
  <c r="E913" i="9" s="1"/>
  <c r="C914" i="9"/>
  <c r="E914" i="9" s="1"/>
  <c r="C915" i="9"/>
  <c r="E915" i="9" s="1"/>
  <c r="C916" i="9"/>
  <c r="E916" i="9" s="1"/>
  <c r="C917" i="9"/>
  <c r="E917" i="9" s="1"/>
  <c r="C918" i="9"/>
  <c r="E918" i="9" s="1"/>
  <c r="C919" i="9"/>
  <c r="E919" i="9" s="1"/>
  <c r="C920" i="9"/>
  <c r="E920" i="9" s="1"/>
  <c r="C921" i="9"/>
  <c r="E921" i="9" s="1"/>
  <c r="C922" i="9"/>
  <c r="E922" i="9" s="1"/>
  <c r="C923" i="9"/>
  <c r="E923" i="9" s="1"/>
  <c r="C924" i="9"/>
  <c r="E924" i="9" s="1"/>
  <c r="C925" i="9"/>
  <c r="E925" i="9" s="1"/>
  <c r="C926" i="9"/>
  <c r="E926" i="9" s="1"/>
  <c r="C927" i="9"/>
  <c r="E927" i="9" s="1"/>
  <c r="C928" i="9"/>
  <c r="E928" i="9" s="1"/>
  <c r="C929" i="9"/>
  <c r="E929" i="9" s="1"/>
  <c r="C930" i="9"/>
  <c r="E930" i="9" s="1"/>
  <c r="C931" i="9"/>
  <c r="E931" i="9" s="1"/>
  <c r="C932" i="9"/>
  <c r="E932" i="9" s="1"/>
  <c r="C933" i="9"/>
  <c r="E933" i="9" s="1"/>
  <c r="C934" i="9"/>
  <c r="E934" i="9" s="1"/>
  <c r="C935" i="9"/>
  <c r="E935" i="9" s="1"/>
  <c r="C936" i="9"/>
  <c r="E936" i="9" s="1"/>
  <c r="C937" i="9"/>
  <c r="E937" i="9" s="1"/>
  <c r="C938" i="9"/>
  <c r="E938" i="9" s="1"/>
  <c r="C939" i="9"/>
  <c r="E939" i="9" s="1"/>
  <c r="C940" i="9"/>
  <c r="E940" i="9" s="1"/>
  <c r="C941" i="9"/>
  <c r="E941" i="9" s="1"/>
  <c r="C942" i="9"/>
  <c r="E942" i="9" s="1"/>
  <c r="C943" i="9"/>
  <c r="E943" i="9" s="1"/>
  <c r="C944" i="9"/>
  <c r="E944" i="9" s="1"/>
  <c r="C945" i="9"/>
  <c r="E945" i="9" s="1"/>
  <c r="C946" i="9"/>
  <c r="E946" i="9" s="1"/>
  <c r="C947" i="9"/>
  <c r="E947" i="9" s="1"/>
  <c r="C948" i="9"/>
  <c r="E948" i="9" s="1"/>
  <c r="C949" i="9"/>
  <c r="E949" i="9" s="1"/>
  <c r="C950" i="9"/>
  <c r="E950" i="9" s="1"/>
  <c r="C951" i="9"/>
  <c r="E951" i="9" s="1"/>
  <c r="C952" i="9"/>
  <c r="E952" i="9" s="1"/>
  <c r="C953" i="9"/>
  <c r="E953" i="9" s="1"/>
  <c r="C954" i="9"/>
  <c r="E954" i="9" s="1"/>
  <c r="C955" i="9"/>
  <c r="E955" i="9" s="1"/>
  <c r="C956" i="9"/>
  <c r="E956" i="9" s="1"/>
  <c r="C957" i="9"/>
  <c r="E957" i="9" s="1"/>
  <c r="C958" i="9"/>
  <c r="E958" i="9" s="1"/>
  <c r="C959" i="9"/>
  <c r="E959" i="9" s="1"/>
  <c r="C960" i="9"/>
  <c r="E960" i="9" s="1"/>
  <c r="C961" i="9"/>
  <c r="E961" i="9" s="1"/>
  <c r="C962" i="9"/>
  <c r="E962" i="9" s="1"/>
  <c r="C963" i="9"/>
  <c r="E963" i="9" s="1"/>
  <c r="C964" i="9"/>
  <c r="E964" i="9" s="1"/>
  <c r="C965" i="9"/>
  <c r="E965" i="9" s="1"/>
  <c r="C966" i="9"/>
  <c r="E966" i="9" s="1"/>
  <c r="C967" i="9"/>
  <c r="E967" i="9" s="1"/>
  <c r="C968" i="9"/>
  <c r="E968" i="9" s="1"/>
  <c r="C969" i="9"/>
  <c r="E969" i="9" s="1"/>
  <c r="C970" i="9"/>
  <c r="E970" i="9" s="1"/>
  <c r="C971" i="9"/>
  <c r="E971" i="9" s="1"/>
  <c r="C972" i="9"/>
  <c r="E972" i="9" s="1"/>
  <c r="C973" i="9"/>
  <c r="E973" i="9" s="1"/>
  <c r="C974" i="9"/>
  <c r="E974" i="9" s="1"/>
  <c r="C975" i="9"/>
  <c r="E975" i="9" s="1"/>
  <c r="C976" i="9"/>
  <c r="E976" i="9" s="1"/>
  <c r="C977" i="9"/>
  <c r="E977" i="9" s="1"/>
  <c r="C978" i="9"/>
  <c r="E978" i="9" s="1"/>
  <c r="C979" i="9"/>
  <c r="E979" i="9" s="1"/>
  <c r="C980" i="9"/>
  <c r="E980" i="9" s="1"/>
  <c r="C981" i="9"/>
  <c r="E981" i="9" s="1"/>
  <c r="C982" i="9"/>
  <c r="E982" i="9" s="1"/>
  <c r="C983" i="9"/>
  <c r="E983" i="9" s="1"/>
  <c r="C984" i="9"/>
  <c r="E984" i="9" s="1"/>
  <c r="C985" i="9"/>
  <c r="E985" i="9" s="1"/>
  <c r="C986" i="9"/>
  <c r="E986" i="9" s="1"/>
  <c r="C987" i="9"/>
  <c r="E987" i="9" s="1"/>
  <c r="C988" i="9"/>
  <c r="E988" i="9" s="1"/>
  <c r="C989" i="9"/>
  <c r="E989" i="9" s="1"/>
  <c r="C990" i="9"/>
  <c r="E990" i="9" s="1"/>
  <c r="C991" i="9"/>
  <c r="E991" i="9" s="1"/>
  <c r="C992" i="9"/>
  <c r="E992" i="9" s="1"/>
  <c r="C993" i="9"/>
  <c r="E993" i="9" s="1"/>
  <c r="C994" i="9"/>
  <c r="E994" i="9" s="1"/>
  <c r="C995" i="9"/>
  <c r="E995" i="9" s="1"/>
  <c r="C996" i="9"/>
  <c r="E996" i="9" s="1"/>
  <c r="C997" i="9"/>
  <c r="E997" i="9" s="1"/>
  <c r="C998" i="9"/>
  <c r="E998" i="9" s="1"/>
  <c r="C999" i="9"/>
  <c r="E999" i="9" s="1"/>
  <c r="C3" i="9"/>
  <c r="E3" i="9" s="1"/>
  <c r="C4" i="9"/>
  <c r="E4" i="9" s="1"/>
  <c r="C5" i="9"/>
  <c r="E5" i="9" s="1"/>
  <c r="C6" i="9"/>
  <c r="E6" i="9" s="1"/>
  <c r="C7" i="9"/>
  <c r="E7" i="9" s="1"/>
  <c r="C8" i="9"/>
  <c r="E8" i="9" s="1"/>
  <c r="C9" i="9"/>
  <c r="E9" i="9" s="1"/>
  <c r="C10" i="9"/>
  <c r="E10" i="9" s="1"/>
  <c r="C11" i="9"/>
  <c r="E11" i="9" s="1"/>
  <c r="C12" i="9"/>
  <c r="E12" i="9" s="1"/>
  <c r="C13" i="9"/>
  <c r="E13" i="9" s="1"/>
  <c r="C14" i="9"/>
  <c r="E14" i="9" s="1"/>
  <c r="C15" i="9"/>
  <c r="E15" i="9" s="1"/>
  <c r="C16" i="9"/>
  <c r="E16" i="9" s="1"/>
  <c r="C17" i="9"/>
  <c r="E17" i="9" s="1"/>
</calcChain>
</file>

<file path=xl/sharedStrings.xml><?xml version="1.0" encoding="utf-8"?>
<sst xmlns="http://schemas.openxmlformats.org/spreadsheetml/2006/main" count="9553" uniqueCount="1252">
  <si>
    <t>IdCliente</t>
  </si>
  <si>
    <t>NombreCliente</t>
  </si>
  <si>
    <t>Pais</t>
  </si>
  <si>
    <t>IdProducto</t>
  </si>
  <si>
    <t>CanalVentas</t>
  </si>
  <si>
    <t>UdsVendidas</t>
  </si>
  <si>
    <t>FechaVenta</t>
  </si>
  <si>
    <t>CESAR VARGAS</t>
  </si>
  <si>
    <t>Comoros</t>
  </si>
  <si>
    <t>C1</t>
  </si>
  <si>
    <t>Online</t>
  </si>
  <si>
    <t>CARLA CABALLERO</t>
  </si>
  <si>
    <t>Panama</t>
  </si>
  <si>
    <t>B2</t>
  </si>
  <si>
    <t>MATEO SANCHEZ</t>
  </si>
  <si>
    <t>Tanzania</t>
  </si>
  <si>
    <t>B3</t>
  </si>
  <si>
    <t>Retail</t>
  </si>
  <si>
    <t>ADRIAN GIL</t>
  </si>
  <si>
    <t>South Africa</t>
  </si>
  <si>
    <t>C4</t>
  </si>
  <si>
    <t>CAROLINA FRANCO</t>
  </si>
  <si>
    <t>Gabon</t>
  </si>
  <si>
    <t>A2</t>
  </si>
  <si>
    <t>RAUL AVILA</t>
  </si>
  <si>
    <t>Syria</t>
  </si>
  <si>
    <t>A1</t>
  </si>
  <si>
    <t>ENRIQUE PEREIRA</t>
  </si>
  <si>
    <t>Grenada</t>
  </si>
  <si>
    <t>B1</t>
  </si>
  <si>
    <t>ALBERTO LUQUE</t>
  </si>
  <si>
    <t>Macedonia</t>
  </si>
  <si>
    <t>ALBERTO MORALES</t>
  </si>
  <si>
    <t>Kyrgyzstan</t>
  </si>
  <si>
    <t>C3</t>
  </si>
  <si>
    <t>ADRIAN MARTINEZ</t>
  </si>
  <si>
    <t>Republic of the Congo</t>
  </si>
  <si>
    <t>INES MARTINEZ</t>
  </si>
  <si>
    <t>Turkmenistan</t>
  </si>
  <si>
    <t>JUDITH RODRIGUEZ</t>
  </si>
  <si>
    <t>Netherlands</t>
  </si>
  <si>
    <t>RAFAEL MEDINA</t>
  </si>
  <si>
    <t>ENRIQUE NAVARRO</t>
  </si>
  <si>
    <t>Tuvalu</t>
  </si>
  <si>
    <t>CANDELA GUZMAN</t>
  </si>
  <si>
    <t>Nepal</t>
  </si>
  <si>
    <t>A4</t>
  </si>
  <si>
    <t>MARIO CASADO</t>
  </si>
  <si>
    <t>Oman</t>
  </si>
  <si>
    <t>PATRICIA ARIAS</t>
  </si>
  <si>
    <t>Malawi</t>
  </si>
  <si>
    <t>C5</t>
  </si>
  <si>
    <t>FRANCISCO JAVIER ANDRES</t>
  </si>
  <si>
    <t>Moldova</t>
  </si>
  <si>
    <t>ALICIA CALDERON</t>
  </si>
  <si>
    <t>Burkina Faso</t>
  </si>
  <si>
    <t>SANTIAGO GUILLEN</t>
  </si>
  <si>
    <t>Botswana</t>
  </si>
  <si>
    <t>C2</t>
  </si>
  <si>
    <t>Direct</t>
  </si>
  <si>
    <t>ALEXIA ACOSTA</t>
  </si>
  <si>
    <t>Liberia</t>
  </si>
  <si>
    <t>MIRIAM PEÑA</t>
  </si>
  <si>
    <t>Vanuatu</t>
  </si>
  <si>
    <t>GUILLEM AGUILAR</t>
  </si>
  <si>
    <t>Palau</t>
  </si>
  <si>
    <t>RODRIGO SANTIAGO</t>
  </si>
  <si>
    <t>Madagascar</t>
  </si>
  <si>
    <t>ARLET ARIAS</t>
  </si>
  <si>
    <t>Yemen</t>
  </si>
  <si>
    <t>PATRICIA LOPEZ</t>
  </si>
  <si>
    <t>Kiribati</t>
  </si>
  <si>
    <t>ISABEL CONTRERAS</t>
  </si>
  <si>
    <t>Montenegro</t>
  </si>
  <si>
    <t>NAHIA GUERRA</t>
  </si>
  <si>
    <t>Mongolia</t>
  </si>
  <si>
    <t>MIRIAM VILA</t>
  </si>
  <si>
    <t>Tunisia</t>
  </si>
  <si>
    <t>MARC EXPOSITO</t>
  </si>
  <si>
    <t>Albania</t>
  </si>
  <si>
    <t>IGNACIO FERNANDEZ</t>
  </si>
  <si>
    <t>Fiji</t>
  </si>
  <si>
    <t>NIL QUINTANA</t>
  </si>
  <si>
    <t>Angola</t>
  </si>
  <si>
    <t>AITOR LEON</t>
  </si>
  <si>
    <t>NURIA ALVAREZ</t>
  </si>
  <si>
    <t>Solomon Islands</t>
  </si>
  <si>
    <t>MALAK ROMERO</t>
  </si>
  <si>
    <t>Denmark</t>
  </si>
  <si>
    <t>DAVID SERRA</t>
  </si>
  <si>
    <t>Hungary</t>
  </si>
  <si>
    <t>ANGEL HEREDIA</t>
  </si>
  <si>
    <t>Vietnam</t>
  </si>
  <si>
    <t>ERIC PARDO</t>
  </si>
  <si>
    <t>Niger</t>
  </si>
  <si>
    <t>ADAM HERNANDEZ</t>
  </si>
  <si>
    <t>MALAK NUÑEZ</t>
  </si>
  <si>
    <t>Ethiopia</t>
  </si>
  <si>
    <t>RODRIGO ACOSTA</t>
  </si>
  <si>
    <t>ALBA CUESTA</t>
  </si>
  <si>
    <t>China</t>
  </si>
  <si>
    <t>JOAN NIETO</t>
  </si>
  <si>
    <t>ANTONIO PEREIRA</t>
  </si>
  <si>
    <t>LEO MARTIN</t>
  </si>
  <si>
    <t>Philippines</t>
  </si>
  <si>
    <t>CELIA BENITEZ</t>
  </si>
  <si>
    <t>Dominican Republic</t>
  </si>
  <si>
    <t>CLARA MANZANO</t>
  </si>
  <si>
    <t>Rwanda</t>
  </si>
  <si>
    <t>VEGA CORTES</t>
  </si>
  <si>
    <t>Sierra Leone</t>
  </si>
  <si>
    <t>RAUL RODRIGUEZ</t>
  </si>
  <si>
    <t>Canada</t>
  </si>
  <si>
    <t>POL EXPOSITO</t>
  </si>
  <si>
    <t>Mauritius</t>
  </si>
  <si>
    <t>NICOLAS BLAZQUEZ</t>
  </si>
  <si>
    <t>MARTI EXPOSITO</t>
  </si>
  <si>
    <t>MANUEL GALLARDO</t>
  </si>
  <si>
    <t>YERAY MORENO</t>
  </si>
  <si>
    <t>Sudan</t>
  </si>
  <si>
    <t>BLANCA FRANCO</t>
  </si>
  <si>
    <t>Malta</t>
  </si>
  <si>
    <t>JORGE RUBIO</t>
  </si>
  <si>
    <t>India</t>
  </si>
  <si>
    <t>AFRICA ARROYO</t>
  </si>
  <si>
    <t>Ghana</t>
  </si>
  <si>
    <t>MARCO PARDO</t>
  </si>
  <si>
    <t>Croatia</t>
  </si>
  <si>
    <t>ALEJANDRO BLANCO</t>
  </si>
  <si>
    <t>Haiti</t>
  </si>
  <si>
    <t>ALBA MOLINA</t>
  </si>
  <si>
    <t>Malaysia</t>
  </si>
  <si>
    <t>RAQUEL LEON</t>
  </si>
  <si>
    <t>Pakistan</t>
  </si>
  <si>
    <t>NIL CARMONA</t>
  </si>
  <si>
    <t>MARTIN ABAD</t>
  </si>
  <si>
    <t>Indonesia</t>
  </si>
  <si>
    <t>ZOE RICO</t>
  </si>
  <si>
    <t>Slovenia</t>
  </si>
  <si>
    <t>PABLO ROMERO</t>
  </si>
  <si>
    <t>Chad</t>
  </si>
  <si>
    <t>ANGELA GARRIDO</t>
  </si>
  <si>
    <t>France</t>
  </si>
  <si>
    <t>VEGA CALDERON</t>
  </si>
  <si>
    <t>United States of America</t>
  </si>
  <si>
    <t>MATEO ALARCON</t>
  </si>
  <si>
    <t>United Kingdom</t>
  </si>
  <si>
    <t>UNAI SANCHO</t>
  </si>
  <si>
    <t>Algeria</t>
  </si>
  <si>
    <t>JAVIER GIL</t>
  </si>
  <si>
    <t>NAIA ROMERO</t>
  </si>
  <si>
    <t>DIEGO QUINTANA</t>
  </si>
  <si>
    <t>Nigeria</t>
  </si>
  <si>
    <t>RAFAEL SANTOS</t>
  </si>
  <si>
    <t>VEGA GUTIERREZ</t>
  </si>
  <si>
    <t>Morocco</t>
  </si>
  <si>
    <t>BIEL MONTERO</t>
  </si>
  <si>
    <t>Guinea</t>
  </si>
  <si>
    <t>JOSE MANUEL MARTIN</t>
  </si>
  <si>
    <t>NICOLAS ROMAN</t>
  </si>
  <si>
    <t>JANA GUERRERO</t>
  </si>
  <si>
    <t>El Salvador</t>
  </si>
  <si>
    <t>MARC GUILLEN</t>
  </si>
  <si>
    <t>RAYAN MERINO</t>
  </si>
  <si>
    <t>Portugal</t>
  </si>
  <si>
    <t>ALONSO FUENTES</t>
  </si>
  <si>
    <t>Bangladesh</t>
  </si>
  <si>
    <t>RAQUEL MARTINEZ</t>
  </si>
  <si>
    <t>Kazakhstan</t>
  </si>
  <si>
    <t>INES VERA</t>
  </si>
  <si>
    <t>AARON VICENTE</t>
  </si>
  <si>
    <t>MANUEL MARIN</t>
  </si>
  <si>
    <t>Azerbaijan</t>
  </si>
  <si>
    <t>PABLO RUIZ</t>
  </si>
  <si>
    <t>Iceland</t>
  </si>
  <si>
    <t>ENRIQUE SERRA</t>
  </si>
  <si>
    <t>Georgia</t>
  </si>
  <si>
    <t>SANTIAGO LOZANO</t>
  </si>
  <si>
    <t>Burundi</t>
  </si>
  <si>
    <t>ANNA ESCOBAR</t>
  </si>
  <si>
    <t>IZAN ROMERO</t>
  </si>
  <si>
    <t>Poland</t>
  </si>
  <si>
    <t>RUBEN SANCHEZ</t>
  </si>
  <si>
    <t>MARIO VILLAR</t>
  </si>
  <si>
    <t>FRANCISCO RODRIGUEZ</t>
  </si>
  <si>
    <t>DIANA CABALLERO</t>
  </si>
  <si>
    <t>YERAY GALAN</t>
  </si>
  <si>
    <t>IRIA ANDRES</t>
  </si>
  <si>
    <t>Australia</t>
  </si>
  <si>
    <t>ARLET OTERO</t>
  </si>
  <si>
    <t>Cameroon</t>
  </si>
  <si>
    <t>BRUNO HERRERO</t>
  </si>
  <si>
    <t>CARLA RIVAS</t>
  </si>
  <si>
    <t>Mauritania</t>
  </si>
  <si>
    <t>JAVIER MATEO</t>
  </si>
  <si>
    <t>DIANA CASTILLO</t>
  </si>
  <si>
    <t>Vatican City</t>
  </si>
  <si>
    <t>NATALIA CARRASCO</t>
  </si>
  <si>
    <t>Turkey</t>
  </si>
  <si>
    <t>MARIO LUQUE</t>
  </si>
  <si>
    <t>Cuba</t>
  </si>
  <si>
    <t>JORDI CARRILLO</t>
  </si>
  <si>
    <t>GONZALO GARCIA</t>
  </si>
  <si>
    <t>Saudi Arabia</t>
  </si>
  <si>
    <t>ISMAEL MENDOZA</t>
  </si>
  <si>
    <t>ELSA BLAZQUEZ</t>
  </si>
  <si>
    <t>RUBEN MIRANDA</t>
  </si>
  <si>
    <t>MIGUEL NAVARRO</t>
  </si>
  <si>
    <t>Trinidad and Tobago</t>
  </si>
  <si>
    <t>ANDREA HERRERA</t>
  </si>
  <si>
    <t>AINARA VELASCO</t>
  </si>
  <si>
    <t>JAIME MEDINA</t>
  </si>
  <si>
    <t>Cape Verde</t>
  </si>
  <si>
    <t>HUGO SUAREZ</t>
  </si>
  <si>
    <t>GABRIEL MONTES</t>
  </si>
  <si>
    <t>JANA LARA</t>
  </si>
  <si>
    <t>ADRIANA PEÑA</t>
  </si>
  <si>
    <t>Finland</t>
  </si>
  <si>
    <t>JORGE MONTES</t>
  </si>
  <si>
    <t>MAR MEDINA</t>
  </si>
  <si>
    <t>Tonga</t>
  </si>
  <si>
    <t>ALVARO PARDO</t>
  </si>
  <si>
    <t>MARTA GARRIDO</t>
  </si>
  <si>
    <t>ALBA EXPOSITO</t>
  </si>
  <si>
    <t>AYA SANTAMARIA</t>
  </si>
  <si>
    <t>Monaco</t>
  </si>
  <si>
    <t>MIGUEL SORIANO</t>
  </si>
  <si>
    <t>HELENA SORIANO</t>
  </si>
  <si>
    <t>Luxembourg</t>
  </si>
  <si>
    <t>ALMA SAEZ</t>
  </si>
  <si>
    <t>Italy</t>
  </si>
  <si>
    <t>OMAR IZQUIERDO</t>
  </si>
  <si>
    <t>Russia</t>
  </si>
  <si>
    <t>RAFAEL AVILA</t>
  </si>
  <si>
    <t>MARIO MONTES</t>
  </si>
  <si>
    <t>AARON GIMENEZ</t>
  </si>
  <si>
    <t>Israel</t>
  </si>
  <si>
    <t>LUCAS HIDALGO</t>
  </si>
  <si>
    <t>NAIARA VALERO</t>
  </si>
  <si>
    <t>AINA VIDAL</t>
  </si>
  <si>
    <t>OLIVIA MENENDEZ</t>
  </si>
  <si>
    <t>IRENE MARIN</t>
  </si>
  <si>
    <t>ALEJANDRO GALAN</t>
  </si>
  <si>
    <t>SANDRA SIERRA</t>
  </si>
  <si>
    <t>Norway</t>
  </si>
  <si>
    <t>CANDELA MARIN</t>
  </si>
  <si>
    <t>Romania</t>
  </si>
  <si>
    <t>PATRICIA VARGAS</t>
  </si>
  <si>
    <t>Switzerland</t>
  </si>
  <si>
    <t>SALMA LAZARO</t>
  </si>
  <si>
    <t>Mozambique</t>
  </si>
  <si>
    <t>SANDRA LOPEZ</t>
  </si>
  <si>
    <t>Armenia</t>
  </si>
  <si>
    <t>JON MARCOS</t>
  </si>
  <si>
    <t>VICTOR ABAD</t>
  </si>
  <si>
    <t>Marshall Islands</t>
  </si>
  <si>
    <t>ALEJANDRO ESCOBAR</t>
  </si>
  <si>
    <t>Saint Lucia</t>
  </si>
  <si>
    <t>SILVIA TORRES</t>
  </si>
  <si>
    <t>Costa Rica</t>
  </si>
  <si>
    <t>ALEX SORIANO</t>
  </si>
  <si>
    <t>LUCIA ROJAS</t>
  </si>
  <si>
    <t>YAGO MORALES</t>
  </si>
  <si>
    <t>Honduras</t>
  </si>
  <si>
    <t>MARC GALLARDO</t>
  </si>
  <si>
    <t>MIREIA SANTIAGO</t>
  </si>
  <si>
    <t>SANDRA GIMENEZ</t>
  </si>
  <si>
    <t>Togo</t>
  </si>
  <si>
    <t>ADRIA SORIANO</t>
  </si>
  <si>
    <t>GERARD TOMAS</t>
  </si>
  <si>
    <t>Singapore</t>
  </si>
  <si>
    <t>FRANCISCO JAVIER ESTEBAN</t>
  </si>
  <si>
    <t>Zambia</t>
  </si>
  <si>
    <t>DANIEL CORTES</t>
  </si>
  <si>
    <t>Zimbabwe</t>
  </si>
  <si>
    <t>JAVIER BLASCO</t>
  </si>
  <si>
    <t>San Marino</t>
  </si>
  <si>
    <t>MANUELA REDONDO</t>
  </si>
  <si>
    <t>Nauru</t>
  </si>
  <si>
    <t>OLIVER FUENTES</t>
  </si>
  <si>
    <t>LUCAS VEGA</t>
  </si>
  <si>
    <t>JORGE CARRILLO</t>
  </si>
  <si>
    <t>VALERIA BERMUDEZ</t>
  </si>
  <si>
    <t>Iraq</t>
  </si>
  <si>
    <t>IRIA GIL</t>
  </si>
  <si>
    <t>Spain</t>
  </si>
  <si>
    <t>SILVIA ESTEVEZ</t>
  </si>
  <si>
    <t>ZOE AVILA</t>
  </si>
  <si>
    <t>Czech Republic</t>
  </si>
  <si>
    <t>ADRIANA GUZMAN</t>
  </si>
  <si>
    <t>Andorra</t>
  </si>
  <si>
    <t>ANA VILLANUEVA</t>
  </si>
  <si>
    <t>VEGA MARTIN</t>
  </si>
  <si>
    <t>NORA CANO</t>
  </si>
  <si>
    <t>ELENA PEREZ</t>
  </si>
  <si>
    <t>Antigua and Barbuda</t>
  </si>
  <si>
    <t>LUIS LOZANO</t>
  </si>
  <si>
    <t>Saint Vincent and the Grenadines</t>
  </si>
  <si>
    <t>BERTA MOYA</t>
  </si>
  <si>
    <t>MATEO SAEZ</t>
  </si>
  <si>
    <t>JON ROLDAN</t>
  </si>
  <si>
    <t>CAROLINA PADILLA</t>
  </si>
  <si>
    <t>LEIRE PADILLA</t>
  </si>
  <si>
    <t>RAFAEL BLANCO</t>
  </si>
  <si>
    <t>EMMA CARRASCO</t>
  </si>
  <si>
    <t>NURIA ROCA</t>
  </si>
  <si>
    <t>JOAN ORTEGA</t>
  </si>
  <si>
    <t>United Arab Emirates</t>
  </si>
  <si>
    <t>ISABEL RIVERO</t>
  </si>
  <si>
    <t>Liechtenstein</t>
  </si>
  <si>
    <t>AARON FRANCO</t>
  </si>
  <si>
    <t>GUILLERMO ACOSTA</t>
  </si>
  <si>
    <t>ANDER GALLARDO</t>
  </si>
  <si>
    <t>ALEJANDRA CASTRO</t>
  </si>
  <si>
    <t>ANDREA BLANCO</t>
  </si>
  <si>
    <t>ONA DE LA FUENTE</t>
  </si>
  <si>
    <t>Samoa</t>
  </si>
  <si>
    <t>POL CARRILLO</t>
  </si>
  <si>
    <t>ANTONIO MOYA</t>
  </si>
  <si>
    <t>JAN RIOS</t>
  </si>
  <si>
    <t>ANDREA PEREIRA</t>
  </si>
  <si>
    <t>Uzbekistan</t>
  </si>
  <si>
    <t>CESAR BRAVO</t>
  </si>
  <si>
    <t>Ireland</t>
  </si>
  <si>
    <t>ERIC VARGAS</t>
  </si>
  <si>
    <t>ANDER AGUILAR</t>
  </si>
  <si>
    <t>Japan</t>
  </si>
  <si>
    <t>CESAR SANCHO</t>
  </si>
  <si>
    <t>ENRIQUE RIVERA</t>
  </si>
  <si>
    <t>Saint Kitts and Nevis</t>
  </si>
  <si>
    <t>LAURA VARELA</t>
  </si>
  <si>
    <t>Qatar</t>
  </si>
  <si>
    <t>RAYAN CALDERON</t>
  </si>
  <si>
    <t>Sri Lanka</t>
  </si>
  <si>
    <t>MARTINA LAZARO</t>
  </si>
  <si>
    <t>Egypt</t>
  </si>
  <si>
    <t>IZAN PLAZA</t>
  </si>
  <si>
    <t>Thailand</t>
  </si>
  <si>
    <t>CARLOS GRACIA</t>
  </si>
  <si>
    <t>JANA FRANCO</t>
  </si>
  <si>
    <t>CANDELA VICENTE</t>
  </si>
  <si>
    <t>Benin</t>
  </si>
  <si>
    <t>DIANA MEDINA</t>
  </si>
  <si>
    <t>FERNANDO PONS</t>
  </si>
  <si>
    <t>VALENTINA MOYA</t>
  </si>
  <si>
    <t>Djibouti</t>
  </si>
  <si>
    <t>GABRIEL NIETO</t>
  </si>
  <si>
    <t>ALMA SEGURA</t>
  </si>
  <si>
    <t>SARA SANTIAGO</t>
  </si>
  <si>
    <t>Jordan</t>
  </si>
  <si>
    <t>CARMEN VALERO</t>
  </si>
  <si>
    <t>VALERIA AGUILAR</t>
  </si>
  <si>
    <t>Bosnia and Herzegovina</t>
  </si>
  <si>
    <t>SARA BERNAL</t>
  </si>
  <si>
    <t>NATALIA IBAÑEZ</t>
  </si>
  <si>
    <t>PEDRO PRIETO</t>
  </si>
  <si>
    <t>GABRIELA OTERO</t>
  </si>
  <si>
    <t>Bhutan</t>
  </si>
  <si>
    <t>CLARA CARRASCO</t>
  </si>
  <si>
    <t>ARIADNA ROBLES</t>
  </si>
  <si>
    <t>JOAN REY</t>
  </si>
  <si>
    <t>PAULA GRACIA</t>
  </si>
  <si>
    <t>LOLA MOLINA</t>
  </si>
  <si>
    <t>IZAN AGUILAR</t>
  </si>
  <si>
    <t>JOSE ANTONIO RUEDA</t>
  </si>
  <si>
    <t>MARIO GALAN</t>
  </si>
  <si>
    <t>Somalia</t>
  </si>
  <si>
    <t>ABRIL GUTIERREZ</t>
  </si>
  <si>
    <t>ADRIA ALONSO</t>
  </si>
  <si>
    <t>Kuwait</t>
  </si>
  <si>
    <t>ANTONIO REDONDO</t>
  </si>
  <si>
    <t>JORDI MUÑOZ</t>
  </si>
  <si>
    <t>JUDITH GARCIA</t>
  </si>
  <si>
    <t>JESUS HERRERO</t>
  </si>
  <si>
    <t>CRISTINA MENDOZA</t>
  </si>
  <si>
    <t>IRIS SUAREZ</t>
  </si>
  <si>
    <t>ARNAU VAZQUEZ</t>
  </si>
  <si>
    <t>AROA BLAZQUEZ</t>
  </si>
  <si>
    <t>JOSE QUINTANA</t>
  </si>
  <si>
    <t>LAIA LUNA</t>
  </si>
  <si>
    <t>Brunei</t>
  </si>
  <si>
    <t>SOFIA ROMERO</t>
  </si>
  <si>
    <t>MANUEL MARTINEZ</t>
  </si>
  <si>
    <t>CRISTINA SERRA</t>
  </si>
  <si>
    <t>Mexico</t>
  </si>
  <si>
    <t>LEIRE SIERRA</t>
  </si>
  <si>
    <t>FRANCISCO ACOSTA</t>
  </si>
  <si>
    <t>ALONSO APARICIO</t>
  </si>
  <si>
    <t>NOA PASCUAL</t>
  </si>
  <si>
    <t>AYA CASTRO</t>
  </si>
  <si>
    <t>Papua New Guinea</t>
  </si>
  <si>
    <t>MIREIA DELGADO</t>
  </si>
  <si>
    <t>SERGIO HIDALGO</t>
  </si>
  <si>
    <t>ISABEL CALVO</t>
  </si>
  <si>
    <t>ISABEL SARAO</t>
  </si>
  <si>
    <t>ANDREA VILLAR</t>
  </si>
  <si>
    <t>DARIO RAMOS</t>
  </si>
  <si>
    <t>Sao Tome and Principe</t>
  </si>
  <si>
    <t>AROA HURTADO</t>
  </si>
  <si>
    <t>NAIARA CALVO</t>
  </si>
  <si>
    <t>ANDRES MARTI</t>
  </si>
  <si>
    <t>Central African Republic</t>
  </si>
  <si>
    <t>IVAN ESTEVEZ</t>
  </si>
  <si>
    <t>Belize</t>
  </si>
  <si>
    <t>ALEJANDRO MARCOS</t>
  </si>
  <si>
    <t>GONZALO VARELA</t>
  </si>
  <si>
    <t>Guinea-Bissau</t>
  </si>
  <si>
    <t>MIGUEL CONDE</t>
  </si>
  <si>
    <t>Estonia</t>
  </si>
  <si>
    <t>CARLA TRUJILLO</t>
  </si>
  <si>
    <t>POL SORIANO</t>
  </si>
  <si>
    <t>NICOLAS SANCHEZ</t>
  </si>
  <si>
    <t>Barbados</t>
  </si>
  <si>
    <t>MOHAMED BENITEZ</t>
  </si>
  <si>
    <t>JOSE MIGUEL</t>
  </si>
  <si>
    <t>ISABEL BUENO</t>
  </si>
  <si>
    <t>LARA QUINTANA</t>
  </si>
  <si>
    <t>ISAAC COSTA</t>
  </si>
  <si>
    <t>JORDI LOPEZ</t>
  </si>
  <si>
    <t>UNAI FERNANDEZ</t>
  </si>
  <si>
    <t>MARTA MORENO</t>
  </si>
  <si>
    <t>JAVIER CUESTA</t>
  </si>
  <si>
    <t>Taiwan</t>
  </si>
  <si>
    <t>NICOLAS SANCHO</t>
  </si>
  <si>
    <t>CAROLINA GUERRERO</t>
  </si>
  <si>
    <t>HUGO PRIETO</t>
  </si>
  <si>
    <t>GABRIELA EXPOSITO</t>
  </si>
  <si>
    <t>ISABEL ESCUDERO</t>
  </si>
  <si>
    <t>NURIA DE LA FUENTE</t>
  </si>
  <si>
    <t>Belarus</t>
  </si>
  <si>
    <t>OLIVER REYES</t>
  </si>
  <si>
    <t>ERIKA LUNA</t>
  </si>
  <si>
    <t>SANDRA FLORES</t>
  </si>
  <si>
    <t>ALEIX SANCHO</t>
  </si>
  <si>
    <t>Serbia</t>
  </si>
  <si>
    <t>ARLET DIEZ</t>
  </si>
  <si>
    <t>JUDITH SANTOS</t>
  </si>
  <si>
    <t>ANA ESPINOSA</t>
  </si>
  <si>
    <t>SANTIAGO ESTEVEZ</t>
  </si>
  <si>
    <t>JOSE HURTADO</t>
  </si>
  <si>
    <t>OSCAR SANCHO</t>
  </si>
  <si>
    <t>ENRIQUE ORTEGA</t>
  </si>
  <si>
    <t>Myanmar</t>
  </si>
  <si>
    <t>YAGO HERRERA</t>
  </si>
  <si>
    <t>Sweden</t>
  </si>
  <si>
    <t>ERIC APARICIO</t>
  </si>
  <si>
    <t>VICTORIA SUAREZ</t>
  </si>
  <si>
    <t>ALEIX BELTRAN</t>
  </si>
  <si>
    <t>RAQUEL OTERO</t>
  </si>
  <si>
    <t>OLIVIA SORIANO</t>
  </si>
  <si>
    <t>JIMENA LOPEZ</t>
  </si>
  <si>
    <t>MALAK IZQUIERDO</t>
  </si>
  <si>
    <t>AYA REYES</t>
  </si>
  <si>
    <t>Slovakia</t>
  </si>
  <si>
    <t>ZOE GONZALEZ</t>
  </si>
  <si>
    <t>AINARA ARROYO</t>
  </si>
  <si>
    <t>Austria</t>
  </si>
  <si>
    <t>MARTIN CARRASCO</t>
  </si>
  <si>
    <t>ERIK CASADO</t>
  </si>
  <si>
    <t>SOFIA PASCUAL</t>
  </si>
  <si>
    <t>IKER REYES</t>
  </si>
  <si>
    <t>MIKEL PADILLA</t>
  </si>
  <si>
    <t>DIEGO BLAZQUEZ</t>
  </si>
  <si>
    <t>PAULA RAMOS</t>
  </si>
  <si>
    <t>BLANCA VAZQUEZ</t>
  </si>
  <si>
    <t>Guatemala</t>
  </si>
  <si>
    <t>MARTINA LORENZO</t>
  </si>
  <si>
    <t>GABRIELA MARIN</t>
  </si>
  <si>
    <t>ALMA TORRES</t>
  </si>
  <si>
    <t>MIKEL MORENO</t>
  </si>
  <si>
    <t>CARLOTA BLASCO</t>
  </si>
  <si>
    <t>LEYRE ROBLES</t>
  </si>
  <si>
    <t>The Gambia</t>
  </si>
  <si>
    <t>MIRIAM HERRERA</t>
  </si>
  <si>
    <t>IGNACIO GALAN</t>
  </si>
  <si>
    <t>ALMA FERNANDEZ</t>
  </si>
  <si>
    <t>OLIVIA MENDOZA</t>
  </si>
  <si>
    <t>MARTA MERINO</t>
  </si>
  <si>
    <t>ORIOL OTERO</t>
  </si>
  <si>
    <t>JORDI ESCOBAR</t>
  </si>
  <si>
    <t>FRANCISCO JAVIER LOPEZ</t>
  </si>
  <si>
    <t>Afghanistan</t>
  </si>
  <si>
    <t>DIANA FRANCO</t>
  </si>
  <si>
    <t>SAUL NUÑEZ</t>
  </si>
  <si>
    <t>MANUELA QUINTANA</t>
  </si>
  <si>
    <t>ANDREA ALARCON</t>
  </si>
  <si>
    <t>YAGO ARANDA</t>
  </si>
  <si>
    <t>SAMUEL MARTINEZ</t>
  </si>
  <si>
    <t>MARCO OTERO</t>
  </si>
  <si>
    <t>NADIA DEL RIO</t>
  </si>
  <si>
    <t>Senegal</t>
  </si>
  <si>
    <t>RUBEN CALVO</t>
  </si>
  <si>
    <t>ALEXIA SAEZ</t>
  </si>
  <si>
    <t>SANDRA ARROYO</t>
  </si>
  <si>
    <t>RAUL MERINO</t>
  </si>
  <si>
    <t>ANDER SOTO</t>
  </si>
  <si>
    <t>MARIA MARCOS</t>
  </si>
  <si>
    <t>ANE BELTRAN</t>
  </si>
  <si>
    <t>FERNANDO BERMUDEZ</t>
  </si>
  <si>
    <t>ALBERTO MENENDEZ</t>
  </si>
  <si>
    <t>EVA DIEZ</t>
  </si>
  <si>
    <t>SALMA MENENDEZ</t>
  </si>
  <si>
    <t>MARCO VILLANUEVA</t>
  </si>
  <si>
    <t>DANIEL RIVERA</t>
  </si>
  <si>
    <t>MIGUEL ANGEL MONTES</t>
  </si>
  <si>
    <t>SILVIA PASTOR</t>
  </si>
  <si>
    <t>BRUNO SILVA</t>
  </si>
  <si>
    <t>Libya</t>
  </si>
  <si>
    <t>NIL HURTADO</t>
  </si>
  <si>
    <t>ISMAEL VELASCO</t>
  </si>
  <si>
    <t>NAYARA MOLINA</t>
  </si>
  <si>
    <t>ASIER ESCOBAR</t>
  </si>
  <si>
    <t>MARTINA VEGA</t>
  </si>
  <si>
    <t>ANA MORALES</t>
  </si>
  <si>
    <t>IGNACIO RUEDA</t>
  </si>
  <si>
    <t>Eritrea</t>
  </si>
  <si>
    <t>ANDREA MATEO</t>
  </si>
  <si>
    <t>ANNA ROJAS</t>
  </si>
  <si>
    <t>Lebanon</t>
  </si>
  <si>
    <t>POL SIERRA</t>
  </si>
  <si>
    <t>PEDRO VEGA</t>
  </si>
  <si>
    <t>Swaziland</t>
  </si>
  <si>
    <t>CRISTINA GUZMAN</t>
  </si>
  <si>
    <t>GONZALO MIGUEL</t>
  </si>
  <si>
    <t>POL FLORES</t>
  </si>
  <si>
    <t>OSCAR MILLAN</t>
  </si>
  <si>
    <t>ALEX VEGA</t>
  </si>
  <si>
    <t>JIMENA GONZALEZ</t>
  </si>
  <si>
    <t>ISMAEL MEDINA</t>
  </si>
  <si>
    <t>AARON CANO</t>
  </si>
  <si>
    <t>MARIO MORENO</t>
  </si>
  <si>
    <t>PAU GUTIERREZ</t>
  </si>
  <si>
    <t>MARTA CASADO</t>
  </si>
  <si>
    <t>IRIA FUENTES</t>
  </si>
  <si>
    <t>JOSE MILLAN</t>
  </si>
  <si>
    <t>Mali</t>
  </si>
  <si>
    <t>CRISTINA CASAS</t>
  </si>
  <si>
    <t>ABRIL PEÑA</t>
  </si>
  <si>
    <t>New Zealand</t>
  </si>
  <si>
    <t>DANIEL VALERO</t>
  </si>
  <si>
    <t>HUGO VERA</t>
  </si>
  <si>
    <t>GUILLEM BLAZQUEZ</t>
  </si>
  <si>
    <t>NAHIA NIETO</t>
  </si>
  <si>
    <t>JOEL CALVO</t>
  </si>
  <si>
    <t>FERNANDO ESTEVEZ</t>
  </si>
  <si>
    <t>YERAY NUÑEZ</t>
  </si>
  <si>
    <t>AITOR HIDALGO</t>
  </si>
  <si>
    <t>Lesotho</t>
  </si>
  <si>
    <t>JIMENA CABALLERO</t>
  </si>
  <si>
    <t>ENRIQUE EXPOSITO</t>
  </si>
  <si>
    <t>SERGIO GALVEZ</t>
  </si>
  <si>
    <t>Tajikistan</t>
  </si>
  <si>
    <t>DIANA MARTIN</t>
  </si>
  <si>
    <t>GUILLERMO MENDOZA</t>
  </si>
  <si>
    <t>GAEL VARELA</t>
  </si>
  <si>
    <t>JUAN TROYA</t>
  </si>
  <si>
    <t>JUAN VARGAS</t>
  </si>
  <si>
    <t>Belgium</t>
  </si>
  <si>
    <t>DAVID TORRES</t>
  </si>
  <si>
    <t>VALERIA AGUILERA</t>
  </si>
  <si>
    <t>Namibia</t>
  </si>
  <si>
    <t>JAVIER CORTES</t>
  </si>
  <si>
    <t>NAIA NAVARRO</t>
  </si>
  <si>
    <t>ANE PASTOR</t>
  </si>
  <si>
    <t>ONA VALERO</t>
  </si>
  <si>
    <t>IRATI PARRA</t>
  </si>
  <si>
    <t>North Korea</t>
  </si>
  <si>
    <t>PABLO FRANCO</t>
  </si>
  <si>
    <t>CARLA PARRA</t>
  </si>
  <si>
    <t>SAUL RIVAS</t>
  </si>
  <si>
    <t>DIEGO RIVAS</t>
  </si>
  <si>
    <t>ANGEL HIDALGO</t>
  </si>
  <si>
    <t>MARTI CONTRERAS</t>
  </si>
  <si>
    <t>INES BLASCO</t>
  </si>
  <si>
    <t>ALMA ESPINOSA</t>
  </si>
  <si>
    <t>GUILLERMO ESTEVEZ</t>
  </si>
  <si>
    <t>CARLA BRAVO</t>
  </si>
  <si>
    <t>DANIEL CALDERON</t>
  </si>
  <si>
    <t>JORGE SAEZ</t>
  </si>
  <si>
    <t>Maldives</t>
  </si>
  <si>
    <t>YERAY JURADO</t>
  </si>
  <si>
    <t>MIREIA CONTRERAS</t>
  </si>
  <si>
    <t>ALBERTO SANTANA</t>
  </si>
  <si>
    <t>Greenland</t>
  </si>
  <si>
    <t>VALERIA VILLANUEVA</t>
  </si>
  <si>
    <t>FRANCISCO RIVERO</t>
  </si>
  <si>
    <t>LUIS GIL</t>
  </si>
  <si>
    <t>ELENA SANTANA</t>
  </si>
  <si>
    <t>NURIA CARRASCO</t>
  </si>
  <si>
    <t>MANUEL VEGA</t>
  </si>
  <si>
    <t>JANA ESTEVEZ</t>
  </si>
  <si>
    <t>SAUL REDONDO</t>
  </si>
  <si>
    <t>CARLOTA JURADO</t>
  </si>
  <si>
    <t>ISAAC REDONDO</t>
  </si>
  <si>
    <t>PATRICIA AGUILERA</t>
  </si>
  <si>
    <t>CRISTIAN MARTIN</t>
  </si>
  <si>
    <t>JOSE GUILLEN</t>
  </si>
  <si>
    <t>FRANCISCO MIGUEL</t>
  </si>
  <si>
    <t>ONA HERRERA</t>
  </si>
  <si>
    <t>ANDRES DIEZ</t>
  </si>
  <si>
    <t>ANGEL LUNA</t>
  </si>
  <si>
    <t>LUCAS MORA</t>
  </si>
  <si>
    <t>JAIME CALDERON</t>
  </si>
  <si>
    <t>ALEXIA SERRA</t>
  </si>
  <si>
    <t>FERNANDO AGUILERA</t>
  </si>
  <si>
    <t>EMMA ESTEVEZ</t>
  </si>
  <si>
    <t>East Timor</t>
  </si>
  <si>
    <t>LEYRE AVILA</t>
  </si>
  <si>
    <t>Cyprus</t>
  </si>
  <si>
    <t>JOSE MANUEL ESCUDERO</t>
  </si>
  <si>
    <t>DARIO CRUZ</t>
  </si>
  <si>
    <t>Bahrain</t>
  </si>
  <si>
    <t>VALERIA CAMACHO</t>
  </si>
  <si>
    <t>UNAI MARTI</t>
  </si>
  <si>
    <t>AINARA PASTOR</t>
  </si>
  <si>
    <t>ERIC RIVERA</t>
  </si>
  <si>
    <t>MANUEL GARRIDO</t>
  </si>
  <si>
    <t>ASIER GUERRA</t>
  </si>
  <si>
    <t>INES HERRERO</t>
  </si>
  <si>
    <t>LAURA SOLER</t>
  </si>
  <si>
    <t>NIL LOPEZ</t>
  </si>
  <si>
    <t>JOSE ANTONIO VIDAL</t>
  </si>
  <si>
    <t>CARMEN DIEZ</t>
  </si>
  <si>
    <t>SALMA IZQUIERDO</t>
  </si>
  <si>
    <t>MARA MILLAN</t>
  </si>
  <si>
    <t>OLIVER RODRIGUEZ</t>
  </si>
  <si>
    <t>VALENTINA MARIN</t>
  </si>
  <si>
    <t>ANDER SIERRA</t>
  </si>
  <si>
    <t>ADRIA CONDE</t>
  </si>
  <si>
    <t>NIL DE LA FUENTE</t>
  </si>
  <si>
    <t>DIANA GARCIA</t>
  </si>
  <si>
    <t>GERARD MENDEZ</t>
  </si>
  <si>
    <t>CRISTINA ESTEBAN</t>
  </si>
  <si>
    <t>CLARA HIDALGO</t>
  </si>
  <si>
    <t>ALEIX VAZQUEZ</t>
  </si>
  <si>
    <t>PAULA RUIZ</t>
  </si>
  <si>
    <t>OLIVER CASTILLO</t>
  </si>
  <si>
    <t>GERARD HERNANDEZ</t>
  </si>
  <si>
    <t>ADRIAN MOYA</t>
  </si>
  <si>
    <t>CANDELA SALAS</t>
  </si>
  <si>
    <t>DANIEL ANDRES</t>
  </si>
  <si>
    <t>CHLOE GONZALEZ</t>
  </si>
  <si>
    <t>SAUL FERRER</t>
  </si>
  <si>
    <t>PABLO ORTIZ</t>
  </si>
  <si>
    <t>PEDRO RIVERO</t>
  </si>
  <si>
    <t>ANNA SAEZ</t>
  </si>
  <si>
    <t>ANTONIO SORIANO</t>
  </si>
  <si>
    <t>DIEGO PLAZA</t>
  </si>
  <si>
    <t>MIGUEL ANGEL PASCUAL</t>
  </si>
  <si>
    <t>MATEO LEON</t>
  </si>
  <si>
    <t>ASIER MONTERO</t>
  </si>
  <si>
    <t>AITOR PASTOR</t>
  </si>
  <si>
    <t>MIRIAM PRIETO</t>
  </si>
  <si>
    <t>NADIA RIVERA</t>
  </si>
  <si>
    <t>OLIVIA GUZMAN</t>
  </si>
  <si>
    <t>IGNACIO MARQUEZ</t>
  </si>
  <si>
    <t>IRENE RIOS</t>
  </si>
  <si>
    <t>JAVIER PEÑA</t>
  </si>
  <si>
    <t>NORA SUAREZ</t>
  </si>
  <si>
    <t>YAGO MANZANO</t>
  </si>
  <si>
    <t>JOSE MOLINA</t>
  </si>
  <si>
    <t>CRISTIAN GUERRERO</t>
  </si>
  <si>
    <t>Germany</t>
  </si>
  <si>
    <t>PACO CHOCOLATERO</t>
  </si>
  <si>
    <t>DANIEL BLASCO</t>
  </si>
  <si>
    <t>IRIS REDONDO</t>
  </si>
  <si>
    <t>DIEGO SANCHO</t>
  </si>
  <si>
    <t>GUILLEM TORRES</t>
  </si>
  <si>
    <t>JOSE MANUEL DIEZ</t>
  </si>
  <si>
    <t>ISAAC GUERRA</t>
  </si>
  <si>
    <t>RAFAEL PRIETO</t>
  </si>
  <si>
    <t>BIEL DOMINGUEZ</t>
  </si>
  <si>
    <t>MIREIA LUNA</t>
  </si>
  <si>
    <t>ARIADNA AVILA</t>
  </si>
  <si>
    <t>DIEGO PEREZ</t>
  </si>
  <si>
    <t>IAN PALACIOS</t>
  </si>
  <si>
    <t>JUDITH MARCOS</t>
  </si>
  <si>
    <t>HELENA HURTADO</t>
  </si>
  <si>
    <t>BERTA GUERRA</t>
  </si>
  <si>
    <t>CAROLINA NIETO</t>
  </si>
  <si>
    <t>ADAM SIMON</t>
  </si>
  <si>
    <t>AROA DURAN</t>
  </si>
  <si>
    <t>LOLA ARIAS</t>
  </si>
  <si>
    <t>MARCO APARICIO</t>
  </si>
  <si>
    <t>JOSE ANTONIO HURTADO</t>
  </si>
  <si>
    <t>MARC ORTEGA</t>
  </si>
  <si>
    <t>ALBERTO PARRA</t>
  </si>
  <si>
    <t>SILVIA PADILLA</t>
  </si>
  <si>
    <t>BRUNO CALDERON</t>
  </si>
  <si>
    <t>ANDER DIEZ</t>
  </si>
  <si>
    <t>MIKEL DELGADO</t>
  </si>
  <si>
    <t>IGNACIO MIGUEL</t>
  </si>
  <si>
    <t>VICTOR PONS</t>
  </si>
  <si>
    <t>NAIA PRIETO</t>
  </si>
  <si>
    <t>Uganda</t>
  </si>
  <si>
    <t>VERA CASADO</t>
  </si>
  <si>
    <t>ANDREA SANTAMARIA</t>
  </si>
  <si>
    <t>DANIEL BUENO</t>
  </si>
  <si>
    <t>VALERIA SERRA</t>
  </si>
  <si>
    <t>FERNANDO DURAN</t>
  </si>
  <si>
    <t>VEGA IZQUIERDO</t>
  </si>
  <si>
    <t>JON ROBLES</t>
  </si>
  <si>
    <t>IZAN ROCA</t>
  </si>
  <si>
    <t>ANGELA LOPEZ</t>
  </si>
  <si>
    <t>IRIS JURADO</t>
  </si>
  <si>
    <t>MARIO ESTEVEZ</t>
  </si>
  <si>
    <t>SAUL ORTEGA</t>
  </si>
  <si>
    <t>CARLOTA CONTRERAS</t>
  </si>
  <si>
    <t>PABLO BENITEZ</t>
  </si>
  <si>
    <t>NIL SALAZAR</t>
  </si>
  <si>
    <t>Jamaica</t>
  </si>
  <si>
    <t>OMAR MIRANDA</t>
  </si>
  <si>
    <t>LUCIA PADILLA</t>
  </si>
  <si>
    <t>ASIER ABAD</t>
  </si>
  <si>
    <t>LAIA LAZARO</t>
  </si>
  <si>
    <t>PAULA CORTES</t>
  </si>
  <si>
    <t>GUILLEM ESPINOSA</t>
  </si>
  <si>
    <t>ALEJANDRA ARROYO</t>
  </si>
  <si>
    <t>CELIA IGLESIAS</t>
  </si>
  <si>
    <t>NOELIA ROCA</t>
  </si>
  <si>
    <t>ABRIL MOLINA</t>
  </si>
  <si>
    <t>VICTOR CALVO</t>
  </si>
  <si>
    <t>DAVID PLAZA</t>
  </si>
  <si>
    <t>AINA SANCHO</t>
  </si>
  <si>
    <t>SAUL VILLAR</t>
  </si>
  <si>
    <t>LAIA MONTERO</t>
  </si>
  <si>
    <t>ADRIAN BLAZQUEZ</t>
  </si>
  <si>
    <t>FERNANDO CALVO</t>
  </si>
  <si>
    <t>ALEJANDRA MENDOZA</t>
  </si>
  <si>
    <t>ADRIA VILLANUEVA</t>
  </si>
  <si>
    <t>CLAUDIA SEGURA</t>
  </si>
  <si>
    <t>JAVIER SERRANO</t>
  </si>
  <si>
    <t>DIEGO MORENO</t>
  </si>
  <si>
    <t>YERAY HURTADO</t>
  </si>
  <si>
    <t>JANA PARRA</t>
  </si>
  <si>
    <t>YAGO PADILLA</t>
  </si>
  <si>
    <t>SAUL ROJAS</t>
  </si>
  <si>
    <t>CARMEN CARMONA</t>
  </si>
  <si>
    <t>ANE GONZALEZ</t>
  </si>
  <si>
    <t>ZOE PRIETO</t>
  </si>
  <si>
    <t>EVA TOMAS</t>
  </si>
  <si>
    <t>AINA MONTES</t>
  </si>
  <si>
    <t>MARTI TOMAS</t>
  </si>
  <si>
    <t>AITOR DURAN</t>
  </si>
  <si>
    <t>EVA SUAREZ</t>
  </si>
  <si>
    <t>ISMAEL FERNANDEZ</t>
  </si>
  <si>
    <t>HELENA LEON</t>
  </si>
  <si>
    <t>EMMA CARMONA</t>
  </si>
  <si>
    <t>JESUS CORTES</t>
  </si>
  <si>
    <t>ANDRES CARRASCO</t>
  </si>
  <si>
    <t>RAUL LOPEZ</t>
  </si>
  <si>
    <t>ARLET GALAN</t>
  </si>
  <si>
    <t>ALBERTO AGUILERA</t>
  </si>
  <si>
    <t>AITANA PLAZA</t>
  </si>
  <si>
    <t>MARIA MILLAN</t>
  </si>
  <si>
    <t>ISMAEL MANZANO</t>
  </si>
  <si>
    <t>Ukraine</t>
  </si>
  <si>
    <t>GERARD FRANCO</t>
  </si>
  <si>
    <t>JORDI SANCHEZ</t>
  </si>
  <si>
    <t>PEDRO SALAS</t>
  </si>
  <si>
    <t>AINARA PADILLA</t>
  </si>
  <si>
    <t>NAIA RUEDA</t>
  </si>
  <si>
    <t>ANDREA SUAREZ</t>
  </si>
  <si>
    <t>DAVID GALLARDO</t>
  </si>
  <si>
    <t>ANDRES BENITO</t>
  </si>
  <si>
    <t>LAURA ROMERO</t>
  </si>
  <si>
    <t>JAN FLORES</t>
  </si>
  <si>
    <t>OLIVER CANO</t>
  </si>
  <si>
    <t>RODRIGO ESCUDERO</t>
  </si>
  <si>
    <t>FERNANDO ROMAN</t>
  </si>
  <si>
    <t>SILVIA ESTEBAN</t>
  </si>
  <si>
    <t>IRIS CABALLERO</t>
  </si>
  <si>
    <t>ALEX MONTES</t>
  </si>
  <si>
    <t>SILVIA BELTRAN</t>
  </si>
  <si>
    <t>VALERIA RIVAS</t>
  </si>
  <si>
    <t>JOSE MANUEL VERA</t>
  </si>
  <si>
    <t>JOSE HERNANDEZ</t>
  </si>
  <si>
    <t>ALMA SILVA</t>
  </si>
  <si>
    <t>JOAN RAMOS</t>
  </si>
  <si>
    <t>ISABEL ROMERO</t>
  </si>
  <si>
    <t>LUCAS NIETO</t>
  </si>
  <si>
    <t>Seychelles</t>
  </si>
  <si>
    <t>RODRIGO COSTA</t>
  </si>
  <si>
    <t>ERIK MENDEZ</t>
  </si>
  <si>
    <t>MARCOS BLAZQUEZ</t>
  </si>
  <si>
    <t>IVAN ALVAREZ</t>
  </si>
  <si>
    <t>PABLO ABAD</t>
  </si>
  <si>
    <t>ANGEL PALACIOS</t>
  </si>
  <si>
    <t>NATALIA SOTO</t>
  </si>
  <si>
    <t>ALEJANDRO HERRERA</t>
  </si>
  <si>
    <t>NADIA GALAN</t>
  </si>
  <si>
    <t>LOLA MUÑOZ</t>
  </si>
  <si>
    <t>ERIK RUBIO</t>
  </si>
  <si>
    <t>ANGEL MANZANO</t>
  </si>
  <si>
    <t>OLIVIA LORENZO</t>
  </si>
  <si>
    <t>ISAAC HERNANDEZ</t>
  </si>
  <si>
    <t>MIKEL SOLER</t>
  </si>
  <si>
    <t>LUIS SANTIAGO</t>
  </si>
  <si>
    <t>SOFIA PARRA</t>
  </si>
  <si>
    <t>LEIRE DIEZ</t>
  </si>
  <si>
    <t>NAIARA MARIN</t>
  </si>
  <si>
    <t>OSCAR OTERO</t>
  </si>
  <si>
    <t>BIEL VALERO</t>
  </si>
  <si>
    <t>ERIKA SANTANA</t>
  </si>
  <si>
    <t>MAR LOZANO</t>
  </si>
  <si>
    <t>ERIC CORTES</t>
  </si>
  <si>
    <t>ALEX PEREIRA</t>
  </si>
  <si>
    <t>GONZALO CARRILLO</t>
  </si>
  <si>
    <t>NATALIA DEL RIO</t>
  </si>
  <si>
    <t>VEGA CALVO</t>
  </si>
  <si>
    <t>JUAN EXPOSITO</t>
  </si>
  <si>
    <t>ANDER FERRER</t>
  </si>
  <si>
    <t>AARON HIDALGO</t>
  </si>
  <si>
    <t>MARTIN ESPINOSA</t>
  </si>
  <si>
    <t>EVA MOLINA</t>
  </si>
  <si>
    <t>NAIA GUERRERO</t>
  </si>
  <si>
    <t>ADRIAN HERRERA</t>
  </si>
  <si>
    <t>SERGIO CONDE</t>
  </si>
  <si>
    <t>BLANCA PADILLA</t>
  </si>
  <si>
    <t>JULIA CABALLERO</t>
  </si>
  <si>
    <t>GUILLERMO GARCIA</t>
  </si>
  <si>
    <t>ASIER LAZARO</t>
  </si>
  <si>
    <t>GUILLERMO TRUJILLO</t>
  </si>
  <si>
    <t>OLIVIA VEGA</t>
  </si>
  <si>
    <t>FERNANDO RIOS</t>
  </si>
  <si>
    <t>LAIA FERNANDEZ</t>
  </si>
  <si>
    <t>JOSE MANUEL MATEO</t>
  </si>
  <si>
    <t>JOSE ANTONIO ARROYO</t>
  </si>
  <si>
    <t>MARA RICO</t>
  </si>
  <si>
    <t>MARTINA PLAZA</t>
  </si>
  <si>
    <t>MIRIAM PLAZA</t>
  </si>
  <si>
    <t>ARLET CASADO</t>
  </si>
  <si>
    <t>SAUL VALERO</t>
  </si>
  <si>
    <t>MARC HERRERO</t>
  </si>
  <si>
    <t>AINHOA CABALLERO</t>
  </si>
  <si>
    <t>SILVIA JIMENEZ</t>
  </si>
  <si>
    <t>JON VAZQUEZ</t>
  </si>
  <si>
    <t>LOLA PALACIOS</t>
  </si>
  <si>
    <t>SARA LORENZO</t>
  </si>
  <si>
    <t>JESUS GIMENEZ</t>
  </si>
  <si>
    <t>MARINA SAEZ</t>
  </si>
  <si>
    <t>OLIVER PEREZ</t>
  </si>
  <si>
    <t>Cambodia</t>
  </si>
  <si>
    <t>ALBA DOMINGUEZ</t>
  </si>
  <si>
    <t>ARNAU GALLEGO</t>
  </si>
  <si>
    <t>CELIA SANCHEZ</t>
  </si>
  <si>
    <t>CHLOE SAEZ</t>
  </si>
  <si>
    <t>ANDREA MENENDEZ</t>
  </si>
  <si>
    <t>LIDIA PLAZA</t>
  </si>
  <si>
    <t>PATRICIA GIMENEZ</t>
  </si>
  <si>
    <t>ADAM GUZMAN</t>
  </si>
  <si>
    <t>HECTOR PARDO</t>
  </si>
  <si>
    <t>GABRIEL MOYA</t>
  </si>
  <si>
    <t>JAIME ROMERO</t>
  </si>
  <si>
    <t>RAYAN RIVERO</t>
  </si>
  <si>
    <t>NOA PACHECO</t>
  </si>
  <si>
    <t>NIL MORALES</t>
  </si>
  <si>
    <t>AINA CARMONA</t>
  </si>
  <si>
    <t>CLAUDIA PONS</t>
  </si>
  <si>
    <t>CARLA GALVEZ</t>
  </si>
  <si>
    <t>GABRIEL MARTINEZ</t>
  </si>
  <si>
    <t>VEGA ESPINOSA</t>
  </si>
  <si>
    <t>UNAI JURADO</t>
  </si>
  <si>
    <t>NOELIA BERNAL</t>
  </si>
  <si>
    <t>NOA SEGURA</t>
  </si>
  <si>
    <t>LEYRE MOLINA</t>
  </si>
  <si>
    <t>DIEGO RAMIREZ</t>
  </si>
  <si>
    <t>SARA MACIAS</t>
  </si>
  <si>
    <t>CAROLINA BRAVO</t>
  </si>
  <si>
    <t>MOHAMED NUÑEZ</t>
  </si>
  <si>
    <t>FERNANDO ROLDAN</t>
  </si>
  <si>
    <t>NEREA ARIAS</t>
  </si>
  <si>
    <t>JIMENA MERINO</t>
  </si>
  <si>
    <t>MARIA NAVARRO</t>
  </si>
  <si>
    <t>RODRIGO FRANCO</t>
  </si>
  <si>
    <t>IRENE SORIANO</t>
  </si>
  <si>
    <t>ANTONIO GONZALEZ</t>
  </si>
  <si>
    <t>AINARA LAZARO</t>
  </si>
  <si>
    <t>YAGO CRUZ</t>
  </si>
  <si>
    <t>MATEO GARCIA</t>
  </si>
  <si>
    <t>JOSE BLAZQUEZ</t>
  </si>
  <si>
    <t>NADIA SORIANO</t>
  </si>
  <si>
    <t>JULIA PRIETO</t>
  </si>
  <si>
    <t>HECTOR HURTADO</t>
  </si>
  <si>
    <t>ANGEL SIERRA</t>
  </si>
  <si>
    <t>CLARA CABRERA</t>
  </si>
  <si>
    <t>EVA SALAZAR</t>
  </si>
  <si>
    <t>GUILLEM ROCA</t>
  </si>
  <si>
    <t>JORDI MORALES</t>
  </si>
  <si>
    <t>GUILLERMO RAMIREZ</t>
  </si>
  <si>
    <t>CARLA MILLAN</t>
  </si>
  <si>
    <t>LUIS HIDALGO</t>
  </si>
  <si>
    <t>Nicaragua</t>
  </si>
  <si>
    <t>RAFAEL GARRIDO</t>
  </si>
  <si>
    <t>GERARD SERRA</t>
  </si>
  <si>
    <t>ANGELA GALVEZ</t>
  </si>
  <si>
    <t>JAN ROCA</t>
  </si>
  <si>
    <t>CARMEN ANDRES</t>
  </si>
  <si>
    <t>IZAN GIL</t>
  </si>
  <si>
    <t>IRIA APARICIO</t>
  </si>
  <si>
    <t>MARIA SUAREZ</t>
  </si>
  <si>
    <t>IRATI MIRANDA</t>
  </si>
  <si>
    <t>BLANCA LUQUE</t>
  </si>
  <si>
    <t>MARCOS MANZANO</t>
  </si>
  <si>
    <t>ALEX DELGADO</t>
  </si>
  <si>
    <t>SANDRA RIOS</t>
  </si>
  <si>
    <t>ANGELA CASAS</t>
  </si>
  <si>
    <t>IZAN GARRIDO</t>
  </si>
  <si>
    <t>RODRIGO GUZMAN</t>
  </si>
  <si>
    <t>EMMA MATEOS</t>
  </si>
  <si>
    <t>ALEJANDRO SUAREZ</t>
  </si>
  <si>
    <t>NICOLAS ESTEVEZ</t>
  </si>
  <si>
    <t>IKER IZQUIERDO</t>
  </si>
  <si>
    <t>NIL SUAREZ</t>
  </si>
  <si>
    <t>ANDER MARTINEZ</t>
  </si>
  <si>
    <t>FRANCISCO SANCHEZ</t>
  </si>
  <si>
    <t>ONA ANDRES</t>
  </si>
  <si>
    <t>CARMEN ALARCON</t>
  </si>
  <si>
    <t>DIANA VERA</t>
  </si>
  <si>
    <t>ANGEL RODRIGUEZ</t>
  </si>
  <si>
    <t>ADRIANA MENDEZ</t>
  </si>
  <si>
    <t>JORGE HERRERO</t>
  </si>
  <si>
    <t>JUAN CORTES</t>
  </si>
  <si>
    <t>Greece</t>
  </si>
  <si>
    <t>AINHOA ACOSTA</t>
  </si>
  <si>
    <t>DARIO CONDE</t>
  </si>
  <si>
    <t>Equatorial Guinea</t>
  </si>
  <si>
    <t>LAURA BRAVO</t>
  </si>
  <si>
    <t>SAUL VICENTE</t>
  </si>
  <si>
    <t>MIGUEL CORTES</t>
  </si>
  <si>
    <t>EMMA LOZANO</t>
  </si>
  <si>
    <t>DANIEL NIETO</t>
  </si>
  <si>
    <t>EMMA MEDINA</t>
  </si>
  <si>
    <t>CLARA LUQUE</t>
  </si>
  <si>
    <t>NADIA OTERO</t>
  </si>
  <si>
    <t>ANDREA SERRA</t>
  </si>
  <si>
    <t>MANUEL VICENTE</t>
  </si>
  <si>
    <t>IKER SAEZ</t>
  </si>
  <si>
    <t>Iran</t>
  </si>
  <si>
    <t>ALBA SANTIAGO</t>
  </si>
  <si>
    <t>IKER BERMUDEZ</t>
  </si>
  <si>
    <t>ROBERTO GALLEGO</t>
  </si>
  <si>
    <t>NORA GUZMAN</t>
  </si>
  <si>
    <t>YERAY MONTES</t>
  </si>
  <si>
    <t>ERIC GALLEGO</t>
  </si>
  <si>
    <t>ALICIA HERNANDEZ</t>
  </si>
  <si>
    <t>ALMA MIRANDA</t>
  </si>
  <si>
    <t>LEIRE MORA</t>
  </si>
  <si>
    <t>SERGIO ANDRES</t>
  </si>
  <si>
    <t>NORA PADILLA</t>
  </si>
  <si>
    <t>GABRIEL FUENTES</t>
  </si>
  <si>
    <t>NAHIA DIAZ</t>
  </si>
  <si>
    <t>LUCIA VILA</t>
  </si>
  <si>
    <t>ANDREA CRESPO</t>
  </si>
  <si>
    <t>ANNA QUINTANA</t>
  </si>
  <si>
    <t>MARCOS SUAREZ</t>
  </si>
  <si>
    <t>ADAM REDONDO</t>
  </si>
  <si>
    <t>NOA TORRES</t>
  </si>
  <si>
    <t>BRUNO QUINTANA</t>
  </si>
  <si>
    <t>MALAK BERNAL</t>
  </si>
  <si>
    <t>SANTIAGO MENENDEZ</t>
  </si>
  <si>
    <t>OLIVER GRACIA</t>
  </si>
  <si>
    <t>IZAN GOMEZ</t>
  </si>
  <si>
    <t>CARLOTA SANTOS</t>
  </si>
  <si>
    <t>BLANCA GIMENEZ</t>
  </si>
  <si>
    <t>OMAR VILLANUEVA</t>
  </si>
  <si>
    <t>BIEL CARMONA</t>
  </si>
  <si>
    <t>ALEIX SANZ</t>
  </si>
  <si>
    <t>ALEJANDRO SANZ</t>
  </si>
  <si>
    <t>ERIK ROMERO</t>
  </si>
  <si>
    <t>UNAI DIAZ</t>
  </si>
  <si>
    <t>NOELIA BRAVO</t>
  </si>
  <si>
    <t>FRANCISCO JAVIER SANTANA</t>
  </si>
  <si>
    <t>ANA CALDERON</t>
  </si>
  <si>
    <t>CRISTINA SIERRA</t>
  </si>
  <si>
    <t>GUILLERMO MOLINA</t>
  </si>
  <si>
    <t>DIANA SEGURA</t>
  </si>
  <si>
    <t>ELENA MILLAN</t>
  </si>
  <si>
    <t>CANDELA VERA</t>
  </si>
  <si>
    <t>CRISTINA PASCUAL</t>
  </si>
  <si>
    <t>FERNANDO GALAN</t>
  </si>
  <si>
    <t>VERA MIGUEL</t>
  </si>
  <si>
    <t>ALMA ALVAREZ</t>
  </si>
  <si>
    <t>JUAN COSTA</t>
  </si>
  <si>
    <t>CARMEN VICENTE</t>
  </si>
  <si>
    <t>DARIO MARCOS</t>
  </si>
  <si>
    <t>MIREIA ABAD</t>
  </si>
  <si>
    <t>YERAY ROMERO</t>
  </si>
  <si>
    <t>LAIA COSTA</t>
  </si>
  <si>
    <t>MARC CANO</t>
  </si>
  <si>
    <t>Lithuania</t>
  </si>
  <si>
    <t>ASIER NAVARRO</t>
  </si>
  <si>
    <t>NAIA AGUILERA</t>
  </si>
  <si>
    <t>ALMA SORIANO</t>
  </si>
  <si>
    <t>AYA HERNANDEZ</t>
  </si>
  <si>
    <t>FRANCISCO JAVIER CANO</t>
  </si>
  <si>
    <t>PAULA RIVERA</t>
  </si>
  <si>
    <t>AINA MANZANO</t>
  </si>
  <si>
    <t>IKER COSTA</t>
  </si>
  <si>
    <t>CARLOS MARTI</t>
  </si>
  <si>
    <t>NADIA SERRANO</t>
  </si>
  <si>
    <t>VEGA GUZMAN</t>
  </si>
  <si>
    <t>JANA CARRILLO</t>
  </si>
  <si>
    <t>RODRIGO PEÑA</t>
  </si>
  <si>
    <t>SANDRA IBAÑEZ</t>
  </si>
  <si>
    <t>CESAR FRANCO</t>
  </si>
  <si>
    <t>AINARA ARIAS</t>
  </si>
  <si>
    <t>LIDIA DE LA FUENTE</t>
  </si>
  <si>
    <t>JAIME VARELA</t>
  </si>
  <si>
    <t>NURIA TOMAS</t>
  </si>
  <si>
    <t>EVA AGUILERA</t>
  </si>
  <si>
    <t>FRANCISCO JAVIER HERRERA</t>
  </si>
  <si>
    <t>LOLA BERNAL</t>
  </si>
  <si>
    <t>CLARA APARICIO</t>
  </si>
  <si>
    <t>ROCIO GUZMAN</t>
  </si>
  <si>
    <t>HELENA CRUZ</t>
  </si>
  <si>
    <t>CLARA CARRILLO</t>
  </si>
  <si>
    <t>JUDITH ROBLES</t>
  </si>
  <si>
    <t>YERAY SANCHEZ</t>
  </si>
  <si>
    <t>ANE MORALES</t>
  </si>
  <si>
    <t>DARIO SANTAMARIA</t>
  </si>
  <si>
    <t>MARTI ESTEBAN</t>
  </si>
  <si>
    <t>MAR REYES</t>
  </si>
  <si>
    <t>GERARD MARTINEZ</t>
  </si>
  <si>
    <t>ALBERTO MILLAN</t>
  </si>
  <si>
    <t>VERA GALLEGO</t>
  </si>
  <si>
    <t>CARLOS MONTES</t>
  </si>
  <si>
    <t>ANGELA MOYA</t>
  </si>
  <si>
    <t>ERIC MIRANDA</t>
  </si>
  <si>
    <t>LUCIA PRIETO</t>
  </si>
  <si>
    <t>RAUL SANTANA</t>
  </si>
  <si>
    <t>ISMAEL VALERO</t>
  </si>
  <si>
    <t>RODRIGO MANZANO</t>
  </si>
  <si>
    <t>ALBA NUÑEZ</t>
  </si>
  <si>
    <t>NAIARA GARRIDO</t>
  </si>
  <si>
    <t>MALAK RAMIREZ</t>
  </si>
  <si>
    <t>LARA ROCA</t>
  </si>
  <si>
    <t>OLIVIA AGUILERA</t>
  </si>
  <si>
    <t>Bulgaria</t>
  </si>
  <si>
    <t>ORIOL CONDE</t>
  </si>
  <si>
    <t>ALEX MARTI</t>
  </si>
  <si>
    <t>ANDREA GOMEZ</t>
  </si>
  <si>
    <t>MARCO PEREZ</t>
  </si>
  <si>
    <t>NICOLAS ESCOBAR</t>
  </si>
  <si>
    <t>NIL CANO</t>
  </si>
  <si>
    <t>RAFAEL GUERRERO</t>
  </si>
  <si>
    <t>ALVARO LUNA</t>
  </si>
  <si>
    <t>DANIEL REDONDO</t>
  </si>
  <si>
    <t>LIDIA LOZANO</t>
  </si>
  <si>
    <t>CLARA FRANCO</t>
  </si>
  <si>
    <t>PABLO VILLAR</t>
  </si>
  <si>
    <t>NIL MARIN</t>
  </si>
  <si>
    <t>ISMAEL SANTOS</t>
  </si>
  <si>
    <t>MARINA ESPINOSA</t>
  </si>
  <si>
    <t>GERARD SANTANA</t>
  </si>
  <si>
    <t>RUBEN CARRASCO</t>
  </si>
  <si>
    <t>BERTA GALLARDO</t>
  </si>
  <si>
    <t>GABRIEL VILLAR</t>
  </si>
  <si>
    <t>ARIADNA GARRIDO</t>
  </si>
  <si>
    <t>GERARD VAZQUEZ</t>
  </si>
  <si>
    <t>MARCO RIVAS</t>
  </si>
  <si>
    <t>NOELIA ESTEBAN</t>
  </si>
  <si>
    <t>ANGELA VICENTE</t>
  </si>
  <si>
    <t>NAYARA MONTERO</t>
  </si>
  <si>
    <t>ERIKA CASAS</t>
  </si>
  <si>
    <t>HUGO BUENO</t>
  </si>
  <si>
    <t>RODRIGO CRESPO</t>
  </si>
  <si>
    <t>EVA MANZANO</t>
  </si>
  <si>
    <t>SANDRA RUBIO</t>
  </si>
  <si>
    <t>MIGUEL ANGEL VERA</t>
  </si>
  <si>
    <t>JULIA SANTOS</t>
  </si>
  <si>
    <t>JOSE MANUEL CARMONA</t>
  </si>
  <si>
    <t>ANDREA PASTOR</t>
  </si>
  <si>
    <t>CLARA MARTI</t>
  </si>
  <si>
    <t>JOSE VARGAS</t>
  </si>
  <si>
    <t>JOSE MANUEL LOPEZ</t>
  </si>
  <si>
    <t>IZAN CALDERON</t>
  </si>
  <si>
    <t>ANA CARRILLO</t>
  </si>
  <si>
    <t>LEIRE VERA</t>
  </si>
  <si>
    <t>ROBERTO FERNANDEZ</t>
  </si>
  <si>
    <t>ELENA BENITEZ</t>
  </si>
  <si>
    <t>PAULA ROMAN</t>
  </si>
  <si>
    <t>PEDRO HEREDIA</t>
  </si>
  <si>
    <t>VALERIA IGLESIAS</t>
  </si>
  <si>
    <t>BRUNO MARTIN</t>
  </si>
  <si>
    <t>MIRIAM HURTADO</t>
  </si>
  <si>
    <t>PEDRO RIVAS</t>
  </si>
  <si>
    <t>JUDITH PRIETO</t>
  </si>
  <si>
    <t>EMMA VICENTE</t>
  </si>
  <si>
    <t>CARLOTA VARGAS</t>
  </si>
  <si>
    <t>MARTIN CALVO</t>
  </si>
  <si>
    <t>Kenya</t>
  </si>
  <si>
    <t>ALONSO GALLARDO</t>
  </si>
  <si>
    <t>MANUELA REYES</t>
  </si>
  <si>
    <t>AARON SERRA</t>
  </si>
  <si>
    <t>GABRIEL SANCHO</t>
  </si>
  <si>
    <t>CRISTIAN ROJAS</t>
  </si>
  <si>
    <t>HELENA MOLINA</t>
  </si>
  <si>
    <t>ANDER ORTIZ</t>
  </si>
  <si>
    <t>FRANCISCO JAVIER GIMENEZ</t>
  </si>
  <si>
    <t>LARA SANTANA</t>
  </si>
  <si>
    <t>CAROLINA COSTA</t>
  </si>
  <si>
    <t>CESAR BENITO</t>
  </si>
  <si>
    <t>PEDRO ESPINOSA</t>
  </si>
  <si>
    <t>LAURA ROCA</t>
  </si>
  <si>
    <t>JON ARANDA</t>
  </si>
  <si>
    <t>ALICIA CARRILLO</t>
  </si>
  <si>
    <t>DIEGO GUERRERO</t>
  </si>
  <si>
    <t>RAUL TRUJILLO</t>
  </si>
  <si>
    <t>AARON SIMON</t>
  </si>
  <si>
    <t>RAYAN CARMONA</t>
  </si>
  <si>
    <t>MARIA APARICIO</t>
  </si>
  <si>
    <t>KEVIN COSTNER DE JESÚS</t>
  </si>
  <si>
    <t>JUDITH GOMEZ</t>
  </si>
  <si>
    <t>GAEL PALACIOS</t>
  </si>
  <si>
    <t>OMAR CAMACHO</t>
  </si>
  <si>
    <t>PATRICIA CONTRERAS</t>
  </si>
  <si>
    <t>CLAUDIA CUESTA</t>
  </si>
  <si>
    <t>JAN LUQUE</t>
  </si>
  <si>
    <t>JUAN REYES</t>
  </si>
  <si>
    <t>LIDIA GUZMAN</t>
  </si>
  <si>
    <t>ELENA MIRANDA</t>
  </si>
  <si>
    <t>EMMA CRUZ</t>
  </si>
  <si>
    <t>ROCIO NAVARRO</t>
  </si>
  <si>
    <t>PAULA MARTI</t>
  </si>
  <si>
    <t>EMMA TOMAS</t>
  </si>
  <si>
    <t>MALAK GARCIA</t>
  </si>
  <si>
    <t>ENRIQUE CARRASCO</t>
  </si>
  <si>
    <t>MARTINA MARCOS</t>
  </si>
  <si>
    <t>HECTOR MARTI</t>
  </si>
  <si>
    <t>NAIA MARIN</t>
  </si>
  <si>
    <t>MANUELA CORTES</t>
  </si>
  <si>
    <t>ADRIANA VERA</t>
  </si>
  <si>
    <t>EDUARDO PLAZA</t>
  </si>
  <si>
    <t>VEGA HERRERO</t>
  </si>
  <si>
    <t>CAROLINA SANCHEZ</t>
  </si>
  <si>
    <t>IRIA QUINTANA</t>
  </si>
  <si>
    <t>AYA COSTA</t>
  </si>
  <si>
    <t>SERGIO MIGUEL</t>
  </si>
  <si>
    <t>MARCOS GONZALEZ</t>
  </si>
  <si>
    <t>PEDRO RUEDA</t>
  </si>
  <si>
    <t>ASIER JIMENEZ</t>
  </si>
  <si>
    <t>YAGO MIGUEL</t>
  </si>
  <si>
    <t>MARINA LORENZO</t>
  </si>
  <si>
    <t>LARA ALARCON</t>
  </si>
  <si>
    <t>MARCOS FRANCO</t>
  </si>
  <si>
    <t>LEIRE SALAS</t>
  </si>
  <si>
    <t>ENRIQUE PONS</t>
  </si>
  <si>
    <t>ALBA GARRIDO</t>
  </si>
  <si>
    <t>CRISTINA MILLAN</t>
  </si>
  <si>
    <t>BERTA MORENO</t>
  </si>
  <si>
    <t>ALEJANDRA BENITO</t>
  </si>
  <si>
    <t>RAYAN IGLESIAS</t>
  </si>
  <si>
    <t>OLIVER MILLAN</t>
  </si>
  <si>
    <t>AYA MILLAN</t>
  </si>
  <si>
    <t>OSCAR CRESPO</t>
  </si>
  <si>
    <t>BIEL TOMAS</t>
  </si>
  <si>
    <t>RAYAN ESCUDERO</t>
  </si>
  <si>
    <t>MIKEL LAZARO</t>
  </si>
  <si>
    <t>ROBERTO CARRASCO</t>
  </si>
  <si>
    <t>DANIELA PRIETO</t>
  </si>
  <si>
    <t>MANUEL SANZ</t>
  </si>
  <si>
    <t>ASIER MUÑOZ</t>
  </si>
  <si>
    <t>PABLO MENDEZ</t>
  </si>
  <si>
    <t>JORGE VELASCO</t>
  </si>
  <si>
    <t>HELENA CASTRO</t>
  </si>
  <si>
    <t>MARTA MARQUEZ</t>
  </si>
  <si>
    <t>BERTA ALVAREZ</t>
  </si>
  <si>
    <t>CARLOTA HERRERA</t>
  </si>
  <si>
    <t>ISABEL DURAN</t>
  </si>
  <si>
    <t>MOHAMED DURAN</t>
  </si>
  <si>
    <t>Latvia</t>
  </si>
  <si>
    <t>ERIKA CALDERON</t>
  </si>
  <si>
    <t>LARA ESCUDERO</t>
  </si>
  <si>
    <t>RAFAEL ROLDAN</t>
  </si>
  <si>
    <t>ABRIL FERNANDEZ</t>
  </si>
  <si>
    <t>CARMEN LARA</t>
  </si>
  <si>
    <t>NIL VALERO</t>
  </si>
  <si>
    <t>JAVIER CRUZ</t>
  </si>
  <si>
    <t>GUILLERMO SUAREZ</t>
  </si>
  <si>
    <t>ANNA ANDRES</t>
  </si>
  <si>
    <t>MAR RODRIGUEZ</t>
  </si>
  <si>
    <t>ANNA LOZANO</t>
  </si>
  <si>
    <t>PAOLA RAMIREZ</t>
  </si>
  <si>
    <t>productName</t>
  </si>
  <si>
    <t>CosteStandard</t>
  </si>
  <si>
    <t>PrecioStandard</t>
  </si>
  <si>
    <t>botellín 200cc</t>
  </si>
  <si>
    <t>botellín 300cc</t>
  </si>
  <si>
    <t>botellín 400cc</t>
  </si>
  <si>
    <t>botellín 500cc</t>
  </si>
  <si>
    <t>botella 0.5l</t>
  </si>
  <si>
    <t>botella 1l</t>
  </si>
  <si>
    <t>botella 5l</t>
  </si>
  <si>
    <t>garrafa 1l</t>
  </si>
  <si>
    <t>garrafa 2l</t>
  </si>
  <si>
    <t>garrafa 3l</t>
  </si>
  <si>
    <t>garrafa 4l</t>
  </si>
  <si>
    <t>garrafa 8l</t>
  </si>
  <si>
    <t>País</t>
  </si>
  <si>
    <t>Region</t>
  </si>
  <si>
    <t>Middle East and North Africa</t>
  </si>
  <si>
    <t>Europe</t>
  </si>
  <si>
    <t>Sub-Saharan Africa</t>
  </si>
  <si>
    <t>Central America and the Caribbean</t>
  </si>
  <si>
    <t>Australia and Oceania</t>
  </si>
  <si>
    <t>Asia</t>
  </si>
  <si>
    <t>North America</t>
  </si>
  <si>
    <t>Cote d'Ivoire</t>
  </si>
  <si>
    <t>Democratic Republic of the Congo</t>
  </si>
  <si>
    <t>Dominica</t>
  </si>
  <si>
    <t>Federated States of Micronesia</t>
  </si>
  <si>
    <t>Kosovo</t>
  </si>
  <si>
    <t>Laos</t>
  </si>
  <si>
    <t>South Korea</t>
  </si>
  <si>
    <t>South Sudan</t>
  </si>
  <si>
    <t>The Bahamas</t>
  </si>
  <si>
    <t>InventarioMedio</t>
  </si>
  <si>
    <t>[euros]</t>
  </si>
  <si>
    <t>VariaciónVentas del 2017 sobre ventas del 2016</t>
  </si>
  <si>
    <t>Pesimista</t>
  </si>
  <si>
    <t>Optimista</t>
  </si>
  <si>
    <t>UNIDADES VENDIDAS</t>
  </si>
  <si>
    <t>INGRESOS</t>
  </si>
  <si>
    <t>COSTES</t>
  </si>
  <si>
    <t>BENEFICIOS</t>
  </si>
  <si>
    <t>AÑO</t>
  </si>
  <si>
    <t>MES</t>
  </si>
  <si>
    <t>REGIÓN</t>
  </si>
  <si>
    <t>CANAL DE VENTAS</t>
  </si>
  <si>
    <t>INGRESOS TOTALES POR REGIÓN Y CANAL DE VENTAS</t>
  </si>
  <si>
    <t>Total general</t>
  </si>
  <si>
    <t>COSTES TOTALES POR REGIÓN Y CANAL DE VENTAS</t>
  </si>
  <si>
    <t>BENEFICIOS TOTALES POR REGIÓN Y CANAL DE VENTAS</t>
  </si>
  <si>
    <t>UNIDADES VENDIDAS TOTALES POR REGIÓN Y CANAL DE VENTAS</t>
  </si>
  <si>
    <t>(Todas)</t>
  </si>
  <si>
    <t>Suma de UdsVendidas</t>
  </si>
  <si>
    <t>Suma de COSTES</t>
  </si>
  <si>
    <t>Suma de INGRESOS</t>
  </si>
  <si>
    <t>Suma de BENEFICIOS</t>
  </si>
  <si>
    <t>Estimación</t>
  </si>
  <si>
    <t>Estimación Unidades Vendidas</t>
  </si>
  <si>
    <t>Estimación Costes</t>
  </si>
  <si>
    <t>Estimación Ingresos</t>
  </si>
  <si>
    <t>Estimación Beneficios</t>
  </si>
  <si>
    <t>Rotación</t>
  </si>
  <si>
    <t>Margen</t>
  </si>
  <si>
    <t>Rentabilidad</t>
  </si>
  <si>
    <t>ROI</t>
  </si>
  <si>
    <t>ROI OBJETIVO</t>
  </si>
  <si>
    <t>VALOR INVENTARIO MEDIO</t>
  </si>
  <si>
    <t>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</si>
</sst>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#.00"/>
  </numFmts>
  <fonts count="6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3" fontId="1" fillId="0" borderId="0" xfId="0" applyNumberFormat="1" applyFont="1"/>
    <xf numFmtId="4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15" fontId="2" fillId="0" borderId="0" xfId="0" applyNumberFormat="1" applyFont="1"/>
    <xf numFmtId="9" fontId="2" fillId="0" borderId="0" xfId="0" applyNumberFormat="1" applyFont="1"/>
    <xf numFmtId="0" fontId="0" fillId="0" borderId="1" xfId="0" applyBorder="1"/>
    <xf numFmtId="8" fontId="0" fillId="0" borderId="1" xfId="0" applyNumberFormat="1" applyBorder="1"/>
    <xf numFmtId="0" fontId="0" fillId="0" borderId="0" xfId="0" pivotButton="1"/>
    <xf numFmtId="0" fontId="0" fillId="0" borderId="2" xfId="0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8" fontId="0" fillId="0" borderId="0" xfId="0" applyNumberFormat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8" fontId="0" fillId="0" borderId="0" xfId="0" applyNumberFormat="1" applyAlignment="1">
      <alignment wrapText="1"/>
    </xf>
    <xf numFmtId="0" fontId="0" fillId="0" borderId="0" xfId="0" applyNumberFormat="1"/>
    <xf numFmtId="0" fontId="0" fillId="0" borderId="0" xfId="0" applyAlignment="1">
      <alignment horizontal="left"/>
    </xf>
    <xf numFmtId="2" fontId="0" fillId="0" borderId="2" xfId="0" applyNumberFormat="1" applyBorder="1"/>
    <xf numFmtId="0" fontId="5" fillId="2" borderId="2" xfId="0" applyFont="1" applyFill="1" applyBorder="1"/>
    <xf numFmtId="0" fontId="0" fillId="2" borderId="3" xfId="0" applyFill="1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3" fillId="0" borderId="2" xfId="0" applyFont="1" applyBorder="1"/>
    <xf numFmtId="0" fontId="0" fillId="0" borderId="0" xfId="0" pivotButton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[OrtizDeLejarazuSanchez_Angel_CastañedaMatute_Ruben.Practica.02.xlsx]Gráficos!Tabla 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POR REGIÓN Y CANAL DE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Gráficos!$C$1:$C$2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Gráficos!$B$3:$B$10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Gráficos!$C$3:$C$10</c:f>
              <c:numCache>
                <c:formatCode>"€"#,##0.00_);[Red]\("€"#,##0.00\)</c:formatCode>
                <c:ptCount val="7"/>
                <c:pt idx="0">
                  <c:v>12571.47</c:v>
                </c:pt>
                <c:pt idx="1">
                  <c:v>4909.7800000000007</c:v>
                </c:pt>
                <c:pt idx="2">
                  <c:v>3258.07</c:v>
                </c:pt>
                <c:pt idx="3">
                  <c:v>24247.629999999994</c:v>
                </c:pt>
                <c:pt idx="4">
                  <c:v>5907.58</c:v>
                </c:pt>
                <c:pt idx="6">
                  <c:v>16043.369999999999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C-4B6B-BE4D-AC4117ED56E5}"/>
            </c:ext>
          </c:extLst>
        </c:ser>
        <c:ser>
          <c:idx val="1"/>
          <c:order val="1"/>
          <c:tx>
            <c:strRef>
              <c:f>Gráficos!$D$1:$D$2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Gráficos!$B$3:$B$10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Gráficos!$D$3:$D$10</c:f>
              <c:numCache>
                <c:formatCode>"€"#,##0.00_);[Red]\("€"#,##0.00\)</c:formatCode>
                <c:ptCount val="7"/>
                <c:pt idx="0">
                  <c:v>47648.410000000011</c:v>
                </c:pt>
                <c:pt idx="1">
                  <c:v>27444.920000000002</c:v>
                </c:pt>
                <c:pt idx="2">
                  <c:v>33951.42</c:v>
                </c:pt>
                <c:pt idx="3">
                  <c:v>66313.440000000002</c:v>
                </c:pt>
                <c:pt idx="4">
                  <c:v>38810.469999999994</c:v>
                </c:pt>
                <c:pt idx="5">
                  <c:v>4227.72</c:v>
                </c:pt>
                <c:pt idx="6">
                  <c:v>93356.239999999991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BC-4B6B-BE4D-AC4117ED56E5}"/>
            </c:ext>
          </c:extLst>
        </c:ser>
        <c:ser>
          <c:idx val="2"/>
          <c:order val="2"/>
          <c:tx>
            <c:strRef>
              <c:f>Gráficos!$E$1:$E$2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Gráficos!$B$3:$B$10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Gráficos!$E$3:$E$10</c:f>
              <c:numCache>
                <c:formatCode>"€"#,##0.00_);[Red]\("€"#,##0.00\)</c:formatCode>
                <c:ptCount val="7"/>
                <c:pt idx="0">
                  <c:v>33911.629999999997</c:v>
                </c:pt>
                <c:pt idx="1">
                  <c:v>21117.18</c:v>
                </c:pt>
                <c:pt idx="2">
                  <c:v>22665.489999999998</c:v>
                </c:pt>
                <c:pt idx="3">
                  <c:v>72499.33</c:v>
                </c:pt>
                <c:pt idx="4">
                  <c:v>39096.81</c:v>
                </c:pt>
                <c:pt idx="5">
                  <c:v>4020.18</c:v>
                </c:pt>
                <c:pt idx="6">
                  <c:v>90421.569999999992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BC-4B6B-BE4D-AC4117ED5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9594888"/>
        <c:axId val="1969597448"/>
      </c:barChart>
      <c:catAx>
        <c:axId val="1969594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9597448"/>
        <c:crosses val="autoZero"/>
        <c:auto val="1"/>
        <c:lblAlgn val="ctr"/>
        <c:lblOffset val="100"/>
        <c:noMultiLvlLbl val="0"/>
      </c:catAx>
      <c:valAx>
        <c:axId val="196959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959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[OrtizDeLejarazuSanchez_Angel_CastañedaMatute_Ruben.Practica.02.xlsx]Gráficos!Tabla 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COSTES POR REGIÓN Y CANAL DE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Gráficos!$C$31:$C$32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Gráficos!$B$33:$B$40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Gráficos!$C$33:$C$40</c:f>
              <c:numCache>
                <c:formatCode>"€"#,##0.00_);[Red]\("€"#,##0.00\)</c:formatCode>
                <c:ptCount val="7"/>
                <c:pt idx="0">
                  <c:v>6774.5</c:v>
                </c:pt>
                <c:pt idx="1">
                  <c:v>2796.5</c:v>
                </c:pt>
                <c:pt idx="2">
                  <c:v>1795.5</c:v>
                </c:pt>
                <c:pt idx="3">
                  <c:v>12621.5</c:v>
                </c:pt>
                <c:pt idx="4">
                  <c:v>3222</c:v>
                </c:pt>
                <c:pt idx="6">
                  <c:v>8519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A-4CB5-9018-381B2C211926}"/>
            </c:ext>
          </c:extLst>
        </c:ser>
        <c:ser>
          <c:idx val="1"/>
          <c:order val="1"/>
          <c:tx>
            <c:strRef>
              <c:f>Gráficos!$D$31:$D$32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Gráficos!$B$33:$B$40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Gráficos!$D$33:$D$40</c:f>
              <c:numCache>
                <c:formatCode>"€"#,##0.00_);[Red]\("€"#,##0.00\)</c:formatCode>
                <c:ptCount val="7"/>
                <c:pt idx="0">
                  <c:v>25880.5</c:v>
                </c:pt>
                <c:pt idx="1">
                  <c:v>14312.5</c:v>
                </c:pt>
                <c:pt idx="2">
                  <c:v>18040.5</c:v>
                </c:pt>
                <c:pt idx="3">
                  <c:v>35505</c:v>
                </c:pt>
                <c:pt idx="4">
                  <c:v>20786</c:v>
                </c:pt>
                <c:pt idx="5">
                  <c:v>2333.5</c:v>
                </c:pt>
                <c:pt idx="6">
                  <c:v>50635.5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FA-4CB5-9018-381B2C211926}"/>
            </c:ext>
          </c:extLst>
        </c:ser>
        <c:ser>
          <c:idx val="2"/>
          <c:order val="2"/>
          <c:tx>
            <c:strRef>
              <c:f>Gráficos!$E$31:$E$32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Gráficos!$B$33:$B$40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Gráficos!$E$33:$E$40</c:f>
              <c:numCache>
                <c:formatCode>"€"#,##0.00_);[Red]\("€"#,##0.00\)</c:formatCode>
                <c:ptCount val="7"/>
                <c:pt idx="0">
                  <c:v>18006</c:v>
                </c:pt>
                <c:pt idx="1">
                  <c:v>11563.5</c:v>
                </c:pt>
                <c:pt idx="2">
                  <c:v>11924.5</c:v>
                </c:pt>
                <c:pt idx="3">
                  <c:v>38986</c:v>
                </c:pt>
                <c:pt idx="4">
                  <c:v>21317</c:v>
                </c:pt>
                <c:pt idx="5">
                  <c:v>2155</c:v>
                </c:pt>
                <c:pt idx="6">
                  <c:v>49756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FA-4CB5-9018-381B2C211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277640"/>
        <c:axId val="1198279688"/>
      </c:barChart>
      <c:catAx>
        <c:axId val="119827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8279688"/>
        <c:crosses val="autoZero"/>
        <c:auto val="1"/>
        <c:lblAlgn val="ctr"/>
        <c:lblOffset val="100"/>
        <c:noMultiLvlLbl val="0"/>
      </c:catAx>
      <c:valAx>
        <c:axId val="119827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8277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[OrtizDeLejarazuSanchez_Angel_CastañedaMatute_Ruben.Practica.02.xlsx]Gráficos!Tabla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BENEFICIOS POR REGIÓN Y CANAL DE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Gráficos!$C$61:$C$62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Gráficos!$B$63:$B$70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Gráficos!$C$63:$C$70</c:f>
              <c:numCache>
                <c:formatCode>"€"#,##0.00_);[Red]\("€"#,##0.00\)</c:formatCode>
                <c:ptCount val="7"/>
                <c:pt idx="0">
                  <c:v>5796.97</c:v>
                </c:pt>
                <c:pt idx="1">
                  <c:v>2113.2800000000002</c:v>
                </c:pt>
                <c:pt idx="2">
                  <c:v>1462.5700000000002</c:v>
                </c:pt>
                <c:pt idx="3">
                  <c:v>11626.13</c:v>
                </c:pt>
                <c:pt idx="4">
                  <c:v>2685.58</c:v>
                </c:pt>
                <c:pt idx="6">
                  <c:v>7524.37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9-4474-A8DC-6AB43B166932}"/>
            </c:ext>
          </c:extLst>
        </c:ser>
        <c:ser>
          <c:idx val="1"/>
          <c:order val="1"/>
          <c:tx>
            <c:strRef>
              <c:f>Gráficos!$D$61:$D$62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Gráficos!$B$63:$B$70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Gráficos!$D$63:$D$70</c:f>
              <c:numCache>
                <c:formatCode>"€"#,##0.00_);[Red]\("€"#,##0.00\)</c:formatCode>
                <c:ptCount val="7"/>
                <c:pt idx="0">
                  <c:v>21767.910000000003</c:v>
                </c:pt>
                <c:pt idx="1">
                  <c:v>13132.419999999998</c:v>
                </c:pt>
                <c:pt idx="2">
                  <c:v>15910.920000000002</c:v>
                </c:pt>
                <c:pt idx="3">
                  <c:v>30808.440000000002</c:v>
                </c:pt>
                <c:pt idx="4">
                  <c:v>18024.47</c:v>
                </c:pt>
                <c:pt idx="5">
                  <c:v>1894.2200000000003</c:v>
                </c:pt>
                <c:pt idx="6">
                  <c:v>42720.74000000002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9-4474-A8DC-6AB43B166932}"/>
            </c:ext>
          </c:extLst>
        </c:ser>
        <c:ser>
          <c:idx val="2"/>
          <c:order val="2"/>
          <c:tx>
            <c:strRef>
              <c:f>Gráficos!$E$61:$E$62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Gráficos!$B$63:$B$70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Gráficos!$E$63:$E$70</c:f>
              <c:numCache>
                <c:formatCode>"€"#,##0.00_);[Red]\("€"#,##0.00\)</c:formatCode>
                <c:ptCount val="7"/>
                <c:pt idx="0">
                  <c:v>15905.63</c:v>
                </c:pt>
                <c:pt idx="1">
                  <c:v>9553.6800000000021</c:v>
                </c:pt>
                <c:pt idx="2">
                  <c:v>10740.990000000002</c:v>
                </c:pt>
                <c:pt idx="3">
                  <c:v>33513.33</c:v>
                </c:pt>
                <c:pt idx="4">
                  <c:v>17779.810000000001</c:v>
                </c:pt>
                <c:pt idx="5">
                  <c:v>1865.1800000000003</c:v>
                </c:pt>
                <c:pt idx="6">
                  <c:v>40665.57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49-4474-A8DC-6AB43B166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0422536"/>
        <c:axId val="1230424584"/>
      </c:barChart>
      <c:catAx>
        <c:axId val="1230422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0424584"/>
        <c:crosses val="autoZero"/>
        <c:auto val="1"/>
        <c:lblAlgn val="ctr"/>
        <c:lblOffset val="100"/>
        <c:noMultiLvlLbl val="0"/>
      </c:catAx>
      <c:valAx>
        <c:axId val="123042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0422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[OrtizDeLejarazuSanchez_Angel_CastañedaMatute_Ruben.Practica.02.xlsx]Gráficos!Tabla 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UNIDADES VENDIDAS POR REGIÓN Y CANAL DE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Gráficos!$C$91:$C$92</c:f>
              <c:strCache>
                <c:ptCount val="1"/>
                <c:pt idx="0">
                  <c:v>Direct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Gráficos!$B$93:$B$100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Gráficos!$C$93:$C$100</c:f>
              <c:numCache>
                <c:formatCode>General</c:formatCode>
                <c:ptCount val="7"/>
                <c:pt idx="0">
                  <c:v>1588</c:v>
                </c:pt>
                <c:pt idx="1">
                  <c:v>848</c:v>
                </c:pt>
                <c:pt idx="2">
                  <c:v>740</c:v>
                </c:pt>
                <c:pt idx="3">
                  <c:v>3588</c:v>
                </c:pt>
                <c:pt idx="4">
                  <c:v>1014</c:v>
                </c:pt>
                <c:pt idx="6">
                  <c:v>2985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2-4ADF-B49F-6C4A9D5B563F}"/>
            </c:ext>
          </c:extLst>
        </c:ser>
        <c:ser>
          <c:idx val="1"/>
          <c:order val="1"/>
          <c:tx>
            <c:strRef>
              <c:f>Gráficos!$D$91:$D$92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Gráficos!$B$93:$B$100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Gráficos!$D$93:$D$100</c:f>
              <c:numCache>
                <c:formatCode>General</c:formatCode>
                <c:ptCount val="7"/>
                <c:pt idx="0">
                  <c:v>7212</c:v>
                </c:pt>
                <c:pt idx="1">
                  <c:v>5112</c:v>
                </c:pt>
                <c:pt idx="2">
                  <c:v>5913</c:v>
                </c:pt>
                <c:pt idx="3">
                  <c:v>11805</c:v>
                </c:pt>
                <c:pt idx="4">
                  <c:v>6707</c:v>
                </c:pt>
                <c:pt idx="5">
                  <c:v>573</c:v>
                </c:pt>
                <c:pt idx="6">
                  <c:v>15335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92-4ADF-B49F-6C4A9D5B563F}"/>
            </c:ext>
          </c:extLst>
        </c:ser>
        <c:ser>
          <c:idx val="2"/>
          <c:order val="2"/>
          <c:tx>
            <c:strRef>
              <c:f>Gráficos!$E$91:$E$92</c:f>
              <c:strCache>
                <c:ptCount val="1"/>
                <c:pt idx="0">
                  <c:v>Retail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Gráficos!$B$93:$B$100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Gráficos!$E$93:$E$100</c:f>
              <c:numCache>
                <c:formatCode>General</c:formatCode>
                <c:ptCount val="7"/>
                <c:pt idx="0">
                  <c:v>5864</c:v>
                </c:pt>
                <c:pt idx="1">
                  <c:v>3141</c:v>
                </c:pt>
                <c:pt idx="2">
                  <c:v>4328</c:v>
                </c:pt>
                <c:pt idx="3">
                  <c:v>11536</c:v>
                </c:pt>
                <c:pt idx="4">
                  <c:v>5968</c:v>
                </c:pt>
                <c:pt idx="5">
                  <c:v>455</c:v>
                </c:pt>
                <c:pt idx="6">
                  <c:v>13328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92-4ADF-B49F-6C4A9D5B5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283784"/>
        <c:axId val="1206067208"/>
      </c:barChart>
      <c:catAx>
        <c:axId val="119828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06067208"/>
        <c:crosses val="autoZero"/>
        <c:auto val="1"/>
        <c:lblAlgn val="ctr"/>
        <c:lblOffset val="100"/>
        <c:noMultiLvlLbl val="0"/>
      </c:catAx>
      <c:valAx>
        <c:axId val="120606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828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2562225</xdr:colOff>
      <xdr:row>11</xdr:row>
      <xdr:rowOff>85725</xdr:rowOff>
    </xdr:from>
    <xdr:to>
      <xdr:col>4</xdr:col>
      <xdr:colOff>771525</xdr:colOff>
      <xdr:row>28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B4EBCC-35A9-6F8C-9223-783211B3A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2390775</xdr:colOff>
      <xdr:row>41</xdr:row>
      <xdr:rowOff>85725</xdr:rowOff>
    </xdr:from>
    <xdr:to>
      <xdr:col>4</xdr:col>
      <xdr:colOff>762000</xdr:colOff>
      <xdr:row>58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91D49D-1C1C-FDE5-E8B4-41BC25AFD4A6}"/>
            </a:ext>
            <a:ext uri="{147F2762-F138-4A5C-976F-8EAC2B608ADB}">
              <a16:predDERef xmlns:a16="http://schemas.microsoft.com/office/drawing/2014/main" pred="{28B4EBCC-35A9-6F8C-9223-783211B3A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1943100</xdr:colOff>
      <xdr:row>71</xdr:row>
      <xdr:rowOff>76200</xdr:rowOff>
    </xdr:from>
    <xdr:to>
      <xdr:col>4</xdr:col>
      <xdr:colOff>762000</xdr:colOff>
      <xdr:row>88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4A86D66-B77E-88E8-FD21-51129A3CB909}"/>
            </a:ext>
            <a:ext uri="{147F2762-F138-4A5C-976F-8EAC2B608ADB}">
              <a16:predDERef xmlns:a16="http://schemas.microsoft.com/office/drawing/2014/main" pred="{3491D49D-1C1C-FDE5-E8B4-41BC25AFD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1952625</xdr:colOff>
      <xdr:row>101</xdr:row>
      <xdr:rowOff>85725</xdr:rowOff>
    </xdr:from>
    <xdr:to>
      <xdr:col>4</xdr:col>
      <xdr:colOff>762000</xdr:colOff>
      <xdr:row>118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57FC480-B83D-6A48-8FC0-28234CF96637}"/>
            </a:ext>
            <a:ext uri="{147F2762-F138-4A5C-976F-8EAC2B608ADB}">
              <a16:predDERef xmlns:a16="http://schemas.microsoft.com/office/drawing/2014/main" pred="{94A86D66-B77E-88E8-FD21-51129A3CB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0.574007523152" createdVersion="8" refreshedVersion="8" minRefreshableVersion="3" recordCount="999" xr:uid="{F4266C10-AD77-4C29-AFCB-C6D61606D380}">
  <cacheSource type="worksheet">
    <worksheetSource ref="B1:I1048576" sheet="Calculos"/>
  </cacheSource>
  <cacheFields count="8">
    <cacheField name="UdsVendidas" numFmtId="0">
      <sharedItems containsString="0" containsBlank="1" containsNumber="1" containsInteger="1" minValue="1" maxValue="212"/>
    </cacheField>
    <cacheField name="INGRESOS" numFmtId="0">
      <sharedItems containsString="0" containsBlank="1" containsNumber="1" minValue="3.99" maxValue="3030.5"/>
    </cacheField>
    <cacheField name="COSTES" numFmtId="0">
      <sharedItems containsString="0" containsBlank="1" containsNumber="1" minValue="2" maxValue="1672"/>
    </cacheField>
    <cacheField name="BENEFICIOS" numFmtId="0">
      <sharedItems containsString="0" containsBlank="1" containsNumber="1" minValue="1.9900000000000002" maxValue="1358.5"/>
    </cacheField>
    <cacheField name="AÑO" numFmtId="0">
      <sharedItems containsString="0" containsBlank="1" containsNumber="1" containsInteger="1" minValue="2015" maxValue="2016" count="3">
        <n v="2016"/>
        <n v="2015"/>
        <m/>
      </sharedItems>
    </cacheField>
    <cacheField name="MES" numFmtId="0">
      <sharedItems containsString="0" containsBlank="1" containsNumber="1" containsInteger="1" minValue="1" maxValue="12"/>
    </cacheField>
    <cacheField name="REGIÓN" numFmtId="0">
      <sharedItems containsBlank="1" count="8">
        <s v="Sub-Saharan Africa"/>
        <s v="Central America and the Caribbean"/>
        <s v="Middle East and North Africa"/>
        <s v="Europe"/>
        <s v="Asia"/>
        <s v="Australia and Oceania"/>
        <s v="North America"/>
        <m/>
      </sharedItems>
    </cacheField>
    <cacheField name="CANAL DE VENT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1.116690162038" createdVersion="8" refreshedVersion="8" minRefreshableVersion="3" recordCount="998" xr:uid="{B8E94383-F204-45E9-AE31-8CF81CAD586B}">
  <cacheSource type="worksheet">
    <worksheetSource ref="B1:I999" sheet="Calculos"/>
  </cacheSource>
  <cacheFields count="8">
    <cacheField name="UNIDADES VENDIDAS" numFmtId="0">
      <sharedItems containsSemiMixedTypes="0" containsString="0" containsNumber="1" containsInteger="1" minValue="1" maxValue="212"/>
    </cacheField>
    <cacheField name="INGRESOS" numFmtId="8">
      <sharedItems containsSemiMixedTypes="0" containsString="0" containsNumber="1" minValue="3.99" maxValue="3030.5"/>
    </cacheField>
    <cacheField name="COSTES" numFmtId="8">
      <sharedItems containsSemiMixedTypes="0" containsString="0" containsNumber="1" minValue="2" maxValue="1672"/>
    </cacheField>
    <cacheField name="BENEFICIOS" numFmtId="8">
      <sharedItems containsSemiMixedTypes="0" containsString="0" containsNumber="1" minValue="1.9900000000000002" maxValue="1358.5"/>
    </cacheField>
    <cacheField name="AÑO" numFmtId="0">
      <sharedItems containsSemiMixedTypes="0" containsString="0" containsNumber="1" containsInteger="1" minValue="2015" maxValue="2016" count="2">
        <n v="2016"/>
        <n v="2015"/>
      </sharedItems>
    </cacheField>
    <cacheField name="MES" numFmtId="0">
      <sharedItems containsSemiMixedTypes="0" containsString="0" containsNumber="1" containsInteger="1" minValue="1" maxValue="12"/>
    </cacheField>
    <cacheField name="REGIÓN" numFmtId="0">
      <sharedItems count="7">
        <s v="Sub-Saharan Africa"/>
        <s v="Central America and the Caribbean"/>
        <s v="Middle East and North Africa"/>
        <s v="Europe"/>
        <s v="Asia"/>
        <s v="Australia and Oceania"/>
        <s v="North America"/>
      </sharedItems>
    </cacheField>
    <cacheField name="CANAL DE VENTAS" numFmtId="0">
      <sharedItems count="3">
        <s v="Online"/>
        <s v="Retail"/>
        <s v="Direc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n v="117"/>
    <n v="234"/>
    <n v="117"/>
    <n v="117"/>
    <x v="0"/>
    <n v="8"/>
    <x v="0"/>
    <s v="Online"/>
  </r>
  <r>
    <n v="73"/>
    <n v="474.5"/>
    <n v="255.5"/>
    <n v="219"/>
    <x v="0"/>
    <n v="7"/>
    <x v="1"/>
    <s v="Online"/>
  </r>
  <r>
    <n v="205"/>
    <n v="1845"/>
    <n v="1230"/>
    <n v="615"/>
    <x v="0"/>
    <n v="8"/>
    <x v="0"/>
    <s v="Retail"/>
  </r>
  <r>
    <n v="14"/>
    <n v="139.86000000000001"/>
    <n v="70"/>
    <n v="69.860000000000014"/>
    <x v="0"/>
    <n v="8"/>
    <x v="0"/>
    <s v="Retail"/>
  </r>
  <r>
    <n v="170"/>
    <n v="678.30000000000007"/>
    <n v="340"/>
    <n v="338.30000000000007"/>
    <x v="0"/>
    <n v="8"/>
    <x v="0"/>
    <s v="Retail"/>
  </r>
  <r>
    <n v="129"/>
    <n v="387"/>
    <n v="193.5"/>
    <n v="193.5"/>
    <x v="0"/>
    <n v="7"/>
    <x v="2"/>
    <s v="Retail"/>
  </r>
  <r>
    <n v="82"/>
    <n v="492"/>
    <n v="246"/>
    <n v="246"/>
    <x v="0"/>
    <n v="7"/>
    <x v="1"/>
    <s v="Online"/>
  </r>
  <r>
    <n v="116"/>
    <n v="348"/>
    <n v="174"/>
    <n v="174"/>
    <x v="0"/>
    <n v="6"/>
    <x v="3"/>
    <s v="Retail"/>
  </r>
  <r>
    <n v="67"/>
    <n v="468.33000000000004"/>
    <n v="234.5"/>
    <n v="233.83000000000004"/>
    <x v="0"/>
    <n v="6"/>
    <x v="4"/>
    <s v="Online"/>
  </r>
  <r>
    <n v="125"/>
    <n v="873.75"/>
    <n v="437.5"/>
    <n v="436.25"/>
    <x v="0"/>
    <n v="7"/>
    <x v="0"/>
    <s v="Retail"/>
  </r>
  <r>
    <n v="71"/>
    <n v="461.5"/>
    <n v="248.5"/>
    <n v="213"/>
    <x v="0"/>
    <n v="7"/>
    <x v="4"/>
    <s v="Retail"/>
  </r>
  <r>
    <n v="22"/>
    <n v="219.78"/>
    <n v="110"/>
    <n v="109.78"/>
    <x v="0"/>
    <n v="8"/>
    <x v="3"/>
    <s v="Online"/>
  </r>
  <r>
    <n v="153"/>
    <n v="459"/>
    <n v="229.5"/>
    <n v="229.5"/>
    <x v="0"/>
    <n v="8"/>
    <x v="3"/>
    <s v="Retail"/>
  </r>
  <r>
    <n v="141"/>
    <n v="1269"/>
    <n v="846"/>
    <n v="423"/>
    <x v="0"/>
    <n v="7"/>
    <x v="5"/>
    <s v="Online"/>
  </r>
  <r>
    <n v="65"/>
    <n v="422.5"/>
    <n v="227.5"/>
    <n v="195"/>
    <x v="0"/>
    <n v="8"/>
    <x v="4"/>
    <s v="Online"/>
  </r>
  <r>
    <n v="157"/>
    <n v="314"/>
    <n v="157"/>
    <n v="157"/>
    <x v="0"/>
    <n v="7"/>
    <x v="2"/>
    <s v="Online"/>
  </r>
  <r>
    <n v="197"/>
    <n v="2856.5"/>
    <n v="1576"/>
    <n v="1280.5"/>
    <x v="0"/>
    <n v="8"/>
    <x v="0"/>
    <s v="Online"/>
  </r>
  <r>
    <n v="10"/>
    <n v="30"/>
    <n v="15"/>
    <n v="15"/>
    <x v="0"/>
    <n v="6"/>
    <x v="3"/>
    <s v="Online"/>
  </r>
  <r>
    <n v="30"/>
    <n v="209.70000000000002"/>
    <n v="105"/>
    <n v="104.70000000000002"/>
    <x v="0"/>
    <n v="6"/>
    <x v="0"/>
    <s v="Retail"/>
  </r>
  <r>
    <n v="134"/>
    <n v="603"/>
    <n v="335"/>
    <n v="268"/>
    <x v="0"/>
    <n v="7"/>
    <x v="0"/>
    <s v="Direct"/>
  </r>
  <r>
    <n v="100"/>
    <n v="600"/>
    <n v="300"/>
    <n v="300"/>
    <x v="0"/>
    <n v="8"/>
    <x v="0"/>
    <s v="Retail"/>
  </r>
  <r>
    <n v="142"/>
    <n v="2059"/>
    <n v="1136"/>
    <n v="923"/>
    <x v="0"/>
    <n v="6"/>
    <x v="5"/>
    <s v="Retail"/>
  </r>
  <r>
    <n v="135"/>
    <n v="538.65"/>
    <n v="270"/>
    <n v="268.64999999999998"/>
    <x v="0"/>
    <n v="6"/>
    <x v="5"/>
    <s v="Online"/>
  </r>
  <r>
    <n v="9"/>
    <n v="40.5"/>
    <n v="22.5"/>
    <n v="18"/>
    <x v="0"/>
    <n v="7"/>
    <x v="0"/>
    <s v="Retail"/>
  </r>
  <r>
    <n v="69"/>
    <n v="621"/>
    <n v="414"/>
    <n v="207"/>
    <x v="0"/>
    <n v="8"/>
    <x v="2"/>
    <s v="Online"/>
  </r>
  <r>
    <n v="189"/>
    <n v="754.11"/>
    <n v="378"/>
    <n v="376.11"/>
    <x v="0"/>
    <n v="6"/>
    <x v="5"/>
    <s v="Online"/>
  </r>
  <r>
    <n v="141"/>
    <n v="1408.59"/>
    <n v="705"/>
    <n v="703.58999999999992"/>
    <x v="0"/>
    <n v="6"/>
    <x v="3"/>
    <s v="Online"/>
  </r>
  <r>
    <n v="166"/>
    <n v="2407"/>
    <n v="1328"/>
    <n v="1079"/>
    <x v="0"/>
    <n v="8"/>
    <x v="4"/>
    <s v="Online"/>
  </r>
  <r>
    <n v="170"/>
    <n v="1530"/>
    <n v="1020"/>
    <n v="510"/>
    <x v="0"/>
    <n v="8"/>
    <x v="2"/>
    <s v="Retail"/>
  </r>
  <r>
    <n v="199"/>
    <n v="1791"/>
    <n v="1194"/>
    <n v="597"/>
    <x v="0"/>
    <n v="8"/>
    <x v="3"/>
    <s v="Retail"/>
  </r>
  <r>
    <n v="73"/>
    <n v="1058.5"/>
    <n v="584"/>
    <n v="474.5"/>
    <x v="0"/>
    <n v="7"/>
    <x v="5"/>
    <s v="Online"/>
  </r>
  <r>
    <n v="117"/>
    <n v="234"/>
    <n v="117"/>
    <n v="117"/>
    <x v="0"/>
    <n v="6"/>
    <x v="0"/>
    <s v="Retail"/>
  </r>
  <r>
    <n v="160"/>
    <n v="1440"/>
    <n v="960"/>
    <n v="480"/>
    <x v="0"/>
    <n v="6"/>
    <x v="0"/>
    <s v="Retail"/>
  </r>
  <r>
    <n v="45"/>
    <n v="90"/>
    <n v="45"/>
    <n v="45"/>
    <x v="0"/>
    <n v="6"/>
    <x v="5"/>
    <s v="Online"/>
  </r>
  <r>
    <n v="37"/>
    <n v="536.5"/>
    <n v="296"/>
    <n v="240.5"/>
    <x v="0"/>
    <n v="6"/>
    <x v="3"/>
    <s v="Retail"/>
  </r>
  <r>
    <n v="135"/>
    <n v="1215"/>
    <n v="810"/>
    <n v="405"/>
    <x v="0"/>
    <n v="8"/>
    <x v="3"/>
    <s v="Online"/>
  </r>
  <r>
    <n v="12"/>
    <n v="47.88"/>
    <n v="24"/>
    <n v="23.880000000000003"/>
    <x v="0"/>
    <n v="7"/>
    <x v="4"/>
    <s v="Direct"/>
  </r>
  <r>
    <n v="104"/>
    <n v="414.96000000000004"/>
    <n v="208"/>
    <n v="206.96000000000004"/>
    <x v="0"/>
    <n v="6"/>
    <x v="0"/>
    <s v="Retail"/>
  </r>
  <r>
    <n v="167"/>
    <n v="1668.33"/>
    <n v="835"/>
    <n v="833.32999999999993"/>
    <x v="0"/>
    <n v="7"/>
    <x v="5"/>
    <s v="Online"/>
  </r>
  <r>
    <n v="108"/>
    <n v="754.92000000000007"/>
    <n v="378"/>
    <n v="376.92000000000007"/>
    <x v="0"/>
    <n v="7"/>
    <x v="0"/>
    <s v="Retail"/>
  </r>
  <r>
    <n v="105"/>
    <n v="682.5"/>
    <n v="367.5"/>
    <n v="315"/>
    <x v="0"/>
    <n v="7"/>
    <x v="1"/>
    <s v="Retail"/>
  </r>
  <r>
    <n v="176"/>
    <n v="2552"/>
    <n v="1408"/>
    <n v="1144"/>
    <x v="0"/>
    <n v="8"/>
    <x v="4"/>
    <s v="Retail"/>
  </r>
  <r>
    <n v="131"/>
    <n v="522.69000000000005"/>
    <n v="262"/>
    <n v="260.69000000000005"/>
    <x v="0"/>
    <n v="6"/>
    <x v="5"/>
    <s v="Online"/>
  </r>
  <r>
    <n v="188"/>
    <n v="1692"/>
    <n v="1128"/>
    <n v="564"/>
    <x v="0"/>
    <n v="8"/>
    <x v="0"/>
    <s v="Retail"/>
  </r>
  <r>
    <n v="93"/>
    <n v="604.5"/>
    <n v="325.5"/>
    <n v="279"/>
    <x v="0"/>
    <n v="6"/>
    <x v="4"/>
    <s v="Direct"/>
  </r>
  <r>
    <n v="113"/>
    <n v="678"/>
    <n v="339"/>
    <n v="339"/>
    <x v="0"/>
    <n v="7"/>
    <x v="1"/>
    <s v="Online"/>
  </r>
  <r>
    <n v="112"/>
    <n v="336"/>
    <n v="168"/>
    <n v="168"/>
    <x v="0"/>
    <n v="7"/>
    <x v="0"/>
    <s v="Online"/>
  </r>
  <r>
    <n v="201"/>
    <n v="801.99"/>
    <n v="402"/>
    <n v="399.99"/>
    <x v="0"/>
    <n v="6"/>
    <x v="0"/>
    <s v="Online"/>
  </r>
  <r>
    <n v="41"/>
    <n v="409.59000000000003"/>
    <n v="205"/>
    <n v="204.59000000000003"/>
    <x v="0"/>
    <n v="6"/>
    <x v="6"/>
    <s v="Retail"/>
  </r>
  <r>
    <n v="18"/>
    <n v="261"/>
    <n v="144"/>
    <n v="117"/>
    <x v="0"/>
    <n v="6"/>
    <x v="3"/>
    <s v="Retail"/>
  </r>
  <r>
    <n v="28"/>
    <n v="111.72"/>
    <n v="56"/>
    <n v="55.72"/>
    <x v="0"/>
    <n v="7"/>
    <x v="0"/>
    <s v="Online"/>
  </r>
  <r>
    <n v="137"/>
    <n v="274"/>
    <n v="137"/>
    <n v="137"/>
    <x v="0"/>
    <n v="7"/>
    <x v="5"/>
    <s v="Online"/>
  </r>
  <r>
    <n v="95"/>
    <n v="949.05000000000007"/>
    <n v="475"/>
    <n v="474.05000000000007"/>
    <x v="0"/>
    <n v="8"/>
    <x v="1"/>
    <s v="Retail"/>
  </r>
  <r>
    <n v="109"/>
    <n v="434.91"/>
    <n v="218"/>
    <n v="216.91000000000003"/>
    <x v="0"/>
    <n v="7"/>
    <x v="0"/>
    <s v="Online"/>
  </r>
  <r>
    <n v="137"/>
    <n v="546.63"/>
    <n v="274"/>
    <n v="272.63"/>
    <x v="0"/>
    <n v="6"/>
    <x v="0"/>
    <s v="Direct"/>
  </r>
  <r>
    <n v="196"/>
    <n v="782.04000000000008"/>
    <n v="392"/>
    <n v="390.04000000000008"/>
    <x v="0"/>
    <n v="7"/>
    <x v="3"/>
    <s v="Online"/>
  </r>
  <r>
    <n v="48"/>
    <n v="312"/>
    <n v="168"/>
    <n v="144"/>
    <x v="0"/>
    <n v="7"/>
    <x v="4"/>
    <s v="Retail"/>
  </r>
  <r>
    <n v="4"/>
    <n v="8"/>
    <n v="4"/>
    <n v="4"/>
    <x v="0"/>
    <n v="8"/>
    <x v="0"/>
    <s v="Online"/>
  </r>
  <r>
    <n v="125"/>
    <n v="750"/>
    <n v="375"/>
    <n v="375"/>
    <x v="0"/>
    <n v="6"/>
    <x v="3"/>
    <s v="Direct"/>
  </r>
  <r>
    <n v="211"/>
    <n v="422"/>
    <n v="211"/>
    <n v="211"/>
    <x v="0"/>
    <n v="8"/>
    <x v="1"/>
    <s v="Online"/>
  </r>
  <r>
    <n v="20"/>
    <n v="60"/>
    <n v="30"/>
    <n v="30"/>
    <x v="0"/>
    <n v="6"/>
    <x v="4"/>
    <s v="Online"/>
  </r>
  <r>
    <n v="135"/>
    <n v="405"/>
    <n v="202.5"/>
    <n v="202.5"/>
    <x v="0"/>
    <n v="8"/>
    <x v="2"/>
    <s v="Direct"/>
  </r>
  <r>
    <n v="193"/>
    <n v="1928.07"/>
    <n v="965"/>
    <n v="963.06999999999994"/>
    <x v="0"/>
    <n v="8"/>
    <x v="0"/>
    <s v="Retail"/>
  </r>
  <r>
    <n v="184"/>
    <n v="1104"/>
    <n v="552"/>
    <n v="552"/>
    <x v="0"/>
    <n v="6"/>
    <x v="4"/>
    <s v="Online"/>
  </r>
  <r>
    <n v="126"/>
    <n v="567"/>
    <n v="315"/>
    <n v="252"/>
    <x v="0"/>
    <n v="8"/>
    <x v="3"/>
    <s v="Online"/>
  </r>
  <r>
    <n v="176"/>
    <n v="1144"/>
    <n v="616"/>
    <n v="528"/>
    <x v="0"/>
    <n v="7"/>
    <x v="0"/>
    <s v="Online"/>
  </r>
  <r>
    <n v="102"/>
    <n v="1479"/>
    <n v="816"/>
    <n v="663"/>
    <x v="0"/>
    <n v="7"/>
    <x v="3"/>
    <s v="Direct"/>
  </r>
  <r>
    <n v="203"/>
    <n v="809.97"/>
    <n v="406"/>
    <n v="403.97"/>
    <x v="0"/>
    <n v="7"/>
    <x v="6"/>
    <s v="Online"/>
  </r>
  <r>
    <n v="177"/>
    <n v="354"/>
    <n v="177"/>
    <n v="177"/>
    <x v="0"/>
    <n v="8"/>
    <x v="3"/>
    <s v="Online"/>
  </r>
  <r>
    <n v="51"/>
    <n v="102"/>
    <n v="51"/>
    <n v="51"/>
    <x v="0"/>
    <n v="8"/>
    <x v="2"/>
    <s v="Direct"/>
  </r>
  <r>
    <n v="203"/>
    <n v="809.97"/>
    <n v="406"/>
    <n v="403.97"/>
    <x v="0"/>
    <n v="7"/>
    <x v="4"/>
    <s v="Retail"/>
  </r>
  <r>
    <n v="106"/>
    <n v="422.94"/>
    <n v="212"/>
    <n v="210.94"/>
    <x v="0"/>
    <n v="8"/>
    <x v="3"/>
    <s v="Retail"/>
  </r>
  <r>
    <n v="14"/>
    <n v="42"/>
    <n v="21"/>
    <n v="21"/>
    <x v="0"/>
    <n v="8"/>
    <x v="0"/>
    <s v="Online"/>
  </r>
  <r>
    <n v="116"/>
    <n v="1044"/>
    <n v="696"/>
    <n v="348"/>
    <x v="0"/>
    <n v="8"/>
    <x v="3"/>
    <s v="Online"/>
  </r>
  <r>
    <n v="7"/>
    <n v="31.5"/>
    <n v="17.5"/>
    <n v="14"/>
    <x v="0"/>
    <n v="7"/>
    <x v="2"/>
    <s v="Retail"/>
  </r>
  <r>
    <n v="82"/>
    <n v="573.18000000000006"/>
    <n v="287"/>
    <n v="286.18000000000006"/>
    <x v="0"/>
    <n v="7"/>
    <x v="0"/>
    <s v="Online"/>
  </r>
  <r>
    <n v="178"/>
    <n v="710.22"/>
    <n v="356"/>
    <n v="354.22"/>
    <x v="0"/>
    <n v="8"/>
    <x v="4"/>
    <s v="Online"/>
  </r>
  <r>
    <n v="41"/>
    <n v="246"/>
    <n v="123"/>
    <n v="123"/>
    <x v="0"/>
    <n v="7"/>
    <x v="3"/>
    <s v="Retail"/>
  </r>
  <r>
    <n v="85"/>
    <n v="382.5"/>
    <n v="212.5"/>
    <n v="170"/>
    <x v="0"/>
    <n v="7"/>
    <x v="1"/>
    <s v="Retail"/>
  </r>
  <r>
    <n v="77"/>
    <n v="231"/>
    <n v="115.5"/>
    <n v="115.5"/>
    <x v="0"/>
    <n v="6"/>
    <x v="0"/>
    <s v="Retail"/>
  </r>
  <r>
    <n v="122"/>
    <n v="486.78000000000003"/>
    <n v="244"/>
    <n v="242.78000000000003"/>
    <x v="0"/>
    <n v="6"/>
    <x v="3"/>
    <s v="Online"/>
  </r>
  <r>
    <n v="42"/>
    <n v="419.58"/>
    <n v="210"/>
    <n v="209.57999999999998"/>
    <x v="0"/>
    <n v="8"/>
    <x v="4"/>
    <s v="Online"/>
  </r>
  <r>
    <n v="64"/>
    <n v="416"/>
    <n v="224"/>
    <n v="192"/>
    <x v="0"/>
    <n v="8"/>
    <x v="4"/>
    <s v="Online"/>
  </r>
  <r>
    <n v="208"/>
    <n v="3016"/>
    <n v="1664"/>
    <n v="1352"/>
    <x v="0"/>
    <n v="8"/>
    <x v="3"/>
    <s v="Direct"/>
  </r>
  <r>
    <n v="13"/>
    <n v="129.87"/>
    <n v="65"/>
    <n v="64.87"/>
    <x v="0"/>
    <n v="7"/>
    <x v="0"/>
    <s v="Retail"/>
  </r>
  <r>
    <n v="147"/>
    <n v="1323"/>
    <n v="882"/>
    <n v="441"/>
    <x v="0"/>
    <n v="6"/>
    <x v="2"/>
    <s v="Retail"/>
  </r>
  <r>
    <n v="163"/>
    <n v="1628.3700000000001"/>
    <n v="815"/>
    <n v="813.37000000000012"/>
    <x v="0"/>
    <n v="8"/>
    <x v="3"/>
    <s v="Retail"/>
  </r>
  <r>
    <n v="126"/>
    <n v="819"/>
    <n v="441"/>
    <n v="378"/>
    <x v="0"/>
    <n v="7"/>
    <x v="3"/>
    <s v="Direct"/>
  </r>
  <r>
    <n v="188"/>
    <n v="1692"/>
    <n v="1128"/>
    <n v="564"/>
    <x v="0"/>
    <n v="6"/>
    <x v="0"/>
    <s v="Online"/>
  </r>
  <r>
    <n v="151"/>
    <n v="602.49"/>
    <n v="302"/>
    <n v="300.49"/>
    <x v="0"/>
    <n v="8"/>
    <x v="4"/>
    <s v="Retail"/>
  </r>
  <r>
    <n v="89"/>
    <n v="534"/>
    <n v="267"/>
    <n v="267"/>
    <x v="0"/>
    <n v="7"/>
    <x v="3"/>
    <s v="Online"/>
  </r>
  <r>
    <n v="168"/>
    <n v="2436"/>
    <n v="1344"/>
    <n v="1092"/>
    <x v="0"/>
    <n v="6"/>
    <x v="6"/>
    <s v="Retail"/>
  </r>
  <r>
    <n v="84"/>
    <n v="587.16"/>
    <n v="294"/>
    <n v="293.15999999999997"/>
    <x v="0"/>
    <n v="8"/>
    <x v="0"/>
    <s v="Direct"/>
  </r>
  <r>
    <n v="16"/>
    <n v="63.84"/>
    <n v="32"/>
    <n v="31.840000000000003"/>
    <x v="0"/>
    <n v="6"/>
    <x v="5"/>
    <s v="Direct"/>
  </r>
  <r>
    <n v="80"/>
    <n v="319.20000000000005"/>
    <n v="160"/>
    <n v="159.20000000000005"/>
    <x v="0"/>
    <n v="6"/>
    <x v="0"/>
    <s v="Retail"/>
  </r>
  <r>
    <n v="50"/>
    <n v="300"/>
    <n v="150"/>
    <n v="150"/>
    <x v="0"/>
    <n v="7"/>
    <x v="3"/>
    <s v="Online"/>
  </r>
  <r>
    <n v="41"/>
    <n v="409.59000000000003"/>
    <n v="205"/>
    <n v="204.59000000000003"/>
    <x v="0"/>
    <n v="6"/>
    <x v="5"/>
    <s v="Online"/>
  </r>
  <r>
    <n v="19"/>
    <n v="38"/>
    <n v="19"/>
    <n v="19"/>
    <x v="0"/>
    <n v="7"/>
    <x v="0"/>
    <s v="Retail"/>
  </r>
  <r>
    <n v="37"/>
    <n v="258.63"/>
    <n v="129.5"/>
    <n v="129.13"/>
    <x v="0"/>
    <n v="6"/>
    <x v="2"/>
    <s v="Online"/>
  </r>
  <r>
    <n v="184"/>
    <n v="1286.1600000000001"/>
    <n v="644"/>
    <n v="642.16000000000008"/>
    <x v="0"/>
    <n v="7"/>
    <x v="0"/>
    <s v="Retail"/>
  </r>
  <r>
    <n v="179"/>
    <n v="537"/>
    <n v="268.5"/>
    <n v="268.5"/>
    <x v="0"/>
    <n v="8"/>
    <x v="5"/>
    <s v="Retail"/>
  </r>
  <r>
    <n v="190"/>
    <n v="380"/>
    <n v="190"/>
    <n v="190"/>
    <x v="0"/>
    <n v="7"/>
    <x v="3"/>
    <s v="Online"/>
  </r>
  <r>
    <n v="47"/>
    <n v="423"/>
    <n v="282"/>
    <n v="141"/>
    <x v="0"/>
    <n v="7"/>
    <x v="2"/>
    <s v="Retail"/>
  </r>
  <r>
    <n v="165"/>
    <n v="742.5"/>
    <n v="412.5"/>
    <n v="330"/>
    <x v="0"/>
    <n v="7"/>
    <x v="1"/>
    <s v="Retail"/>
  </r>
  <r>
    <n v="178"/>
    <n v="356"/>
    <n v="178"/>
    <n v="178"/>
    <x v="0"/>
    <n v="6"/>
    <x v="3"/>
    <s v="Retail"/>
  </r>
  <r>
    <n v="10"/>
    <n v="39.900000000000006"/>
    <n v="20"/>
    <n v="19.900000000000006"/>
    <x v="0"/>
    <n v="6"/>
    <x v="2"/>
    <s v="Online"/>
  </r>
  <r>
    <n v="150"/>
    <n v="675"/>
    <n v="375"/>
    <n v="300"/>
    <x v="0"/>
    <n v="8"/>
    <x v="0"/>
    <s v="Online"/>
  </r>
  <r>
    <n v="77"/>
    <n v="500.5"/>
    <n v="269.5"/>
    <n v="231"/>
    <x v="0"/>
    <n v="7"/>
    <x v="3"/>
    <s v="Online"/>
  </r>
  <r>
    <n v="63"/>
    <n v="189"/>
    <n v="94.5"/>
    <n v="94.5"/>
    <x v="0"/>
    <n v="6"/>
    <x v="4"/>
    <s v="Online"/>
  </r>
  <r>
    <n v="204"/>
    <n v="1425.96"/>
    <n v="714"/>
    <n v="711.96"/>
    <x v="0"/>
    <n v="8"/>
    <x v="1"/>
    <s v="Retail"/>
  </r>
  <r>
    <n v="22"/>
    <n v="143"/>
    <n v="77"/>
    <n v="66"/>
    <x v="0"/>
    <n v="8"/>
    <x v="0"/>
    <s v="Retail"/>
  </r>
  <r>
    <n v="95"/>
    <n v="617.5"/>
    <n v="332.5"/>
    <n v="285"/>
    <x v="0"/>
    <n v="7"/>
    <x v="4"/>
    <s v="Online"/>
  </r>
  <r>
    <n v="57"/>
    <n v="227.43"/>
    <n v="114"/>
    <n v="113.43"/>
    <x v="0"/>
    <n v="8"/>
    <x v="0"/>
    <s v="Retail"/>
  </r>
  <r>
    <n v="5"/>
    <n v="34.950000000000003"/>
    <n v="17.5"/>
    <n v="17.450000000000003"/>
    <x v="0"/>
    <n v="6"/>
    <x v="5"/>
    <s v="Retail"/>
  </r>
  <r>
    <n v="85"/>
    <n v="594.15"/>
    <n v="297.5"/>
    <n v="296.64999999999998"/>
    <x v="0"/>
    <n v="7"/>
    <x v="0"/>
    <s v="Retail"/>
  </r>
  <r>
    <n v="43"/>
    <n v="279.5"/>
    <n v="150.5"/>
    <n v="129"/>
    <x v="0"/>
    <n v="6"/>
    <x v="0"/>
    <s v="Retail"/>
  </r>
  <r>
    <n v="157"/>
    <n v="2276.5"/>
    <n v="1256"/>
    <n v="1020.5"/>
    <x v="0"/>
    <n v="6"/>
    <x v="3"/>
    <s v="Retail"/>
  </r>
  <r>
    <n v="65"/>
    <n v="259.35000000000002"/>
    <n v="130"/>
    <n v="129.35000000000002"/>
    <x v="0"/>
    <n v="8"/>
    <x v="0"/>
    <s v="Online"/>
  </r>
  <r>
    <n v="95"/>
    <n v="617.5"/>
    <n v="332.5"/>
    <n v="285"/>
    <x v="0"/>
    <n v="7"/>
    <x v="5"/>
    <s v="Online"/>
  </r>
  <r>
    <n v="159"/>
    <n v="1111.4100000000001"/>
    <n v="556.5"/>
    <n v="554.91000000000008"/>
    <x v="0"/>
    <n v="7"/>
    <x v="0"/>
    <s v="Retail"/>
  </r>
  <r>
    <n v="14"/>
    <n v="84"/>
    <n v="42"/>
    <n v="42"/>
    <x v="0"/>
    <n v="6"/>
    <x v="2"/>
    <s v="Online"/>
  </r>
  <r>
    <n v="39"/>
    <n v="272.61"/>
    <n v="136.5"/>
    <n v="136.11000000000001"/>
    <x v="0"/>
    <n v="7"/>
    <x v="0"/>
    <s v="Online"/>
  </r>
  <r>
    <n v="9"/>
    <n v="35.910000000000004"/>
    <n v="18"/>
    <n v="17.910000000000004"/>
    <x v="0"/>
    <n v="7"/>
    <x v="3"/>
    <s v="Retail"/>
  </r>
  <r>
    <n v="50"/>
    <n v="150"/>
    <n v="75"/>
    <n v="75"/>
    <x v="0"/>
    <n v="6"/>
    <x v="3"/>
    <s v="Online"/>
  </r>
  <r>
    <n v="107"/>
    <n v="642"/>
    <n v="321"/>
    <n v="321"/>
    <x v="0"/>
    <n v="8"/>
    <x v="0"/>
    <s v="Retail"/>
  </r>
  <r>
    <n v="118"/>
    <n v="1178.82"/>
    <n v="590"/>
    <n v="588.81999999999994"/>
    <x v="0"/>
    <n v="6"/>
    <x v="3"/>
    <s v="Direct"/>
  </r>
  <r>
    <n v="39"/>
    <n v="234"/>
    <n v="117"/>
    <n v="117"/>
    <x v="0"/>
    <n v="8"/>
    <x v="3"/>
    <s v="Online"/>
  </r>
  <r>
    <n v="126"/>
    <n v="252"/>
    <n v="126"/>
    <n v="126"/>
    <x v="0"/>
    <n v="8"/>
    <x v="3"/>
    <s v="Online"/>
  </r>
  <r>
    <n v="176"/>
    <n v="528"/>
    <n v="264"/>
    <n v="264"/>
    <x v="0"/>
    <n v="6"/>
    <x v="2"/>
    <s v="Retail"/>
  </r>
  <r>
    <n v="111"/>
    <n v="666"/>
    <n v="333"/>
    <n v="333"/>
    <x v="0"/>
    <n v="8"/>
    <x v="0"/>
    <s v="Direct"/>
  </r>
  <r>
    <n v="71"/>
    <n v="426"/>
    <n v="213"/>
    <n v="213"/>
    <x v="0"/>
    <n v="7"/>
    <x v="2"/>
    <s v="Retail"/>
  </r>
  <r>
    <n v="113"/>
    <n v="1638.5"/>
    <n v="904"/>
    <n v="734.5"/>
    <x v="0"/>
    <n v="8"/>
    <x v="4"/>
    <s v="Direct"/>
  </r>
  <r>
    <n v="105"/>
    <n v="1522.5"/>
    <n v="840"/>
    <n v="682.5"/>
    <x v="0"/>
    <n v="7"/>
    <x v="0"/>
    <s v="Retail"/>
  </r>
  <r>
    <n v="169"/>
    <n v="1098.5"/>
    <n v="591.5"/>
    <n v="507"/>
    <x v="0"/>
    <n v="7"/>
    <x v="0"/>
    <s v="Online"/>
  </r>
  <r>
    <n v="116"/>
    <n v="462.84000000000003"/>
    <n v="232"/>
    <n v="230.84000000000003"/>
    <x v="0"/>
    <n v="6"/>
    <x v="0"/>
    <s v="Online"/>
  </r>
  <r>
    <n v="208"/>
    <n v="416"/>
    <n v="208"/>
    <n v="208"/>
    <x v="0"/>
    <n v="7"/>
    <x v="2"/>
    <s v="Online"/>
  </r>
  <r>
    <n v="45"/>
    <n v="292.5"/>
    <n v="157.5"/>
    <n v="135"/>
    <x v="0"/>
    <n v="7"/>
    <x v="4"/>
    <s v="Online"/>
  </r>
  <r>
    <n v="193"/>
    <n v="868.5"/>
    <n v="482.5"/>
    <n v="386"/>
    <x v="0"/>
    <n v="6"/>
    <x v="3"/>
    <s v="Online"/>
  </r>
  <r>
    <n v="108"/>
    <n v="216"/>
    <n v="108"/>
    <n v="108"/>
    <x v="0"/>
    <n v="6"/>
    <x v="3"/>
    <s v="Online"/>
  </r>
  <r>
    <n v="205"/>
    <n v="2047.95"/>
    <n v="1025"/>
    <n v="1022.95"/>
    <x v="0"/>
    <n v="7"/>
    <x v="3"/>
    <s v="Retail"/>
  </r>
  <r>
    <n v="88"/>
    <n v="792"/>
    <n v="528"/>
    <n v="264"/>
    <x v="0"/>
    <n v="7"/>
    <x v="0"/>
    <s v="Online"/>
  </r>
  <r>
    <n v="46"/>
    <n v="321.54000000000002"/>
    <n v="161"/>
    <n v="160.54000000000002"/>
    <x v="0"/>
    <n v="6"/>
    <x v="3"/>
    <s v="Online"/>
  </r>
  <r>
    <n v="73"/>
    <n v="146"/>
    <n v="73"/>
    <n v="73"/>
    <x v="0"/>
    <n v="8"/>
    <x v="3"/>
    <s v="Retail"/>
  </r>
  <r>
    <n v="207"/>
    <n v="1863"/>
    <n v="1242"/>
    <n v="621"/>
    <x v="0"/>
    <n v="8"/>
    <x v="5"/>
    <s v="Retail"/>
  </r>
  <r>
    <n v="202"/>
    <n v="1313"/>
    <n v="707"/>
    <n v="606"/>
    <x v="0"/>
    <n v="7"/>
    <x v="1"/>
    <s v="Retail"/>
  </r>
  <r>
    <n v="209"/>
    <n v="1254"/>
    <n v="627"/>
    <n v="627"/>
    <x v="0"/>
    <n v="6"/>
    <x v="1"/>
    <s v="Online"/>
  </r>
  <r>
    <n v="48"/>
    <n v="191.52"/>
    <n v="96"/>
    <n v="95.52000000000001"/>
    <x v="0"/>
    <n v="7"/>
    <x v="3"/>
    <s v="Retail"/>
  </r>
  <r>
    <n v="52"/>
    <n v="468"/>
    <n v="312"/>
    <n v="156"/>
    <x v="0"/>
    <n v="6"/>
    <x v="0"/>
    <s v="Online"/>
  </r>
  <r>
    <n v="202"/>
    <n v="805.98"/>
    <n v="404"/>
    <n v="401.98"/>
    <x v="0"/>
    <n v="6"/>
    <x v="1"/>
    <s v="Online"/>
  </r>
  <r>
    <n v="138"/>
    <n v="550.62"/>
    <n v="276"/>
    <n v="274.62"/>
    <x v="0"/>
    <n v="8"/>
    <x v="2"/>
    <s v="Direct"/>
  </r>
  <r>
    <n v="77"/>
    <n v="500.5"/>
    <n v="269.5"/>
    <n v="231"/>
    <x v="0"/>
    <n v="6"/>
    <x v="1"/>
    <s v="Online"/>
  </r>
  <r>
    <n v="168"/>
    <n v="1008"/>
    <n v="504"/>
    <n v="504"/>
    <x v="0"/>
    <n v="8"/>
    <x v="0"/>
    <s v="Retail"/>
  </r>
  <r>
    <n v="114"/>
    <n v="1653"/>
    <n v="912"/>
    <n v="741"/>
    <x v="0"/>
    <n v="7"/>
    <x v="1"/>
    <s v="Online"/>
  </r>
  <r>
    <n v="170"/>
    <n v="1105"/>
    <n v="595"/>
    <n v="510"/>
    <x v="0"/>
    <n v="8"/>
    <x v="4"/>
    <s v="Direct"/>
  </r>
  <r>
    <n v="116"/>
    <n v="522"/>
    <n v="290"/>
    <n v="232"/>
    <x v="0"/>
    <n v="8"/>
    <x v="0"/>
    <s v="Online"/>
  </r>
  <r>
    <n v="100"/>
    <n v="650"/>
    <n v="350"/>
    <n v="300"/>
    <x v="0"/>
    <n v="6"/>
    <x v="0"/>
    <s v="Online"/>
  </r>
  <r>
    <n v="191"/>
    <n v="1719"/>
    <n v="1146"/>
    <n v="573"/>
    <x v="0"/>
    <n v="8"/>
    <x v="3"/>
    <s v="Online"/>
  </r>
  <r>
    <n v="193"/>
    <n v="386"/>
    <n v="193"/>
    <n v="193"/>
    <x v="0"/>
    <n v="8"/>
    <x v="5"/>
    <s v="Online"/>
  </r>
  <r>
    <n v="57"/>
    <n v="256.5"/>
    <n v="142.5"/>
    <n v="114"/>
    <x v="0"/>
    <n v="6"/>
    <x v="0"/>
    <s v="Retail"/>
  </r>
  <r>
    <n v="142"/>
    <n v="1278"/>
    <n v="852"/>
    <n v="426"/>
    <x v="0"/>
    <n v="8"/>
    <x v="3"/>
    <s v="Online"/>
  </r>
  <r>
    <n v="153"/>
    <n v="994.5"/>
    <n v="535.5"/>
    <n v="459"/>
    <x v="0"/>
    <n v="8"/>
    <x v="3"/>
    <s v="Direct"/>
  </r>
  <r>
    <n v="29"/>
    <n v="115.71000000000001"/>
    <n v="58"/>
    <n v="57.710000000000008"/>
    <x v="0"/>
    <n v="7"/>
    <x v="2"/>
    <s v="Retail"/>
  </r>
  <r>
    <n v="38"/>
    <n v="114"/>
    <n v="57"/>
    <n v="57"/>
    <x v="0"/>
    <n v="7"/>
    <x v="3"/>
    <s v="Retail"/>
  </r>
  <r>
    <n v="3"/>
    <n v="13.5"/>
    <n v="7.5"/>
    <n v="6"/>
    <x v="0"/>
    <n v="7"/>
    <x v="0"/>
    <s v="Retail"/>
  </r>
  <r>
    <n v="178"/>
    <n v="1157"/>
    <n v="623"/>
    <n v="534"/>
    <x v="0"/>
    <n v="8"/>
    <x v="3"/>
    <s v="Retail"/>
  </r>
  <r>
    <n v="53"/>
    <n v="768.5"/>
    <n v="424"/>
    <n v="344.5"/>
    <x v="0"/>
    <n v="7"/>
    <x v="3"/>
    <s v="Direct"/>
  </r>
  <r>
    <n v="153"/>
    <n v="459"/>
    <n v="229.5"/>
    <n v="229.5"/>
    <x v="0"/>
    <n v="8"/>
    <x v="5"/>
    <s v="Online"/>
  </r>
  <r>
    <n v="144"/>
    <n v="1438.56"/>
    <n v="720"/>
    <n v="718.56"/>
    <x v="0"/>
    <n v="6"/>
    <x v="5"/>
    <s v="Online"/>
  </r>
  <r>
    <n v="131"/>
    <n v="786"/>
    <n v="393"/>
    <n v="393"/>
    <x v="0"/>
    <n v="6"/>
    <x v="0"/>
    <s v="Direct"/>
  </r>
  <r>
    <n v="7"/>
    <n v="27.93"/>
    <n v="14"/>
    <n v="13.93"/>
    <x v="0"/>
    <n v="6"/>
    <x v="1"/>
    <s v="Retail"/>
  </r>
  <r>
    <n v="110"/>
    <n v="438.90000000000003"/>
    <n v="220"/>
    <n v="218.90000000000003"/>
    <x v="0"/>
    <n v="7"/>
    <x v="1"/>
    <s v="Direct"/>
  </r>
  <r>
    <n v="209"/>
    <n v="833.91000000000008"/>
    <n v="418"/>
    <n v="415.91000000000008"/>
    <x v="0"/>
    <n v="8"/>
    <x v="2"/>
    <s v="Online"/>
  </r>
  <r>
    <n v="203"/>
    <n v="913.5"/>
    <n v="507.5"/>
    <n v="406"/>
    <x v="0"/>
    <n v="6"/>
    <x v="3"/>
    <s v="Retail"/>
  </r>
  <r>
    <n v="29"/>
    <n v="115.71000000000001"/>
    <n v="58"/>
    <n v="57.710000000000008"/>
    <x v="0"/>
    <n v="6"/>
    <x v="0"/>
    <s v="Online"/>
  </r>
  <r>
    <n v="202"/>
    <n v="1313"/>
    <n v="707"/>
    <n v="606"/>
    <x v="0"/>
    <n v="7"/>
    <x v="2"/>
    <s v="Retail"/>
  </r>
  <r>
    <n v="15"/>
    <n v="45"/>
    <n v="22.5"/>
    <n v="22.5"/>
    <x v="0"/>
    <n v="6"/>
    <x v="3"/>
    <s v="Online"/>
  </r>
  <r>
    <n v="102"/>
    <n v="1018.98"/>
    <n v="510"/>
    <n v="508.98"/>
    <x v="0"/>
    <n v="8"/>
    <x v="0"/>
    <s v="Retail"/>
  </r>
  <r>
    <n v="211"/>
    <n v="1371.5"/>
    <n v="738.5"/>
    <n v="633"/>
    <x v="0"/>
    <n v="6"/>
    <x v="3"/>
    <s v="Online"/>
  </r>
  <r>
    <n v="138"/>
    <n v="897"/>
    <n v="483"/>
    <n v="414"/>
    <x v="0"/>
    <n v="8"/>
    <x v="3"/>
    <s v="Online"/>
  </r>
  <r>
    <n v="129"/>
    <n v="580.5"/>
    <n v="322.5"/>
    <n v="258"/>
    <x v="0"/>
    <n v="6"/>
    <x v="2"/>
    <s v="Direct"/>
  </r>
  <r>
    <n v="95"/>
    <n v="617.5"/>
    <n v="332.5"/>
    <n v="285"/>
    <x v="0"/>
    <n v="8"/>
    <x v="3"/>
    <s v="Online"/>
  </r>
  <r>
    <n v="58"/>
    <n v="174"/>
    <n v="87"/>
    <n v="87"/>
    <x v="0"/>
    <n v="8"/>
    <x v="3"/>
    <s v="Online"/>
  </r>
  <r>
    <n v="160"/>
    <n v="638.40000000000009"/>
    <n v="320"/>
    <n v="318.40000000000009"/>
    <x v="0"/>
    <n v="6"/>
    <x v="2"/>
    <s v="Online"/>
  </r>
  <r>
    <n v="163"/>
    <n v="733.5"/>
    <n v="407.5"/>
    <n v="326"/>
    <x v="0"/>
    <n v="8"/>
    <x v="2"/>
    <s v="Retail"/>
  </r>
  <r>
    <n v="33"/>
    <n v="198"/>
    <n v="99"/>
    <n v="99"/>
    <x v="0"/>
    <n v="6"/>
    <x v="3"/>
    <s v="Retail"/>
  </r>
  <r>
    <n v="147"/>
    <n v="1027.53"/>
    <n v="514.5"/>
    <n v="513.03"/>
    <x v="0"/>
    <n v="6"/>
    <x v="3"/>
    <s v="Retail"/>
  </r>
  <r>
    <n v="211"/>
    <n v="1474.89"/>
    <n v="738.5"/>
    <n v="736.3900000000001"/>
    <x v="0"/>
    <n v="8"/>
    <x v="5"/>
    <s v="Retail"/>
  </r>
  <r>
    <n v="49"/>
    <n v="318.5"/>
    <n v="171.5"/>
    <n v="147"/>
    <x v="0"/>
    <n v="6"/>
    <x v="0"/>
    <s v="Retail"/>
  </r>
  <r>
    <n v="100"/>
    <n v="200"/>
    <n v="100"/>
    <n v="100"/>
    <x v="0"/>
    <n v="7"/>
    <x v="3"/>
    <s v="Direct"/>
  </r>
  <r>
    <n v="123"/>
    <n v="553.5"/>
    <n v="307.5"/>
    <n v="246"/>
    <x v="0"/>
    <n v="6"/>
    <x v="3"/>
    <s v="Online"/>
  </r>
  <r>
    <n v="176"/>
    <n v="702.24"/>
    <n v="352"/>
    <n v="350.24"/>
    <x v="0"/>
    <n v="6"/>
    <x v="4"/>
    <s v="Retail"/>
  </r>
  <r>
    <n v="44"/>
    <n v="286"/>
    <n v="154"/>
    <n v="132"/>
    <x v="0"/>
    <n v="8"/>
    <x v="3"/>
    <s v="Online"/>
  </r>
  <r>
    <n v="179"/>
    <n v="1163.5"/>
    <n v="626.5"/>
    <n v="537"/>
    <x v="0"/>
    <n v="8"/>
    <x v="1"/>
    <s v="Online"/>
  </r>
  <r>
    <n v="62"/>
    <n v="247.38000000000002"/>
    <n v="124"/>
    <n v="123.38000000000002"/>
    <x v="0"/>
    <n v="6"/>
    <x v="4"/>
    <s v="Online"/>
  </r>
  <r>
    <n v="33"/>
    <n v="99"/>
    <n v="49.5"/>
    <n v="49.5"/>
    <x v="0"/>
    <n v="6"/>
    <x v="1"/>
    <s v="Retail"/>
  </r>
  <r>
    <n v="21"/>
    <n v="126"/>
    <n v="63"/>
    <n v="63"/>
    <x v="0"/>
    <n v="7"/>
    <x v="1"/>
    <s v="Retail"/>
  </r>
  <r>
    <n v="69"/>
    <n v="138"/>
    <n v="69"/>
    <n v="69"/>
    <x v="0"/>
    <n v="7"/>
    <x v="2"/>
    <s v="Online"/>
  </r>
  <r>
    <n v="121"/>
    <n v="482.79"/>
    <n v="242"/>
    <n v="240.79000000000002"/>
    <x v="0"/>
    <n v="7"/>
    <x v="4"/>
    <s v="Retail"/>
  </r>
  <r>
    <n v="112"/>
    <n v="504"/>
    <n v="280"/>
    <n v="224"/>
    <x v="0"/>
    <n v="8"/>
    <x v="2"/>
    <s v="Online"/>
  </r>
  <r>
    <n v="42"/>
    <n v="252"/>
    <n v="126"/>
    <n v="126"/>
    <x v="0"/>
    <n v="6"/>
    <x v="4"/>
    <s v="Retail"/>
  </r>
  <r>
    <n v="60"/>
    <n v="870"/>
    <n v="480"/>
    <n v="390"/>
    <x v="0"/>
    <n v="4"/>
    <x v="0"/>
    <s v="Retail"/>
  </r>
  <r>
    <n v="202"/>
    <n v="1313"/>
    <n v="707"/>
    <n v="606"/>
    <x v="0"/>
    <n v="5"/>
    <x v="5"/>
    <s v="Online"/>
  </r>
  <r>
    <n v="181"/>
    <n v="2624.5"/>
    <n v="1448"/>
    <n v="1176.5"/>
    <x v="0"/>
    <n v="4"/>
    <x v="0"/>
    <s v="Retail"/>
  </r>
  <r>
    <n v="28"/>
    <n v="168"/>
    <n v="84"/>
    <n v="84"/>
    <x v="0"/>
    <n v="4"/>
    <x v="1"/>
    <s v="Online"/>
  </r>
  <r>
    <n v="79"/>
    <n v="711"/>
    <n v="474"/>
    <n v="237"/>
    <x v="0"/>
    <n v="5"/>
    <x v="0"/>
    <s v="Online"/>
  </r>
  <r>
    <n v="10"/>
    <n v="90"/>
    <n v="60"/>
    <n v="30"/>
    <x v="0"/>
    <n v="5"/>
    <x v="0"/>
    <s v="Online"/>
  </r>
  <r>
    <n v="41"/>
    <n v="594.5"/>
    <n v="328"/>
    <n v="266.5"/>
    <x v="0"/>
    <n v="5"/>
    <x v="4"/>
    <s v="Online"/>
  </r>
  <r>
    <n v="5"/>
    <n v="19.950000000000003"/>
    <n v="10"/>
    <n v="9.9500000000000028"/>
    <x v="0"/>
    <n v="4"/>
    <x v="5"/>
    <s v="Online"/>
  </r>
  <r>
    <n v="129"/>
    <n v="514.71"/>
    <n v="258"/>
    <n v="256.71000000000004"/>
    <x v="0"/>
    <n v="5"/>
    <x v="2"/>
    <s v="Online"/>
  </r>
  <r>
    <n v="210"/>
    <n v="630"/>
    <n v="315"/>
    <n v="315"/>
    <x v="0"/>
    <n v="4"/>
    <x v="0"/>
    <s v="Retail"/>
  </r>
  <r>
    <n v="209"/>
    <n v="2087.91"/>
    <n v="1045"/>
    <n v="1042.9099999999999"/>
    <x v="0"/>
    <n v="5"/>
    <x v="3"/>
    <s v="Direct"/>
  </r>
  <r>
    <n v="55"/>
    <n v="357.5"/>
    <n v="192.5"/>
    <n v="165"/>
    <x v="0"/>
    <n v="4"/>
    <x v="2"/>
    <s v="Online"/>
  </r>
  <r>
    <n v="49"/>
    <n v="318.5"/>
    <n v="171.5"/>
    <n v="147"/>
    <x v="0"/>
    <n v="4"/>
    <x v="0"/>
    <s v="Retail"/>
  </r>
  <r>
    <n v="16"/>
    <n v="72"/>
    <n v="40"/>
    <n v="32"/>
    <x v="0"/>
    <n v="5"/>
    <x v="1"/>
    <s v="Retail"/>
  </r>
  <r>
    <n v="29"/>
    <n v="202.71"/>
    <n v="101.5"/>
    <n v="101.21000000000001"/>
    <x v="0"/>
    <n v="4"/>
    <x v="4"/>
    <s v="Direct"/>
  </r>
  <r>
    <n v="164"/>
    <n v="1638.3600000000001"/>
    <n v="820"/>
    <n v="818.36000000000013"/>
    <x v="0"/>
    <n v="5"/>
    <x v="4"/>
    <s v="Retail"/>
  </r>
  <r>
    <n v="173"/>
    <n v="778.5"/>
    <n v="432.5"/>
    <n v="346"/>
    <x v="0"/>
    <n v="4"/>
    <x v="0"/>
    <s v="Direct"/>
  </r>
  <r>
    <n v="119"/>
    <n v="474.81"/>
    <n v="238"/>
    <n v="236.81"/>
    <x v="0"/>
    <n v="4"/>
    <x v="3"/>
    <s v="Online"/>
  </r>
  <r>
    <n v="111"/>
    <n v="333"/>
    <n v="166.5"/>
    <n v="166.5"/>
    <x v="0"/>
    <n v="5"/>
    <x v="1"/>
    <s v="Online"/>
  </r>
  <r>
    <n v="20"/>
    <n v="139.80000000000001"/>
    <n v="70"/>
    <n v="69.800000000000011"/>
    <x v="0"/>
    <n v="5"/>
    <x v="4"/>
    <s v="Retail"/>
  </r>
  <r>
    <n v="197"/>
    <n v="786.03000000000009"/>
    <n v="394"/>
    <n v="392.03000000000009"/>
    <x v="0"/>
    <n v="4"/>
    <x v="0"/>
    <s v="Online"/>
  </r>
  <r>
    <n v="122"/>
    <n v="244"/>
    <n v="122"/>
    <n v="122"/>
    <x v="0"/>
    <n v="5"/>
    <x v="4"/>
    <s v="Retail"/>
  </r>
  <r>
    <n v="51"/>
    <n v="229.5"/>
    <n v="127.5"/>
    <n v="102"/>
    <x v="0"/>
    <n v="5"/>
    <x v="1"/>
    <s v="Direct"/>
  </r>
  <r>
    <n v="38"/>
    <n v="551"/>
    <n v="304"/>
    <n v="247"/>
    <x v="0"/>
    <n v="5"/>
    <x v="2"/>
    <s v="Online"/>
  </r>
  <r>
    <n v="206"/>
    <n v="2987"/>
    <n v="1648"/>
    <n v="1339"/>
    <x v="0"/>
    <n v="5"/>
    <x v="3"/>
    <s v="Retail"/>
  </r>
  <r>
    <n v="143"/>
    <n v="929.5"/>
    <n v="500.5"/>
    <n v="429"/>
    <x v="0"/>
    <n v="5"/>
    <x v="2"/>
    <s v="Online"/>
  </r>
  <r>
    <n v="134"/>
    <n v="603"/>
    <n v="335"/>
    <n v="268"/>
    <x v="0"/>
    <n v="4"/>
    <x v="4"/>
    <s v="Retail"/>
  </r>
  <r>
    <n v="101"/>
    <n v="1464.5"/>
    <n v="808"/>
    <n v="656.5"/>
    <x v="0"/>
    <n v="4"/>
    <x v="5"/>
    <s v="Retail"/>
  </r>
  <r>
    <n v="173"/>
    <n v="778.5"/>
    <n v="432.5"/>
    <n v="346"/>
    <x v="0"/>
    <n v="4"/>
    <x v="3"/>
    <s v="Direct"/>
  </r>
  <r>
    <n v="87"/>
    <n v="608.13"/>
    <n v="304.5"/>
    <n v="303.63"/>
    <x v="0"/>
    <n v="4"/>
    <x v="0"/>
    <s v="Online"/>
  </r>
  <r>
    <n v="6"/>
    <n v="18"/>
    <n v="9"/>
    <n v="9"/>
    <x v="0"/>
    <n v="5"/>
    <x v="0"/>
    <s v="Online"/>
  </r>
  <r>
    <n v="176"/>
    <n v="352"/>
    <n v="176"/>
    <n v="176"/>
    <x v="0"/>
    <n v="5"/>
    <x v="0"/>
    <s v="Online"/>
  </r>
  <r>
    <n v="77"/>
    <n v="307.23"/>
    <n v="154"/>
    <n v="153.23000000000002"/>
    <x v="0"/>
    <n v="4"/>
    <x v="3"/>
    <s v="Online"/>
  </r>
  <r>
    <n v="192"/>
    <n v="384"/>
    <n v="192"/>
    <n v="192"/>
    <x v="0"/>
    <n v="5"/>
    <x v="2"/>
    <s v="Online"/>
  </r>
  <r>
    <n v="143"/>
    <n v="999.57"/>
    <n v="500.5"/>
    <n v="499.07000000000005"/>
    <x v="0"/>
    <n v="4"/>
    <x v="0"/>
    <s v="Online"/>
  </r>
  <r>
    <n v="126"/>
    <n v="756"/>
    <n v="378"/>
    <n v="378"/>
    <x v="0"/>
    <n v="5"/>
    <x v="4"/>
    <s v="Retail"/>
  </r>
  <r>
    <n v="178"/>
    <n v="2581"/>
    <n v="1424"/>
    <n v="1157"/>
    <x v="0"/>
    <n v="5"/>
    <x v="3"/>
    <s v="Retail"/>
  </r>
  <r>
    <n v="116"/>
    <n v="348"/>
    <n v="174"/>
    <n v="174"/>
    <x v="0"/>
    <n v="5"/>
    <x v="0"/>
    <s v="Retail"/>
  </r>
  <r>
    <n v="8"/>
    <n v="116"/>
    <n v="64"/>
    <n v="52"/>
    <x v="0"/>
    <n v="5"/>
    <x v="6"/>
    <s v="Retail"/>
  </r>
  <r>
    <n v="204"/>
    <n v="612"/>
    <n v="306"/>
    <n v="306"/>
    <x v="0"/>
    <n v="5"/>
    <x v="1"/>
    <s v="Online"/>
  </r>
  <r>
    <n v="123"/>
    <n v="369"/>
    <n v="184.5"/>
    <n v="184.5"/>
    <x v="0"/>
    <n v="5"/>
    <x v="0"/>
    <s v="Retail"/>
  </r>
  <r>
    <n v="111"/>
    <n v="333"/>
    <n v="166.5"/>
    <n v="166.5"/>
    <x v="0"/>
    <n v="4"/>
    <x v="0"/>
    <s v="Online"/>
  </r>
  <r>
    <n v="88"/>
    <n v="572"/>
    <n v="308"/>
    <n v="264"/>
    <x v="0"/>
    <n v="5"/>
    <x v="5"/>
    <s v="Online"/>
  </r>
  <r>
    <n v="189"/>
    <n v="1888.1100000000001"/>
    <n v="945"/>
    <n v="943.11000000000013"/>
    <x v="0"/>
    <n v="4"/>
    <x v="5"/>
    <s v="Online"/>
  </r>
  <r>
    <n v="83"/>
    <n v="373.5"/>
    <n v="207.5"/>
    <n v="166"/>
    <x v="0"/>
    <n v="4"/>
    <x v="0"/>
    <s v="Online"/>
  </r>
  <r>
    <n v="211"/>
    <n v="1474.89"/>
    <n v="738.5"/>
    <n v="736.3900000000001"/>
    <x v="0"/>
    <n v="5"/>
    <x v="3"/>
    <s v="Direct"/>
  </r>
  <r>
    <n v="34"/>
    <n v="102"/>
    <n v="51"/>
    <n v="51"/>
    <x v="0"/>
    <n v="4"/>
    <x v="2"/>
    <s v="Online"/>
  </r>
  <r>
    <n v="195"/>
    <n v="2827.5"/>
    <n v="1560"/>
    <n v="1267.5"/>
    <x v="0"/>
    <n v="4"/>
    <x v="4"/>
    <s v="Online"/>
  </r>
  <r>
    <n v="127"/>
    <n v="1143"/>
    <n v="762"/>
    <n v="381"/>
    <x v="0"/>
    <n v="5"/>
    <x v="3"/>
    <s v="Online"/>
  </r>
  <r>
    <n v="158"/>
    <n v="948"/>
    <n v="474"/>
    <n v="474"/>
    <x v="0"/>
    <n v="5"/>
    <x v="0"/>
    <s v="Online"/>
  </r>
  <r>
    <n v="154"/>
    <n v="462"/>
    <n v="231"/>
    <n v="231"/>
    <x v="0"/>
    <n v="5"/>
    <x v="2"/>
    <s v="Retail"/>
  </r>
  <r>
    <n v="78"/>
    <n v="507"/>
    <n v="273"/>
    <n v="234"/>
    <x v="0"/>
    <n v="5"/>
    <x v="0"/>
    <s v="Direct"/>
  </r>
  <r>
    <n v="130"/>
    <n v="1170"/>
    <n v="780"/>
    <n v="390"/>
    <x v="0"/>
    <n v="4"/>
    <x v="0"/>
    <s v="Online"/>
  </r>
  <r>
    <n v="191"/>
    <n v="859.5"/>
    <n v="477.5"/>
    <n v="382"/>
    <x v="0"/>
    <n v="4"/>
    <x v="1"/>
    <s v="Retail"/>
  </r>
  <r>
    <n v="4"/>
    <n v="58"/>
    <n v="32"/>
    <n v="26"/>
    <x v="0"/>
    <n v="5"/>
    <x v="2"/>
    <s v="Online"/>
  </r>
  <r>
    <n v="144"/>
    <n v="432"/>
    <n v="216"/>
    <n v="216"/>
    <x v="0"/>
    <n v="5"/>
    <x v="0"/>
    <s v="Retail"/>
  </r>
  <r>
    <n v="2"/>
    <n v="13.98"/>
    <n v="7"/>
    <n v="6.98"/>
    <x v="0"/>
    <n v="5"/>
    <x v="3"/>
    <s v="Direct"/>
  </r>
  <r>
    <n v="20"/>
    <n v="180"/>
    <n v="120"/>
    <n v="60"/>
    <x v="0"/>
    <n v="4"/>
    <x v="2"/>
    <s v="Online"/>
  </r>
  <r>
    <n v="133"/>
    <n v="530.67000000000007"/>
    <n v="266"/>
    <n v="264.67000000000007"/>
    <x v="0"/>
    <n v="4"/>
    <x v="0"/>
    <s v="Online"/>
  </r>
  <r>
    <n v="188"/>
    <n v="1128"/>
    <n v="564"/>
    <n v="564"/>
    <x v="0"/>
    <n v="4"/>
    <x v="1"/>
    <s v="Retail"/>
  </r>
  <r>
    <n v="105"/>
    <n v="472.5"/>
    <n v="262.5"/>
    <n v="210"/>
    <x v="0"/>
    <n v="5"/>
    <x v="3"/>
    <s v="Retail"/>
  </r>
  <r>
    <n v="181"/>
    <n v="1176.5"/>
    <n v="633.5"/>
    <n v="543"/>
    <x v="0"/>
    <n v="4"/>
    <x v="0"/>
    <s v="Retail"/>
  </r>
  <r>
    <n v="115"/>
    <n v="458.85"/>
    <n v="230"/>
    <n v="228.85000000000002"/>
    <x v="0"/>
    <n v="5"/>
    <x v="5"/>
    <s v="Online"/>
  </r>
  <r>
    <n v="167"/>
    <n v="1085.5"/>
    <n v="584.5"/>
    <n v="501"/>
    <x v="0"/>
    <n v="5"/>
    <x v="0"/>
    <s v="Online"/>
  </r>
  <r>
    <n v="44"/>
    <n v="307.56"/>
    <n v="154"/>
    <n v="153.56"/>
    <x v="0"/>
    <n v="5"/>
    <x v="5"/>
    <s v="Online"/>
  </r>
  <r>
    <n v="124"/>
    <n v="1238.76"/>
    <n v="620"/>
    <n v="618.76"/>
    <x v="0"/>
    <n v="5"/>
    <x v="1"/>
    <s v="Online"/>
  </r>
  <r>
    <n v="41"/>
    <n v="163.59"/>
    <n v="82"/>
    <n v="81.59"/>
    <x v="0"/>
    <n v="4"/>
    <x v="2"/>
    <s v="Online"/>
  </r>
  <r>
    <n v="160"/>
    <n v="1598.4"/>
    <n v="800"/>
    <n v="798.40000000000009"/>
    <x v="0"/>
    <n v="5"/>
    <x v="3"/>
    <s v="Online"/>
  </r>
  <r>
    <n v="160"/>
    <n v="1040"/>
    <n v="560"/>
    <n v="480"/>
    <x v="0"/>
    <n v="5"/>
    <x v="4"/>
    <s v="Retail"/>
  </r>
  <r>
    <n v="7"/>
    <n v="21"/>
    <n v="10.5"/>
    <n v="10.5"/>
    <x v="0"/>
    <n v="4"/>
    <x v="0"/>
    <s v="Online"/>
  </r>
  <r>
    <n v="151"/>
    <n v="2189.5"/>
    <n v="1208"/>
    <n v="981.5"/>
    <x v="0"/>
    <n v="4"/>
    <x v="4"/>
    <s v="Direct"/>
  </r>
  <r>
    <n v="155"/>
    <n v="1083.45"/>
    <n v="542.5"/>
    <n v="540.95000000000005"/>
    <x v="0"/>
    <n v="4"/>
    <x v="0"/>
    <s v="Online"/>
  </r>
  <r>
    <n v="4"/>
    <n v="24"/>
    <n v="12"/>
    <n v="12"/>
    <x v="0"/>
    <n v="4"/>
    <x v="4"/>
    <s v="Online"/>
  </r>
  <r>
    <n v="159"/>
    <n v="1588.41"/>
    <n v="795"/>
    <n v="793.41000000000008"/>
    <x v="0"/>
    <n v="5"/>
    <x v="0"/>
    <s v="Online"/>
  </r>
  <r>
    <n v="86"/>
    <n v="387"/>
    <n v="215"/>
    <n v="172"/>
    <x v="0"/>
    <n v="4"/>
    <x v="3"/>
    <s v="Online"/>
  </r>
  <r>
    <n v="73"/>
    <n v="657"/>
    <n v="438"/>
    <n v="219"/>
    <x v="0"/>
    <n v="4"/>
    <x v="1"/>
    <s v="Retail"/>
  </r>
  <r>
    <n v="13"/>
    <n v="78"/>
    <n v="39"/>
    <n v="39"/>
    <x v="0"/>
    <n v="5"/>
    <x v="2"/>
    <s v="Direct"/>
  </r>
  <r>
    <n v="172"/>
    <n v="686.28000000000009"/>
    <n v="344"/>
    <n v="342.28000000000009"/>
    <x v="0"/>
    <n v="4"/>
    <x v="0"/>
    <s v="Online"/>
  </r>
  <r>
    <n v="7"/>
    <n v="63"/>
    <n v="42"/>
    <n v="21"/>
    <x v="0"/>
    <n v="5"/>
    <x v="3"/>
    <s v="Online"/>
  </r>
  <r>
    <n v="127"/>
    <n v="506.73"/>
    <n v="254"/>
    <n v="252.73000000000002"/>
    <x v="0"/>
    <n v="5"/>
    <x v="2"/>
    <s v="Retail"/>
  </r>
  <r>
    <n v="123"/>
    <n v="553.5"/>
    <n v="307.5"/>
    <n v="246"/>
    <x v="0"/>
    <n v="4"/>
    <x v="0"/>
    <s v="Online"/>
  </r>
  <r>
    <n v="137"/>
    <n v="274"/>
    <n v="137"/>
    <n v="137"/>
    <x v="0"/>
    <n v="5"/>
    <x v="2"/>
    <s v="Online"/>
  </r>
  <r>
    <n v="58"/>
    <n v="522"/>
    <n v="348"/>
    <n v="174"/>
    <x v="0"/>
    <n v="5"/>
    <x v="0"/>
    <s v="Online"/>
  </r>
  <r>
    <n v="134"/>
    <n v="1206"/>
    <n v="804"/>
    <n v="402"/>
    <x v="0"/>
    <n v="5"/>
    <x v="6"/>
    <s v="Online"/>
  </r>
  <r>
    <n v="109"/>
    <n v="708.5"/>
    <n v="381.5"/>
    <n v="327"/>
    <x v="0"/>
    <n v="5"/>
    <x v="0"/>
    <s v="Online"/>
  </r>
  <r>
    <n v="28"/>
    <n v="84"/>
    <n v="42"/>
    <n v="42"/>
    <x v="0"/>
    <n v="5"/>
    <x v="4"/>
    <s v="Online"/>
  </r>
  <r>
    <n v="6"/>
    <n v="39"/>
    <n v="21"/>
    <n v="18"/>
    <x v="0"/>
    <n v="4"/>
    <x v="3"/>
    <s v="Online"/>
  </r>
  <r>
    <n v="184"/>
    <n v="1656"/>
    <n v="1104"/>
    <n v="552"/>
    <x v="0"/>
    <n v="5"/>
    <x v="4"/>
    <s v="Online"/>
  </r>
  <r>
    <n v="128"/>
    <n v="894.72"/>
    <n v="448"/>
    <n v="446.72"/>
    <x v="0"/>
    <n v="4"/>
    <x v="0"/>
    <s v="Retail"/>
  </r>
  <r>
    <n v="17"/>
    <n v="76.5"/>
    <n v="42.5"/>
    <n v="34"/>
    <x v="0"/>
    <n v="4"/>
    <x v="0"/>
    <s v="Online"/>
  </r>
  <r>
    <n v="162"/>
    <n v="646.38"/>
    <n v="324"/>
    <n v="322.38"/>
    <x v="0"/>
    <n v="4"/>
    <x v="1"/>
    <s v="Online"/>
  </r>
  <r>
    <n v="90"/>
    <n v="359.1"/>
    <n v="180"/>
    <n v="179.10000000000002"/>
    <x v="0"/>
    <n v="4"/>
    <x v="3"/>
    <s v="Retail"/>
  </r>
  <r>
    <n v="204"/>
    <n v="1224"/>
    <n v="612"/>
    <n v="612"/>
    <x v="0"/>
    <n v="5"/>
    <x v="3"/>
    <s v="Online"/>
  </r>
  <r>
    <n v="117"/>
    <n v="760.5"/>
    <n v="409.5"/>
    <n v="351"/>
    <x v="0"/>
    <n v="5"/>
    <x v="0"/>
    <s v="Retail"/>
  </r>
  <r>
    <n v="121"/>
    <n v="482.79"/>
    <n v="242"/>
    <n v="240.79000000000002"/>
    <x v="0"/>
    <n v="5"/>
    <x v="3"/>
    <s v="Retail"/>
  </r>
  <r>
    <n v="45"/>
    <n v="449.55"/>
    <n v="225"/>
    <n v="224.55"/>
    <x v="0"/>
    <n v="5"/>
    <x v="3"/>
    <s v="Retail"/>
  </r>
  <r>
    <n v="164"/>
    <n v="1638.3600000000001"/>
    <n v="820"/>
    <n v="818.36000000000013"/>
    <x v="0"/>
    <n v="5"/>
    <x v="3"/>
    <s v="Online"/>
  </r>
  <r>
    <n v="76"/>
    <n v="531.24"/>
    <n v="266"/>
    <n v="265.24"/>
    <x v="0"/>
    <n v="4"/>
    <x v="3"/>
    <s v="Online"/>
  </r>
  <r>
    <n v="212"/>
    <n v="424"/>
    <n v="212"/>
    <n v="212"/>
    <x v="0"/>
    <n v="5"/>
    <x v="1"/>
    <s v="Direct"/>
  </r>
  <r>
    <n v="91"/>
    <n v="909.09"/>
    <n v="455"/>
    <n v="454.09000000000003"/>
    <x v="0"/>
    <n v="5"/>
    <x v="0"/>
    <s v="Retail"/>
  </r>
  <r>
    <n v="198"/>
    <n v="594"/>
    <n v="297"/>
    <n v="297"/>
    <x v="0"/>
    <n v="4"/>
    <x v="2"/>
    <s v="Online"/>
  </r>
  <r>
    <n v="202"/>
    <n v="606"/>
    <n v="303"/>
    <n v="303"/>
    <x v="0"/>
    <n v="4"/>
    <x v="3"/>
    <s v="Online"/>
  </r>
  <r>
    <n v="136"/>
    <n v="408"/>
    <n v="204"/>
    <n v="204"/>
    <x v="0"/>
    <n v="4"/>
    <x v="0"/>
    <s v="Online"/>
  </r>
  <r>
    <n v="70"/>
    <n v="630"/>
    <n v="420"/>
    <n v="210"/>
    <x v="0"/>
    <n v="5"/>
    <x v="4"/>
    <s v="Online"/>
  </r>
  <r>
    <n v="95"/>
    <n v="617.5"/>
    <n v="332.5"/>
    <n v="285"/>
    <x v="0"/>
    <n v="5"/>
    <x v="1"/>
    <s v="Retail"/>
  </r>
  <r>
    <n v="150"/>
    <n v="1048.5"/>
    <n v="525"/>
    <n v="523.5"/>
    <x v="0"/>
    <n v="4"/>
    <x v="0"/>
    <s v="Retail"/>
  </r>
  <r>
    <n v="146"/>
    <n v="1458.54"/>
    <n v="730"/>
    <n v="728.54"/>
    <x v="0"/>
    <n v="4"/>
    <x v="5"/>
    <s v="Online"/>
  </r>
  <r>
    <n v="9"/>
    <n v="35.910000000000004"/>
    <n v="18"/>
    <n v="17.910000000000004"/>
    <x v="0"/>
    <n v="4"/>
    <x v="4"/>
    <s v="Direct"/>
  </r>
  <r>
    <n v="68"/>
    <n v="204"/>
    <n v="102"/>
    <n v="102"/>
    <x v="0"/>
    <n v="4"/>
    <x v="0"/>
    <s v="Online"/>
  </r>
  <r>
    <n v="71"/>
    <n v="709.29"/>
    <n v="355"/>
    <n v="354.28999999999996"/>
    <x v="0"/>
    <n v="5"/>
    <x v="3"/>
    <s v="Online"/>
  </r>
  <r>
    <n v="72"/>
    <n v="468"/>
    <n v="252"/>
    <n v="216"/>
    <x v="0"/>
    <n v="5"/>
    <x v="0"/>
    <s v="Retail"/>
  </r>
  <r>
    <n v="67"/>
    <n v="301.5"/>
    <n v="167.5"/>
    <n v="134"/>
    <x v="0"/>
    <n v="5"/>
    <x v="0"/>
    <s v="Online"/>
  </r>
  <r>
    <n v="33"/>
    <n v="131.67000000000002"/>
    <n v="66"/>
    <n v="65.670000000000016"/>
    <x v="0"/>
    <n v="5"/>
    <x v="2"/>
    <s v="Retail"/>
  </r>
  <r>
    <n v="29"/>
    <n v="261"/>
    <n v="174"/>
    <n v="87"/>
    <x v="0"/>
    <n v="5"/>
    <x v="3"/>
    <s v="Retail"/>
  </r>
  <r>
    <n v="199"/>
    <n v="794.01"/>
    <n v="398"/>
    <n v="396.01"/>
    <x v="0"/>
    <n v="5"/>
    <x v="0"/>
    <s v="Retail"/>
  </r>
  <r>
    <n v="62"/>
    <n v="124"/>
    <n v="62"/>
    <n v="62"/>
    <x v="0"/>
    <n v="4"/>
    <x v="3"/>
    <s v="Online"/>
  </r>
  <r>
    <n v="119"/>
    <n v="238"/>
    <n v="119"/>
    <n v="119"/>
    <x v="0"/>
    <n v="5"/>
    <x v="5"/>
    <s v="Online"/>
  </r>
  <r>
    <n v="50"/>
    <n v="199.5"/>
    <n v="100"/>
    <n v="99.5"/>
    <x v="0"/>
    <n v="4"/>
    <x v="0"/>
    <s v="Online"/>
  </r>
  <r>
    <n v="1"/>
    <n v="9"/>
    <n v="6"/>
    <n v="3"/>
    <x v="0"/>
    <n v="5"/>
    <x v="2"/>
    <s v="Online"/>
  </r>
  <r>
    <n v="75"/>
    <n v="299.25"/>
    <n v="150"/>
    <n v="149.25"/>
    <x v="0"/>
    <n v="5"/>
    <x v="0"/>
    <s v="Online"/>
  </r>
  <r>
    <n v="146"/>
    <n v="438"/>
    <n v="219"/>
    <n v="219"/>
    <x v="0"/>
    <n v="5"/>
    <x v="0"/>
    <s v="Direct"/>
  </r>
  <r>
    <n v="55"/>
    <n v="330"/>
    <n v="165"/>
    <n v="165"/>
    <x v="0"/>
    <n v="5"/>
    <x v="2"/>
    <s v="Retail"/>
  </r>
  <r>
    <n v="11"/>
    <n v="49.5"/>
    <n v="27.5"/>
    <n v="22"/>
    <x v="0"/>
    <n v="4"/>
    <x v="3"/>
    <s v="Retail"/>
  </r>
  <r>
    <n v="164"/>
    <n v="984"/>
    <n v="492"/>
    <n v="492"/>
    <x v="0"/>
    <n v="5"/>
    <x v="0"/>
    <s v="Online"/>
  </r>
  <r>
    <n v="175"/>
    <n v="1050"/>
    <n v="525"/>
    <n v="525"/>
    <x v="0"/>
    <n v="5"/>
    <x v="2"/>
    <s v="Online"/>
  </r>
  <r>
    <n v="102"/>
    <n v="1018.98"/>
    <n v="510"/>
    <n v="508.98"/>
    <x v="0"/>
    <n v="4"/>
    <x v="0"/>
    <s v="Retail"/>
  </r>
  <r>
    <n v="59"/>
    <n v="235.41000000000003"/>
    <n v="118"/>
    <n v="117.41000000000003"/>
    <x v="0"/>
    <n v="5"/>
    <x v="0"/>
    <s v="Retail"/>
  </r>
  <r>
    <n v="111"/>
    <n v="999"/>
    <n v="666"/>
    <n v="333"/>
    <x v="0"/>
    <n v="4"/>
    <x v="4"/>
    <s v="Retail"/>
  </r>
  <r>
    <n v="148"/>
    <n v="1478.52"/>
    <n v="740"/>
    <n v="738.52"/>
    <x v="0"/>
    <n v="5"/>
    <x v="2"/>
    <s v="Retail"/>
  </r>
  <r>
    <n v="44"/>
    <n v="286"/>
    <n v="154"/>
    <n v="132"/>
    <x v="0"/>
    <n v="4"/>
    <x v="4"/>
    <s v="Retail"/>
  </r>
  <r>
    <n v="4"/>
    <n v="15.96"/>
    <n v="8"/>
    <n v="7.9600000000000009"/>
    <x v="0"/>
    <n v="4"/>
    <x v="3"/>
    <s v="Retail"/>
  </r>
  <r>
    <n v="202"/>
    <n v="1313"/>
    <n v="707"/>
    <n v="606"/>
    <x v="0"/>
    <n v="4"/>
    <x v="0"/>
    <s v="Online"/>
  </r>
  <r>
    <n v="60"/>
    <n v="599.4"/>
    <n v="300"/>
    <n v="299.39999999999998"/>
    <x v="0"/>
    <n v="4"/>
    <x v="1"/>
    <s v="Retail"/>
  </r>
  <r>
    <n v="211"/>
    <n v="1266"/>
    <n v="633"/>
    <n v="633"/>
    <x v="0"/>
    <n v="4"/>
    <x v="0"/>
    <s v="Online"/>
  </r>
  <r>
    <n v="111"/>
    <n v="442.89000000000004"/>
    <n v="222"/>
    <n v="220.89000000000004"/>
    <x v="0"/>
    <n v="4"/>
    <x v="3"/>
    <s v="Retail"/>
  </r>
  <r>
    <n v="175"/>
    <n v="698.25"/>
    <n v="350"/>
    <n v="348.25"/>
    <x v="0"/>
    <n v="4"/>
    <x v="1"/>
    <s v="Online"/>
  </r>
  <r>
    <n v="190"/>
    <n v="1328.1000000000001"/>
    <n v="665"/>
    <n v="663.10000000000014"/>
    <x v="0"/>
    <n v="4"/>
    <x v="3"/>
    <s v="Online"/>
  </r>
  <r>
    <n v="41"/>
    <n v="266.5"/>
    <n v="143.5"/>
    <n v="123"/>
    <x v="0"/>
    <n v="5"/>
    <x v="6"/>
    <s v="Retail"/>
  </r>
  <r>
    <n v="28"/>
    <n v="406"/>
    <n v="224"/>
    <n v="182"/>
    <x v="0"/>
    <n v="4"/>
    <x v="0"/>
    <s v="Retail"/>
  </r>
  <r>
    <n v="44"/>
    <n v="638"/>
    <n v="352"/>
    <n v="286"/>
    <x v="0"/>
    <n v="5"/>
    <x v="5"/>
    <s v="Retail"/>
  </r>
  <r>
    <n v="107"/>
    <n v="695.5"/>
    <n v="374.5"/>
    <n v="321"/>
    <x v="0"/>
    <n v="5"/>
    <x v="2"/>
    <s v="Online"/>
  </r>
  <r>
    <n v="9"/>
    <n v="58.5"/>
    <n v="31.5"/>
    <n v="27"/>
    <x v="0"/>
    <n v="4"/>
    <x v="2"/>
    <s v="Retail"/>
  </r>
  <r>
    <n v="26"/>
    <n v="234"/>
    <n v="156"/>
    <n v="78"/>
    <x v="0"/>
    <n v="5"/>
    <x v="2"/>
    <s v="Retail"/>
  </r>
  <r>
    <n v="79"/>
    <n v="158"/>
    <n v="79"/>
    <n v="79"/>
    <x v="0"/>
    <n v="5"/>
    <x v="0"/>
    <s v="Retail"/>
  </r>
  <r>
    <n v="17"/>
    <n v="246.5"/>
    <n v="136"/>
    <n v="110.5"/>
    <x v="0"/>
    <n v="4"/>
    <x v="0"/>
    <s v="Online"/>
  </r>
  <r>
    <n v="121"/>
    <n v="1089"/>
    <n v="726"/>
    <n v="363"/>
    <x v="0"/>
    <n v="5"/>
    <x v="0"/>
    <s v="Retail"/>
  </r>
  <r>
    <n v="116"/>
    <n v="232"/>
    <n v="116"/>
    <n v="116"/>
    <x v="0"/>
    <n v="4"/>
    <x v="0"/>
    <s v="Online"/>
  </r>
  <r>
    <n v="131"/>
    <n v="522.69000000000005"/>
    <n v="262"/>
    <n v="260.69000000000005"/>
    <x v="0"/>
    <n v="5"/>
    <x v="4"/>
    <s v="Retail"/>
  </r>
  <r>
    <n v="144"/>
    <n v="1006.5600000000001"/>
    <n v="504"/>
    <n v="502.56000000000006"/>
    <x v="0"/>
    <n v="4"/>
    <x v="2"/>
    <s v="Retail"/>
  </r>
  <r>
    <n v="102"/>
    <n v="406.98"/>
    <n v="204"/>
    <n v="202.98000000000002"/>
    <x v="0"/>
    <n v="5"/>
    <x v="0"/>
    <s v="Online"/>
  </r>
  <r>
    <n v="212"/>
    <n v="1378"/>
    <n v="742"/>
    <n v="636"/>
    <x v="0"/>
    <n v="5"/>
    <x v="4"/>
    <s v="Direct"/>
  </r>
  <r>
    <n v="191"/>
    <n v="382"/>
    <n v="191"/>
    <n v="191"/>
    <x v="0"/>
    <n v="5"/>
    <x v="2"/>
    <s v="Retail"/>
  </r>
  <r>
    <n v="172"/>
    <n v="516"/>
    <n v="258"/>
    <n v="258"/>
    <x v="0"/>
    <n v="4"/>
    <x v="0"/>
    <s v="Retail"/>
  </r>
  <r>
    <n v="27"/>
    <n v="107.73"/>
    <n v="54"/>
    <n v="53.730000000000004"/>
    <x v="0"/>
    <n v="5"/>
    <x v="0"/>
    <s v="Retail"/>
  </r>
  <r>
    <n v="36"/>
    <n v="359.64"/>
    <n v="180"/>
    <n v="179.64"/>
    <x v="0"/>
    <n v="4"/>
    <x v="0"/>
    <s v="Online"/>
  </r>
  <r>
    <n v="191"/>
    <n v="1908.0900000000001"/>
    <n v="955"/>
    <n v="953.09000000000015"/>
    <x v="0"/>
    <n v="4"/>
    <x v="5"/>
    <s v="Retail"/>
  </r>
  <r>
    <n v="103"/>
    <n v="669.5"/>
    <n v="360.5"/>
    <n v="309"/>
    <x v="0"/>
    <n v="4"/>
    <x v="0"/>
    <s v="Online"/>
  </r>
  <r>
    <n v="61"/>
    <n v="609.39"/>
    <n v="305"/>
    <n v="304.39"/>
    <x v="0"/>
    <n v="4"/>
    <x v="3"/>
    <s v="Retail"/>
  </r>
  <r>
    <n v="197"/>
    <n v="786.03000000000009"/>
    <n v="394"/>
    <n v="392.03000000000009"/>
    <x v="0"/>
    <n v="4"/>
    <x v="3"/>
    <s v="Retail"/>
  </r>
  <r>
    <n v="34"/>
    <n v="221"/>
    <n v="119"/>
    <n v="102"/>
    <x v="0"/>
    <n v="5"/>
    <x v="3"/>
    <s v="Retail"/>
  </r>
  <r>
    <n v="37"/>
    <n v="166.5"/>
    <n v="92.5"/>
    <n v="74"/>
    <x v="0"/>
    <n v="5"/>
    <x v="5"/>
    <s v="Online"/>
  </r>
  <r>
    <n v="181"/>
    <n v="722.19"/>
    <n v="362"/>
    <n v="360.19000000000005"/>
    <x v="0"/>
    <n v="4"/>
    <x v="0"/>
    <s v="Online"/>
  </r>
  <r>
    <n v="1"/>
    <n v="6.99"/>
    <n v="3.5"/>
    <n v="3.49"/>
    <x v="0"/>
    <n v="5"/>
    <x v="6"/>
    <s v="Retail"/>
  </r>
  <r>
    <n v="74"/>
    <n v="444"/>
    <n v="222"/>
    <n v="222"/>
    <x v="0"/>
    <n v="4"/>
    <x v="3"/>
    <s v="Online"/>
  </r>
  <r>
    <n v="17"/>
    <n v="169.83"/>
    <n v="85"/>
    <n v="84.830000000000013"/>
    <x v="0"/>
    <n v="4"/>
    <x v="0"/>
    <s v="Retail"/>
  </r>
  <r>
    <n v="141"/>
    <n v="423"/>
    <n v="211.5"/>
    <n v="211.5"/>
    <x v="0"/>
    <n v="4"/>
    <x v="5"/>
    <s v="Direct"/>
  </r>
  <r>
    <n v="169"/>
    <n v="1098.5"/>
    <n v="591.5"/>
    <n v="507"/>
    <x v="0"/>
    <n v="5"/>
    <x v="3"/>
    <s v="Retail"/>
  </r>
  <r>
    <n v="79"/>
    <n v="789.21"/>
    <n v="395"/>
    <n v="394.21000000000004"/>
    <x v="0"/>
    <n v="5"/>
    <x v="0"/>
    <s v="Retail"/>
  </r>
  <r>
    <n v="55"/>
    <n v="219.45000000000002"/>
    <n v="110"/>
    <n v="109.45000000000002"/>
    <x v="0"/>
    <n v="5"/>
    <x v="2"/>
    <s v="Direct"/>
  </r>
  <r>
    <n v="65"/>
    <n v="390"/>
    <n v="195"/>
    <n v="195"/>
    <x v="0"/>
    <n v="4"/>
    <x v="5"/>
    <s v="Online"/>
  </r>
  <r>
    <n v="75"/>
    <n v="225"/>
    <n v="112.5"/>
    <n v="112.5"/>
    <x v="0"/>
    <n v="4"/>
    <x v="5"/>
    <s v="Online"/>
  </r>
  <r>
    <n v="58"/>
    <n v="405.42"/>
    <n v="203"/>
    <n v="202.42000000000002"/>
    <x v="0"/>
    <n v="5"/>
    <x v="5"/>
    <s v="Retail"/>
  </r>
  <r>
    <n v="60"/>
    <n v="270"/>
    <n v="150"/>
    <n v="120"/>
    <x v="0"/>
    <n v="4"/>
    <x v="4"/>
    <s v="Retail"/>
  </r>
  <r>
    <n v="115"/>
    <n v="230"/>
    <n v="115"/>
    <n v="115"/>
    <x v="0"/>
    <n v="5"/>
    <x v="0"/>
    <s v="Direct"/>
  </r>
  <r>
    <n v="108"/>
    <n v="324"/>
    <n v="162"/>
    <n v="162"/>
    <x v="0"/>
    <n v="4"/>
    <x v="3"/>
    <s v="Retail"/>
  </r>
  <r>
    <n v="63"/>
    <n v="126"/>
    <n v="63"/>
    <n v="63"/>
    <x v="0"/>
    <n v="5"/>
    <x v="5"/>
    <s v="Online"/>
  </r>
  <r>
    <n v="98"/>
    <n v="637"/>
    <n v="343"/>
    <n v="294"/>
    <x v="0"/>
    <n v="4"/>
    <x v="5"/>
    <s v="Direct"/>
  </r>
  <r>
    <n v="119"/>
    <n v="1071"/>
    <n v="714"/>
    <n v="357"/>
    <x v="0"/>
    <n v="5"/>
    <x v="0"/>
    <s v="Retail"/>
  </r>
  <r>
    <n v="90"/>
    <n v="540"/>
    <n v="270"/>
    <n v="270"/>
    <x v="0"/>
    <n v="5"/>
    <x v="0"/>
    <s v="Retail"/>
  </r>
  <r>
    <n v="11"/>
    <n v="99"/>
    <n v="66"/>
    <n v="33"/>
    <x v="0"/>
    <n v="5"/>
    <x v="6"/>
    <s v="Online"/>
  </r>
  <r>
    <n v="152"/>
    <n v="606.48"/>
    <n v="304"/>
    <n v="302.48"/>
    <x v="0"/>
    <n v="5"/>
    <x v="4"/>
    <s v="Retail"/>
  </r>
  <r>
    <n v="11"/>
    <n v="33"/>
    <n v="16.5"/>
    <n v="16.5"/>
    <x v="0"/>
    <n v="4"/>
    <x v="3"/>
    <s v="Direct"/>
  </r>
  <r>
    <n v="158"/>
    <n v="474"/>
    <n v="237"/>
    <n v="237"/>
    <x v="0"/>
    <n v="4"/>
    <x v="3"/>
    <s v="Direct"/>
  </r>
  <r>
    <n v="1"/>
    <n v="9.99"/>
    <n v="5"/>
    <n v="4.99"/>
    <x v="0"/>
    <n v="5"/>
    <x v="3"/>
    <s v="Retail"/>
  </r>
  <r>
    <n v="131"/>
    <n v="786"/>
    <n v="393"/>
    <n v="393"/>
    <x v="0"/>
    <n v="5"/>
    <x v="3"/>
    <s v="Online"/>
  </r>
  <r>
    <n v="148"/>
    <n v="590.52"/>
    <n v="296"/>
    <n v="294.52"/>
    <x v="0"/>
    <n v="4"/>
    <x v="3"/>
    <s v="Retail"/>
  </r>
  <r>
    <n v="153"/>
    <n v="1528.47"/>
    <n v="765"/>
    <n v="763.47"/>
    <x v="0"/>
    <n v="5"/>
    <x v="3"/>
    <s v="Retail"/>
  </r>
  <r>
    <n v="125"/>
    <n v="873.75"/>
    <n v="437.5"/>
    <n v="436.25"/>
    <x v="0"/>
    <n v="4"/>
    <x v="0"/>
    <s v="Retail"/>
  </r>
  <r>
    <n v="162"/>
    <n v="324"/>
    <n v="162"/>
    <n v="162"/>
    <x v="0"/>
    <n v="4"/>
    <x v="3"/>
    <s v="Retail"/>
  </r>
  <r>
    <n v="108"/>
    <n v="702"/>
    <n v="378"/>
    <n v="324"/>
    <x v="0"/>
    <n v="4"/>
    <x v="0"/>
    <s v="Retail"/>
  </r>
  <r>
    <n v="191"/>
    <n v="382"/>
    <n v="191"/>
    <n v="191"/>
    <x v="0"/>
    <n v="4"/>
    <x v="1"/>
    <s v="Online"/>
  </r>
  <r>
    <n v="165"/>
    <n v="658.35"/>
    <n v="330"/>
    <n v="328.35"/>
    <x v="0"/>
    <n v="5"/>
    <x v="1"/>
    <s v="Retail"/>
  </r>
  <r>
    <n v="128"/>
    <n v="384"/>
    <n v="192"/>
    <n v="192"/>
    <x v="0"/>
    <n v="4"/>
    <x v="4"/>
    <s v="Retail"/>
  </r>
  <r>
    <n v="146"/>
    <n v="582.54000000000008"/>
    <n v="292"/>
    <n v="290.54000000000008"/>
    <x v="0"/>
    <n v="5"/>
    <x v="1"/>
    <s v="Online"/>
  </r>
  <r>
    <n v="206"/>
    <n v="2987"/>
    <n v="1648"/>
    <n v="1339"/>
    <x v="0"/>
    <n v="5"/>
    <x v="3"/>
    <s v="Retail"/>
  </r>
  <r>
    <n v="196"/>
    <n v="782.04000000000008"/>
    <n v="392"/>
    <n v="390.04000000000008"/>
    <x v="0"/>
    <n v="4"/>
    <x v="3"/>
    <s v="Direct"/>
  </r>
  <r>
    <n v="88"/>
    <n v="396"/>
    <n v="220"/>
    <n v="176"/>
    <x v="0"/>
    <n v="5"/>
    <x v="1"/>
    <s v="Retail"/>
  </r>
  <r>
    <n v="209"/>
    <n v="1358.5"/>
    <n v="731.5"/>
    <n v="627"/>
    <x v="0"/>
    <n v="4"/>
    <x v="0"/>
    <s v="Online"/>
  </r>
  <r>
    <n v="189"/>
    <n v="1228.5"/>
    <n v="661.5"/>
    <n v="567"/>
    <x v="0"/>
    <n v="5"/>
    <x v="4"/>
    <s v="Retail"/>
  </r>
  <r>
    <n v="77"/>
    <n v="231"/>
    <n v="115.5"/>
    <n v="115.5"/>
    <x v="0"/>
    <n v="3"/>
    <x v="0"/>
    <s v="Online"/>
  </r>
  <r>
    <n v="163"/>
    <n v="1628.3700000000001"/>
    <n v="815"/>
    <n v="813.37000000000012"/>
    <x v="0"/>
    <n v="1"/>
    <x v="0"/>
    <s v="Direct"/>
  </r>
  <r>
    <n v="99"/>
    <n v="297"/>
    <n v="148.5"/>
    <n v="148.5"/>
    <x v="0"/>
    <n v="3"/>
    <x v="0"/>
    <s v="Online"/>
  </r>
  <r>
    <n v="180"/>
    <n v="360"/>
    <n v="180"/>
    <n v="180"/>
    <x v="0"/>
    <n v="1"/>
    <x v="5"/>
    <s v="Online"/>
  </r>
  <r>
    <n v="106"/>
    <n v="212"/>
    <n v="106"/>
    <n v="106"/>
    <x v="0"/>
    <n v="3"/>
    <x v="1"/>
    <s v="Retail"/>
  </r>
  <r>
    <n v="165"/>
    <n v="2392.5"/>
    <n v="1320"/>
    <n v="1072.5"/>
    <x v="0"/>
    <n v="2"/>
    <x v="4"/>
    <s v="Online"/>
  </r>
  <r>
    <n v="12"/>
    <n v="36"/>
    <n v="18"/>
    <n v="18"/>
    <x v="0"/>
    <n v="3"/>
    <x v="3"/>
    <s v="Direct"/>
  </r>
  <r>
    <n v="37"/>
    <n v="147.63"/>
    <n v="74"/>
    <n v="73.63"/>
    <x v="0"/>
    <n v="1"/>
    <x v="2"/>
    <s v="Online"/>
  </r>
  <r>
    <n v="28"/>
    <n v="111.72"/>
    <n v="56"/>
    <n v="55.72"/>
    <x v="0"/>
    <n v="3"/>
    <x v="6"/>
    <s v="Retail"/>
  </r>
  <r>
    <n v="18"/>
    <n v="117"/>
    <n v="63"/>
    <n v="54"/>
    <x v="0"/>
    <n v="2"/>
    <x v="0"/>
    <s v="Direct"/>
  </r>
  <r>
    <n v="99"/>
    <n v="989.01"/>
    <n v="495"/>
    <n v="494.01"/>
    <x v="0"/>
    <n v="3"/>
    <x v="2"/>
    <s v="Retail"/>
  </r>
  <r>
    <n v="132"/>
    <n v="594"/>
    <n v="330"/>
    <n v="264"/>
    <x v="0"/>
    <n v="1"/>
    <x v="5"/>
    <s v="Retail"/>
  </r>
  <r>
    <n v="95"/>
    <n v="285"/>
    <n v="142.5"/>
    <n v="142.5"/>
    <x v="0"/>
    <n v="2"/>
    <x v="3"/>
    <s v="Online"/>
  </r>
  <r>
    <n v="120"/>
    <n v="540"/>
    <n v="300"/>
    <n v="240"/>
    <x v="0"/>
    <n v="3"/>
    <x v="0"/>
    <s v="Retail"/>
  </r>
  <r>
    <n v="36"/>
    <n v="522"/>
    <n v="288"/>
    <n v="234"/>
    <x v="0"/>
    <n v="2"/>
    <x v="0"/>
    <s v="Retail"/>
  </r>
  <r>
    <n v="86"/>
    <n v="343.14000000000004"/>
    <n v="172"/>
    <n v="171.14000000000004"/>
    <x v="0"/>
    <n v="1"/>
    <x v="0"/>
    <s v="Online"/>
  </r>
  <r>
    <n v="149"/>
    <n v="594.51"/>
    <n v="298"/>
    <n v="296.51"/>
    <x v="0"/>
    <n v="1"/>
    <x v="0"/>
    <s v="Online"/>
  </r>
  <r>
    <n v="7"/>
    <n v="27.93"/>
    <n v="14"/>
    <n v="13.93"/>
    <x v="0"/>
    <n v="1"/>
    <x v="0"/>
    <s v="Online"/>
  </r>
  <r>
    <n v="9"/>
    <n v="58.5"/>
    <n v="31.5"/>
    <n v="27"/>
    <x v="0"/>
    <n v="2"/>
    <x v="0"/>
    <s v="Retail"/>
  </r>
  <r>
    <n v="151"/>
    <n v="906"/>
    <n v="453"/>
    <n v="453"/>
    <x v="0"/>
    <n v="3"/>
    <x v="1"/>
    <s v="Online"/>
  </r>
  <r>
    <n v="24"/>
    <n v="48"/>
    <n v="24"/>
    <n v="24"/>
    <x v="0"/>
    <n v="2"/>
    <x v="5"/>
    <s v="Online"/>
  </r>
  <r>
    <n v="200"/>
    <n v="600"/>
    <n v="300"/>
    <n v="300"/>
    <x v="0"/>
    <n v="1"/>
    <x v="4"/>
    <s v="Online"/>
  </r>
  <r>
    <n v="160"/>
    <n v="638.40000000000009"/>
    <n v="320"/>
    <n v="318.40000000000009"/>
    <x v="0"/>
    <n v="1"/>
    <x v="0"/>
    <s v="Online"/>
  </r>
  <r>
    <n v="103"/>
    <n v="669.5"/>
    <n v="360.5"/>
    <n v="309"/>
    <x v="0"/>
    <n v="3"/>
    <x v="3"/>
    <s v="Direct"/>
  </r>
  <r>
    <n v="61"/>
    <n v="122"/>
    <n v="61"/>
    <n v="61"/>
    <x v="0"/>
    <n v="1"/>
    <x v="0"/>
    <s v="Retail"/>
  </r>
  <r>
    <n v="84"/>
    <n v="546"/>
    <n v="294"/>
    <n v="252"/>
    <x v="0"/>
    <n v="3"/>
    <x v="4"/>
    <s v="Online"/>
  </r>
  <r>
    <n v="197"/>
    <n v="1377.03"/>
    <n v="689.5"/>
    <n v="687.53"/>
    <x v="0"/>
    <n v="1"/>
    <x v="3"/>
    <s v="Direct"/>
  </r>
  <r>
    <n v="161"/>
    <n v="1449"/>
    <n v="966"/>
    <n v="483"/>
    <x v="0"/>
    <n v="2"/>
    <x v="3"/>
    <s v="Online"/>
  </r>
  <r>
    <n v="181"/>
    <n v="814.5"/>
    <n v="452.5"/>
    <n v="362"/>
    <x v="0"/>
    <n v="2"/>
    <x v="2"/>
    <s v="Online"/>
  </r>
  <r>
    <n v="91"/>
    <n v="1319.5"/>
    <n v="728"/>
    <n v="591.5"/>
    <x v="0"/>
    <n v="1"/>
    <x v="4"/>
    <s v="Retail"/>
  </r>
  <r>
    <n v="52"/>
    <n v="312"/>
    <n v="156"/>
    <n v="156"/>
    <x v="0"/>
    <n v="3"/>
    <x v="5"/>
    <s v="Retail"/>
  </r>
  <r>
    <n v="207"/>
    <n v="621"/>
    <n v="310.5"/>
    <n v="310.5"/>
    <x v="0"/>
    <n v="1"/>
    <x v="3"/>
    <s v="Online"/>
  </r>
  <r>
    <n v="132"/>
    <n v="396"/>
    <n v="198"/>
    <n v="198"/>
    <x v="0"/>
    <n v="1"/>
    <x v="1"/>
    <s v="Retail"/>
  </r>
  <r>
    <n v="25"/>
    <n v="112.5"/>
    <n v="62.5"/>
    <n v="50"/>
    <x v="0"/>
    <n v="2"/>
    <x v="2"/>
    <s v="Online"/>
  </r>
  <r>
    <n v="152"/>
    <n v="456"/>
    <n v="228"/>
    <n v="228"/>
    <x v="0"/>
    <n v="1"/>
    <x v="4"/>
    <s v="Online"/>
  </r>
  <r>
    <n v="187"/>
    <n v="1122"/>
    <n v="561"/>
    <n v="561"/>
    <x v="0"/>
    <n v="1"/>
    <x v="0"/>
    <s v="Online"/>
  </r>
  <r>
    <n v="84"/>
    <n v="335.16"/>
    <n v="168"/>
    <n v="167.16000000000003"/>
    <x v="0"/>
    <n v="1"/>
    <x v="5"/>
    <s v="Online"/>
  </r>
  <r>
    <n v="86"/>
    <n v="1247"/>
    <n v="688"/>
    <n v="559"/>
    <x v="0"/>
    <n v="2"/>
    <x v="2"/>
    <s v="Retail"/>
  </r>
  <r>
    <n v="183"/>
    <n v="823.5"/>
    <n v="457.5"/>
    <n v="366"/>
    <x v="0"/>
    <n v="1"/>
    <x v="1"/>
    <s v="Online"/>
  </r>
  <r>
    <n v="121"/>
    <n v="786.5"/>
    <n v="423.5"/>
    <n v="363"/>
    <x v="0"/>
    <n v="2"/>
    <x v="0"/>
    <s v="Online"/>
  </r>
  <r>
    <n v="165"/>
    <n v="658.35"/>
    <n v="330"/>
    <n v="328.35"/>
    <x v="0"/>
    <n v="2"/>
    <x v="0"/>
    <s v="Online"/>
  </r>
  <r>
    <n v="27"/>
    <n v="107.73"/>
    <n v="54"/>
    <n v="53.730000000000004"/>
    <x v="0"/>
    <n v="2"/>
    <x v="1"/>
    <s v="Online"/>
  </r>
  <r>
    <n v="205"/>
    <n v="1230"/>
    <n v="615"/>
    <n v="615"/>
    <x v="0"/>
    <n v="3"/>
    <x v="0"/>
    <s v="Retail"/>
  </r>
  <r>
    <n v="22"/>
    <n v="44"/>
    <n v="22"/>
    <n v="22"/>
    <x v="0"/>
    <n v="3"/>
    <x v="0"/>
    <s v="Online"/>
  </r>
  <r>
    <n v="155"/>
    <n v="618.45000000000005"/>
    <n v="310"/>
    <n v="308.45000000000005"/>
    <x v="0"/>
    <n v="2"/>
    <x v="3"/>
    <s v="Online"/>
  </r>
  <r>
    <n v="197"/>
    <n v="1773"/>
    <n v="1182"/>
    <n v="591"/>
    <x v="0"/>
    <n v="2"/>
    <x v="0"/>
    <s v="Online"/>
  </r>
  <r>
    <n v="202"/>
    <n v="909"/>
    <n v="505"/>
    <n v="404"/>
    <x v="0"/>
    <n v="1"/>
    <x v="1"/>
    <s v="Retail"/>
  </r>
  <r>
    <n v="126"/>
    <n v="567"/>
    <n v="315"/>
    <n v="252"/>
    <x v="0"/>
    <n v="2"/>
    <x v="2"/>
    <s v="Retail"/>
  </r>
  <r>
    <n v="164"/>
    <n v="2378"/>
    <n v="1312"/>
    <n v="1066"/>
    <x v="0"/>
    <n v="3"/>
    <x v="0"/>
    <s v="Online"/>
  </r>
  <r>
    <n v="9"/>
    <n v="35.910000000000004"/>
    <n v="18"/>
    <n v="17.910000000000004"/>
    <x v="0"/>
    <n v="2"/>
    <x v="3"/>
    <s v="Online"/>
  </r>
  <r>
    <n v="42"/>
    <n v="84"/>
    <n v="42"/>
    <n v="42"/>
    <x v="0"/>
    <n v="1"/>
    <x v="0"/>
    <s v="Retail"/>
  </r>
  <r>
    <n v="9"/>
    <n v="81"/>
    <n v="54"/>
    <n v="27"/>
    <x v="0"/>
    <n v="2"/>
    <x v="3"/>
    <s v="Retail"/>
  </r>
  <r>
    <n v="141"/>
    <n v="916.5"/>
    <n v="493.5"/>
    <n v="423"/>
    <x v="0"/>
    <n v="3"/>
    <x v="2"/>
    <s v="Online"/>
  </r>
  <r>
    <n v="184"/>
    <n v="1838.16"/>
    <n v="920"/>
    <n v="918.16000000000008"/>
    <x v="0"/>
    <n v="2"/>
    <x v="6"/>
    <s v="Online"/>
  </r>
  <r>
    <n v="119"/>
    <n v="535.5"/>
    <n v="297.5"/>
    <n v="238"/>
    <x v="0"/>
    <n v="3"/>
    <x v="0"/>
    <s v="Online"/>
  </r>
  <r>
    <n v="49"/>
    <n v="220.5"/>
    <n v="122.5"/>
    <n v="98"/>
    <x v="0"/>
    <n v="2"/>
    <x v="2"/>
    <s v="Online"/>
  </r>
  <r>
    <n v="93"/>
    <n v="929.07"/>
    <n v="465"/>
    <n v="464.07000000000005"/>
    <x v="0"/>
    <n v="1"/>
    <x v="0"/>
    <s v="Retail"/>
  </r>
  <r>
    <n v="187"/>
    <n v="841.5"/>
    <n v="467.5"/>
    <n v="374"/>
    <x v="0"/>
    <n v="1"/>
    <x v="4"/>
    <s v="Retail"/>
  </r>
  <r>
    <n v="183"/>
    <n v="2653.5"/>
    <n v="1464"/>
    <n v="1189.5"/>
    <x v="0"/>
    <n v="3"/>
    <x v="4"/>
    <s v="Direct"/>
  </r>
  <r>
    <n v="58"/>
    <n v="174"/>
    <n v="87"/>
    <n v="87"/>
    <x v="0"/>
    <n v="3"/>
    <x v="3"/>
    <s v="Retail"/>
  </r>
  <r>
    <n v="194"/>
    <n v="774.06000000000006"/>
    <n v="388"/>
    <n v="386.06000000000006"/>
    <x v="0"/>
    <n v="2"/>
    <x v="3"/>
    <s v="Retail"/>
  </r>
  <r>
    <n v="211"/>
    <n v="1899"/>
    <n v="1266"/>
    <n v="633"/>
    <x v="0"/>
    <n v="2"/>
    <x v="5"/>
    <s v="Direct"/>
  </r>
  <r>
    <n v="11"/>
    <n v="99"/>
    <n v="66"/>
    <n v="33"/>
    <x v="0"/>
    <n v="3"/>
    <x v="5"/>
    <s v="Retail"/>
  </r>
  <r>
    <n v="33"/>
    <n v="214.5"/>
    <n v="115.5"/>
    <n v="99"/>
    <x v="0"/>
    <n v="2"/>
    <x v="0"/>
    <s v="Online"/>
  </r>
  <r>
    <n v="36"/>
    <n v="143.64000000000001"/>
    <n v="72"/>
    <n v="71.640000000000015"/>
    <x v="0"/>
    <n v="2"/>
    <x v="3"/>
    <s v="Online"/>
  </r>
  <r>
    <n v="141"/>
    <n v="562.59"/>
    <n v="282"/>
    <n v="280.59000000000003"/>
    <x v="0"/>
    <n v="2"/>
    <x v="3"/>
    <s v="Online"/>
  </r>
  <r>
    <n v="111"/>
    <n v="333"/>
    <n v="166.5"/>
    <n v="166.5"/>
    <x v="0"/>
    <n v="3"/>
    <x v="4"/>
    <s v="Retail"/>
  </r>
  <r>
    <n v="171"/>
    <n v="513"/>
    <n v="256.5"/>
    <n v="256.5"/>
    <x v="0"/>
    <n v="2"/>
    <x v="4"/>
    <s v="Online"/>
  </r>
  <r>
    <n v="16"/>
    <n v="232"/>
    <n v="128"/>
    <n v="104"/>
    <x v="0"/>
    <n v="2"/>
    <x v="3"/>
    <s v="Retail"/>
  </r>
  <r>
    <n v="144"/>
    <n v="574.56000000000006"/>
    <n v="288"/>
    <n v="286.56000000000006"/>
    <x v="0"/>
    <n v="1"/>
    <x v="0"/>
    <s v="Retail"/>
  </r>
  <r>
    <n v="104"/>
    <n v="312"/>
    <n v="156"/>
    <n v="156"/>
    <x v="0"/>
    <n v="1"/>
    <x v="3"/>
    <s v="Retail"/>
  </r>
  <r>
    <n v="196"/>
    <n v="782.04000000000008"/>
    <n v="392"/>
    <n v="390.04000000000008"/>
    <x v="0"/>
    <n v="2"/>
    <x v="3"/>
    <s v="Online"/>
  </r>
  <r>
    <n v="14"/>
    <n v="91"/>
    <n v="49"/>
    <n v="42"/>
    <x v="0"/>
    <n v="2"/>
    <x v="1"/>
    <s v="Online"/>
  </r>
  <r>
    <n v="87"/>
    <n v="522"/>
    <n v="261"/>
    <n v="261"/>
    <x v="0"/>
    <n v="1"/>
    <x v="1"/>
    <s v="Retail"/>
  </r>
  <r>
    <n v="66"/>
    <n v="429"/>
    <n v="231"/>
    <n v="198"/>
    <x v="0"/>
    <n v="2"/>
    <x v="4"/>
    <s v="Online"/>
  </r>
  <r>
    <n v="154"/>
    <n v="1001"/>
    <n v="539"/>
    <n v="462"/>
    <x v="0"/>
    <n v="1"/>
    <x v="2"/>
    <s v="Online"/>
  </r>
  <r>
    <n v="16"/>
    <n v="104"/>
    <n v="56"/>
    <n v="48"/>
    <x v="0"/>
    <n v="1"/>
    <x v="2"/>
    <s v="Online"/>
  </r>
  <r>
    <n v="89"/>
    <n v="1290.5"/>
    <n v="712"/>
    <n v="578.5"/>
    <x v="0"/>
    <n v="2"/>
    <x v="2"/>
    <s v="Online"/>
  </r>
  <r>
    <n v="150"/>
    <n v="1048.5"/>
    <n v="525"/>
    <n v="523.5"/>
    <x v="0"/>
    <n v="3"/>
    <x v="0"/>
    <s v="Online"/>
  </r>
  <r>
    <n v="76"/>
    <n v="684"/>
    <n v="456"/>
    <n v="228"/>
    <x v="0"/>
    <n v="1"/>
    <x v="2"/>
    <s v="Direct"/>
  </r>
  <r>
    <n v="178"/>
    <n v="534"/>
    <n v="267"/>
    <n v="267"/>
    <x v="0"/>
    <n v="2"/>
    <x v="3"/>
    <s v="Retail"/>
  </r>
  <r>
    <n v="193"/>
    <n v="1928.07"/>
    <n v="965"/>
    <n v="963.06999999999994"/>
    <x v="0"/>
    <n v="1"/>
    <x v="3"/>
    <s v="Online"/>
  </r>
  <r>
    <n v="174"/>
    <n v="1216.26"/>
    <n v="609"/>
    <n v="607.26"/>
    <x v="0"/>
    <n v="3"/>
    <x v="3"/>
    <s v="Retail"/>
  </r>
  <r>
    <n v="127"/>
    <n v="1143"/>
    <n v="762"/>
    <n v="381"/>
    <x v="0"/>
    <n v="2"/>
    <x v="3"/>
    <s v="Retail"/>
  </r>
  <r>
    <n v="180"/>
    <n v="1620"/>
    <n v="1080"/>
    <n v="540"/>
    <x v="0"/>
    <n v="3"/>
    <x v="1"/>
    <s v="Online"/>
  </r>
  <r>
    <n v="10"/>
    <n v="39.900000000000006"/>
    <n v="20"/>
    <n v="19.900000000000006"/>
    <x v="0"/>
    <n v="2"/>
    <x v="0"/>
    <s v="Retail"/>
  </r>
  <r>
    <n v="97"/>
    <n v="582"/>
    <n v="291"/>
    <n v="291"/>
    <x v="0"/>
    <n v="1"/>
    <x v="0"/>
    <s v="Online"/>
  </r>
  <r>
    <n v="23"/>
    <n v="160.77000000000001"/>
    <n v="80.5"/>
    <n v="80.27000000000001"/>
    <x v="0"/>
    <n v="2"/>
    <x v="0"/>
    <s v="Retail"/>
  </r>
  <r>
    <n v="139"/>
    <n v="554.61"/>
    <n v="278"/>
    <n v="276.61"/>
    <x v="0"/>
    <n v="3"/>
    <x v="5"/>
    <s v="Retail"/>
  </r>
  <r>
    <n v="75"/>
    <n v="524.25"/>
    <n v="262.5"/>
    <n v="261.75"/>
    <x v="0"/>
    <n v="2"/>
    <x v="4"/>
    <s v="Online"/>
  </r>
  <r>
    <n v="166"/>
    <n v="747"/>
    <n v="415"/>
    <n v="332"/>
    <x v="0"/>
    <n v="2"/>
    <x v="5"/>
    <s v="Retail"/>
  </r>
  <r>
    <n v="115"/>
    <n v="345"/>
    <n v="172.5"/>
    <n v="172.5"/>
    <x v="0"/>
    <n v="1"/>
    <x v="3"/>
    <s v="Online"/>
  </r>
  <r>
    <n v="206"/>
    <n v="1236"/>
    <n v="618"/>
    <n v="618"/>
    <x v="0"/>
    <n v="2"/>
    <x v="3"/>
    <s v="Retail"/>
  </r>
  <r>
    <n v="66"/>
    <n v="263.34000000000003"/>
    <n v="132"/>
    <n v="131.34000000000003"/>
    <x v="0"/>
    <n v="3"/>
    <x v="0"/>
    <s v="Retail"/>
  </r>
  <r>
    <n v="65"/>
    <n v="422.5"/>
    <n v="227.5"/>
    <n v="195"/>
    <x v="0"/>
    <n v="1"/>
    <x v="4"/>
    <s v="Retail"/>
  </r>
  <r>
    <n v="92"/>
    <n v="1334"/>
    <n v="736"/>
    <n v="598"/>
    <x v="0"/>
    <n v="1"/>
    <x v="1"/>
    <s v="Retail"/>
  </r>
  <r>
    <n v="185"/>
    <n v="555"/>
    <n v="277.5"/>
    <n v="277.5"/>
    <x v="0"/>
    <n v="2"/>
    <x v="3"/>
    <s v="Retail"/>
  </r>
  <r>
    <n v="205"/>
    <n v="1332.5"/>
    <n v="717.5"/>
    <n v="615"/>
    <x v="0"/>
    <n v="2"/>
    <x v="0"/>
    <s v="Online"/>
  </r>
  <r>
    <n v="82"/>
    <n v="327.18"/>
    <n v="164"/>
    <n v="163.18"/>
    <x v="0"/>
    <n v="1"/>
    <x v="2"/>
    <s v="Retail"/>
  </r>
  <r>
    <n v="69"/>
    <n v="138"/>
    <n v="69"/>
    <n v="69"/>
    <x v="0"/>
    <n v="3"/>
    <x v="4"/>
    <s v="Direct"/>
  </r>
  <r>
    <n v="198"/>
    <n v="790.0200000000001"/>
    <n v="396"/>
    <n v="394.0200000000001"/>
    <x v="0"/>
    <n v="2"/>
    <x v="5"/>
    <s v="Retail"/>
  </r>
  <r>
    <n v="105"/>
    <n v="733.95"/>
    <n v="367.5"/>
    <n v="366.45000000000005"/>
    <x v="0"/>
    <n v="2"/>
    <x v="0"/>
    <s v="Online"/>
  </r>
  <r>
    <n v="7"/>
    <n v="63"/>
    <n v="42"/>
    <n v="21"/>
    <x v="0"/>
    <n v="3"/>
    <x v="3"/>
    <s v="Online"/>
  </r>
  <r>
    <n v="122"/>
    <n v="793"/>
    <n v="427"/>
    <n v="366"/>
    <x v="0"/>
    <n v="2"/>
    <x v="4"/>
    <s v="Direct"/>
  </r>
  <r>
    <n v="29"/>
    <n v="87"/>
    <n v="43.5"/>
    <n v="43.5"/>
    <x v="0"/>
    <n v="3"/>
    <x v="4"/>
    <s v="Online"/>
  </r>
  <r>
    <n v="75"/>
    <n v="150"/>
    <n v="75"/>
    <n v="75"/>
    <x v="0"/>
    <n v="2"/>
    <x v="0"/>
    <s v="Retail"/>
  </r>
  <r>
    <n v="83"/>
    <n v="331.17"/>
    <n v="166"/>
    <n v="165.17000000000002"/>
    <x v="0"/>
    <n v="1"/>
    <x v="2"/>
    <s v="Retail"/>
  </r>
  <r>
    <n v="168"/>
    <n v="756"/>
    <n v="420"/>
    <n v="336"/>
    <x v="0"/>
    <n v="1"/>
    <x v="5"/>
    <s v="Online"/>
  </r>
  <r>
    <n v="153"/>
    <n v="994.5"/>
    <n v="535.5"/>
    <n v="459"/>
    <x v="0"/>
    <n v="3"/>
    <x v="0"/>
    <s v="Online"/>
  </r>
  <r>
    <n v="109"/>
    <n v="708.5"/>
    <n v="381.5"/>
    <n v="327"/>
    <x v="0"/>
    <n v="2"/>
    <x v="0"/>
    <s v="Online"/>
  </r>
  <r>
    <n v="57"/>
    <n v="256.5"/>
    <n v="142.5"/>
    <n v="114"/>
    <x v="0"/>
    <n v="2"/>
    <x v="0"/>
    <s v="Online"/>
  </r>
  <r>
    <n v="119"/>
    <n v="1071"/>
    <n v="714"/>
    <n v="357"/>
    <x v="0"/>
    <n v="1"/>
    <x v="4"/>
    <s v="Online"/>
  </r>
  <r>
    <n v="87"/>
    <n v="565.5"/>
    <n v="304.5"/>
    <n v="261"/>
    <x v="0"/>
    <n v="2"/>
    <x v="2"/>
    <s v="Retail"/>
  </r>
  <r>
    <n v="170"/>
    <n v="510"/>
    <n v="255"/>
    <n v="255"/>
    <x v="0"/>
    <n v="3"/>
    <x v="1"/>
    <s v="Retail"/>
  </r>
  <r>
    <n v="91"/>
    <n v="636.09"/>
    <n v="318.5"/>
    <n v="317.59000000000003"/>
    <x v="0"/>
    <n v="1"/>
    <x v="0"/>
    <s v="Retail"/>
  </r>
  <r>
    <n v="124"/>
    <n v="744"/>
    <n v="372"/>
    <n v="372"/>
    <x v="0"/>
    <n v="3"/>
    <x v="3"/>
    <s v="Retail"/>
  </r>
  <r>
    <n v="163"/>
    <n v="1059.5"/>
    <n v="570.5"/>
    <n v="489"/>
    <x v="0"/>
    <n v="2"/>
    <x v="1"/>
    <s v="Online"/>
  </r>
  <r>
    <n v="81"/>
    <n v="486"/>
    <n v="243"/>
    <n v="243"/>
    <x v="0"/>
    <n v="1"/>
    <x v="0"/>
    <s v="Online"/>
  </r>
  <r>
    <n v="124"/>
    <n v="866.76"/>
    <n v="434"/>
    <n v="432.76"/>
    <x v="0"/>
    <n v="3"/>
    <x v="0"/>
    <s v="Online"/>
  </r>
  <r>
    <n v="40"/>
    <n v="360"/>
    <n v="240"/>
    <n v="120"/>
    <x v="0"/>
    <n v="3"/>
    <x v="0"/>
    <s v="Retail"/>
  </r>
  <r>
    <n v="198"/>
    <n v="1287"/>
    <n v="693"/>
    <n v="594"/>
    <x v="0"/>
    <n v="3"/>
    <x v="4"/>
    <s v="Online"/>
  </r>
  <r>
    <n v="170"/>
    <n v="1530"/>
    <n v="1020"/>
    <n v="510"/>
    <x v="0"/>
    <n v="3"/>
    <x v="1"/>
    <s v="Online"/>
  </r>
  <r>
    <n v="127"/>
    <n v="381"/>
    <n v="190.5"/>
    <n v="190.5"/>
    <x v="0"/>
    <n v="1"/>
    <x v="0"/>
    <s v="Retail"/>
  </r>
  <r>
    <n v="86"/>
    <n v="559"/>
    <n v="301"/>
    <n v="258"/>
    <x v="0"/>
    <n v="2"/>
    <x v="1"/>
    <s v="Retail"/>
  </r>
  <r>
    <n v="109"/>
    <n v="327"/>
    <n v="163.5"/>
    <n v="163.5"/>
    <x v="0"/>
    <n v="1"/>
    <x v="0"/>
    <s v="Direct"/>
  </r>
  <r>
    <n v="194"/>
    <n v="1261"/>
    <n v="679"/>
    <n v="582"/>
    <x v="0"/>
    <n v="1"/>
    <x v="3"/>
    <s v="Online"/>
  </r>
  <r>
    <n v="29"/>
    <n v="188.5"/>
    <n v="101.5"/>
    <n v="87"/>
    <x v="0"/>
    <n v="2"/>
    <x v="0"/>
    <s v="Online"/>
  </r>
  <r>
    <n v="60"/>
    <n v="540"/>
    <n v="360"/>
    <n v="180"/>
    <x v="0"/>
    <n v="3"/>
    <x v="0"/>
    <s v="Online"/>
  </r>
  <r>
    <n v="47"/>
    <n v="94"/>
    <n v="47"/>
    <n v="47"/>
    <x v="0"/>
    <n v="1"/>
    <x v="5"/>
    <s v="Retail"/>
  </r>
  <r>
    <n v="114"/>
    <n v="1138.8600000000001"/>
    <n v="570"/>
    <n v="568.86000000000013"/>
    <x v="0"/>
    <n v="2"/>
    <x v="1"/>
    <s v="Online"/>
  </r>
  <r>
    <n v="33"/>
    <n v="230.67000000000002"/>
    <n v="115.5"/>
    <n v="115.17000000000002"/>
    <x v="0"/>
    <n v="2"/>
    <x v="4"/>
    <s v="Online"/>
  </r>
  <r>
    <n v="31"/>
    <n v="201.5"/>
    <n v="108.5"/>
    <n v="93"/>
    <x v="0"/>
    <n v="2"/>
    <x v="5"/>
    <s v="Online"/>
  </r>
  <r>
    <n v="12"/>
    <n v="78"/>
    <n v="42"/>
    <n v="36"/>
    <x v="0"/>
    <n v="3"/>
    <x v="4"/>
    <s v="Direct"/>
  </r>
  <r>
    <n v="50"/>
    <n v="450"/>
    <n v="300"/>
    <n v="150"/>
    <x v="0"/>
    <n v="3"/>
    <x v="4"/>
    <s v="Online"/>
  </r>
  <r>
    <n v="115"/>
    <n v="458.85"/>
    <n v="230"/>
    <n v="228.85000000000002"/>
    <x v="0"/>
    <n v="2"/>
    <x v="3"/>
    <s v="Direct"/>
  </r>
  <r>
    <n v="64"/>
    <n v="384"/>
    <n v="192"/>
    <n v="192"/>
    <x v="0"/>
    <n v="1"/>
    <x v="2"/>
    <s v="Retail"/>
  </r>
  <r>
    <n v="126"/>
    <n v="819"/>
    <n v="441"/>
    <n v="378"/>
    <x v="0"/>
    <n v="3"/>
    <x v="0"/>
    <s v="Retail"/>
  </r>
  <r>
    <n v="177"/>
    <n v="2566.5"/>
    <n v="1416"/>
    <n v="1150.5"/>
    <x v="0"/>
    <n v="2"/>
    <x v="2"/>
    <s v="Online"/>
  </r>
  <r>
    <n v="64"/>
    <n v="447.36"/>
    <n v="224"/>
    <n v="223.36"/>
    <x v="0"/>
    <n v="2"/>
    <x v="2"/>
    <s v="Retail"/>
  </r>
  <r>
    <n v="44"/>
    <n v="88"/>
    <n v="44"/>
    <n v="44"/>
    <x v="0"/>
    <n v="1"/>
    <x v="0"/>
    <s v="Retail"/>
  </r>
  <r>
    <n v="194"/>
    <n v="1938.06"/>
    <n v="970"/>
    <n v="968.06"/>
    <x v="0"/>
    <n v="2"/>
    <x v="2"/>
    <s v="Retail"/>
  </r>
  <r>
    <n v="49"/>
    <n v="342.51"/>
    <n v="171.5"/>
    <n v="171.01"/>
    <x v="0"/>
    <n v="2"/>
    <x v="0"/>
    <s v="Retail"/>
  </r>
  <r>
    <n v="209"/>
    <n v="3030.5"/>
    <n v="1672"/>
    <n v="1358.5"/>
    <x v="0"/>
    <n v="1"/>
    <x v="2"/>
    <s v="Online"/>
  </r>
  <r>
    <n v="105"/>
    <n v="630"/>
    <n v="315"/>
    <n v="315"/>
    <x v="0"/>
    <n v="3"/>
    <x v="3"/>
    <s v="Online"/>
  </r>
  <r>
    <n v="130"/>
    <n v="260"/>
    <n v="130"/>
    <n v="130"/>
    <x v="0"/>
    <n v="1"/>
    <x v="0"/>
    <s v="Online"/>
  </r>
  <r>
    <n v="48"/>
    <n v="432"/>
    <n v="288"/>
    <n v="144"/>
    <x v="0"/>
    <n v="3"/>
    <x v="3"/>
    <s v="Online"/>
  </r>
  <r>
    <n v="160"/>
    <n v="2320"/>
    <n v="1280"/>
    <n v="1040"/>
    <x v="0"/>
    <n v="3"/>
    <x v="2"/>
    <s v="Direct"/>
  </r>
  <r>
    <n v="179"/>
    <n v="2595.5"/>
    <n v="1432"/>
    <n v="1163.5"/>
    <x v="0"/>
    <n v="1"/>
    <x v="3"/>
    <s v="Retail"/>
  </r>
  <r>
    <n v="180"/>
    <n v="1258.2"/>
    <n v="630"/>
    <n v="628.20000000000005"/>
    <x v="0"/>
    <n v="1"/>
    <x v="4"/>
    <s v="Online"/>
  </r>
  <r>
    <n v="171"/>
    <n v="2479.5"/>
    <n v="1368"/>
    <n v="1111.5"/>
    <x v="0"/>
    <n v="3"/>
    <x v="2"/>
    <s v="Retail"/>
  </r>
  <r>
    <n v="107"/>
    <n v="695.5"/>
    <n v="374.5"/>
    <n v="321"/>
    <x v="0"/>
    <n v="2"/>
    <x v="0"/>
    <s v="Online"/>
  </r>
  <r>
    <n v="189"/>
    <n v="1321.1100000000001"/>
    <n v="661.5"/>
    <n v="659.61000000000013"/>
    <x v="0"/>
    <n v="2"/>
    <x v="4"/>
    <s v="Online"/>
  </r>
  <r>
    <n v="161"/>
    <n v="483"/>
    <n v="241.5"/>
    <n v="241.5"/>
    <x v="0"/>
    <n v="1"/>
    <x v="0"/>
    <s v="Retail"/>
  </r>
  <r>
    <n v="150"/>
    <n v="2175"/>
    <n v="1200"/>
    <n v="975"/>
    <x v="0"/>
    <n v="3"/>
    <x v="4"/>
    <s v="Retail"/>
  </r>
  <r>
    <n v="85"/>
    <n v="594.15"/>
    <n v="297.5"/>
    <n v="296.64999999999998"/>
    <x v="0"/>
    <n v="2"/>
    <x v="3"/>
    <s v="Retail"/>
  </r>
  <r>
    <n v="85"/>
    <n v="849.15"/>
    <n v="425"/>
    <n v="424.15"/>
    <x v="0"/>
    <n v="3"/>
    <x v="3"/>
    <s v="Retail"/>
  </r>
  <r>
    <n v="58"/>
    <n v="261"/>
    <n v="145"/>
    <n v="116"/>
    <x v="0"/>
    <n v="2"/>
    <x v="3"/>
    <s v="Retail"/>
  </r>
  <r>
    <n v="93"/>
    <n v="279"/>
    <n v="139.5"/>
    <n v="139.5"/>
    <x v="0"/>
    <n v="1"/>
    <x v="0"/>
    <s v="Online"/>
  </r>
  <r>
    <n v="154"/>
    <n v="1001"/>
    <n v="539"/>
    <n v="462"/>
    <x v="0"/>
    <n v="1"/>
    <x v="3"/>
    <s v="Retail"/>
  </r>
  <r>
    <n v="194"/>
    <n v="774.06000000000006"/>
    <n v="388"/>
    <n v="386.06000000000006"/>
    <x v="0"/>
    <n v="3"/>
    <x v="3"/>
    <s v="Retail"/>
  </r>
  <r>
    <n v="40"/>
    <n v="279.60000000000002"/>
    <n v="140"/>
    <n v="139.60000000000002"/>
    <x v="0"/>
    <n v="1"/>
    <x v="1"/>
    <s v="Retail"/>
  </r>
  <r>
    <n v="193"/>
    <n v="579"/>
    <n v="289.5"/>
    <n v="289.5"/>
    <x v="0"/>
    <n v="2"/>
    <x v="1"/>
    <s v="Retail"/>
  </r>
  <r>
    <n v="79"/>
    <n v="711"/>
    <n v="474"/>
    <n v="237"/>
    <x v="0"/>
    <n v="3"/>
    <x v="0"/>
    <s v="Retail"/>
  </r>
  <r>
    <n v="118"/>
    <n v="767"/>
    <n v="413"/>
    <n v="354"/>
    <x v="0"/>
    <n v="1"/>
    <x v="0"/>
    <s v="Online"/>
  </r>
  <r>
    <n v="182"/>
    <n v="1183"/>
    <n v="637"/>
    <n v="546"/>
    <x v="0"/>
    <n v="1"/>
    <x v="0"/>
    <s v="Online"/>
  </r>
  <r>
    <n v="199"/>
    <n v="794.01"/>
    <n v="398"/>
    <n v="396.01"/>
    <x v="0"/>
    <n v="3"/>
    <x v="3"/>
    <s v="Online"/>
  </r>
  <r>
    <n v="83"/>
    <n v="829.17000000000007"/>
    <n v="415"/>
    <n v="414.17000000000007"/>
    <x v="0"/>
    <n v="1"/>
    <x v="1"/>
    <s v="Retail"/>
  </r>
  <r>
    <n v="115"/>
    <n v="230"/>
    <n v="115"/>
    <n v="115"/>
    <x v="0"/>
    <n v="3"/>
    <x v="5"/>
    <s v="Online"/>
  </r>
  <r>
    <n v="137"/>
    <n v="822"/>
    <n v="411"/>
    <n v="411"/>
    <x v="0"/>
    <n v="2"/>
    <x v="0"/>
    <s v="Online"/>
  </r>
  <r>
    <n v="37"/>
    <n v="74"/>
    <n v="37"/>
    <n v="37"/>
    <x v="0"/>
    <n v="1"/>
    <x v="2"/>
    <s v="Online"/>
  </r>
  <r>
    <n v="140"/>
    <n v="840"/>
    <n v="420"/>
    <n v="420"/>
    <x v="0"/>
    <n v="2"/>
    <x v="1"/>
    <s v="Direct"/>
  </r>
  <r>
    <n v="49"/>
    <n v="195.51000000000002"/>
    <n v="98"/>
    <n v="97.510000000000019"/>
    <x v="0"/>
    <n v="1"/>
    <x v="0"/>
    <s v="Retail"/>
  </r>
  <r>
    <n v="74"/>
    <n v="517.26"/>
    <n v="259"/>
    <n v="258.26"/>
    <x v="0"/>
    <n v="3"/>
    <x v="2"/>
    <s v="Online"/>
  </r>
  <r>
    <n v="23"/>
    <n v="103.5"/>
    <n v="57.5"/>
    <n v="46"/>
    <x v="0"/>
    <n v="2"/>
    <x v="4"/>
    <s v="Retail"/>
  </r>
  <r>
    <n v="116"/>
    <n v="232"/>
    <n v="116"/>
    <n v="116"/>
    <x v="0"/>
    <n v="3"/>
    <x v="3"/>
    <s v="Online"/>
  </r>
  <r>
    <n v="190"/>
    <n v="2755"/>
    <n v="1520"/>
    <n v="1235"/>
    <x v="0"/>
    <n v="3"/>
    <x v="0"/>
    <s v="Retail"/>
  </r>
  <r>
    <n v="151"/>
    <n v="1055.49"/>
    <n v="528.5"/>
    <n v="526.99"/>
    <x v="0"/>
    <n v="2"/>
    <x v="0"/>
    <s v="Online"/>
  </r>
  <r>
    <n v="133"/>
    <n v="598.5"/>
    <n v="332.5"/>
    <n v="266"/>
    <x v="0"/>
    <n v="3"/>
    <x v="5"/>
    <s v="Retail"/>
  </r>
  <r>
    <n v="182"/>
    <n v="364"/>
    <n v="182"/>
    <n v="182"/>
    <x v="0"/>
    <n v="1"/>
    <x v="4"/>
    <s v="Online"/>
  </r>
  <r>
    <n v="203"/>
    <n v="1418.97"/>
    <n v="710.5"/>
    <n v="708.47"/>
    <x v="0"/>
    <n v="1"/>
    <x v="3"/>
    <s v="Online"/>
  </r>
  <r>
    <n v="170"/>
    <n v="678.30000000000007"/>
    <n v="340"/>
    <n v="338.30000000000007"/>
    <x v="1"/>
    <n v="12"/>
    <x v="1"/>
    <s v="Online"/>
  </r>
  <r>
    <n v="190"/>
    <n v="1140"/>
    <n v="570"/>
    <n v="570"/>
    <x v="0"/>
    <n v="2"/>
    <x v="4"/>
    <s v="Online"/>
  </r>
  <r>
    <n v="211"/>
    <n v="1474.89"/>
    <n v="738.5"/>
    <n v="736.3900000000001"/>
    <x v="0"/>
    <n v="1"/>
    <x v="3"/>
    <s v="Retail"/>
  </r>
  <r>
    <n v="179"/>
    <n v="1074"/>
    <n v="537"/>
    <n v="537"/>
    <x v="0"/>
    <n v="2"/>
    <x v="3"/>
    <s v="Online"/>
  </r>
  <r>
    <n v="142"/>
    <n v="639"/>
    <n v="355"/>
    <n v="284"/>
    <x v="0"/>
    <n v="1"/>
    <x v="3"/>
    <s v="Retail"/>
  </r>
  <r>
    <n v="19"/>
    <n v="57"/>
    <n v="28.5"/>
    <n v="28.5"/>
    <x v="0"/>
    <n v="3"/>
    <x v="5"/>
    <s v="Retail"/>
  </r>
  <r>
    <n v="108"/>
    <n v="702"/>
    <n v="378"/>
    <n v="324"/>
    <x v="0"/>
    <n v="1"/>
    <x v="2"/>
    <s v="Online"/>
  </r>
  <r>
    <n v="62"/>
    <n v="619.38"/>
    <n v="310"/>
    <n v="309.38"/>
    <x v="0"/>
    <n v="1"/>
    <x v="5"/>
    <s v="Online"/>
  </r>
  <r>
    <n v="50"/>
    <n v="300"/>
    <n v="150"/>
    <n v="150"/>
    <x v="0"/>
    <n v="2"/>
    <x v="2"/>
    <s v="Online"/>
  </r>
  <r>
    <n v="156"/>
    <n v="1404"/>
    <n v="936"/>
    <n v="468"/>
    <x v="0"/>
    <n v="3"/>
    <x v="0"/>
    <s v="Retail"/>
  </r>
  <r>
    <n v="171"/>
    <n v="682.29000000000008"/>
    <n v="342"/>
    <n v="340.29000000000008"/>
    <x v="0"/>
    <n v="2"/>
    <x v="1"/>
    <s v="Online"/>
  </r>
  <r>
    <n v="164"/>
    <n v="1066"/>
    <n v="574"/>
    <n v="492"/>
    <x v="0"/>
    <n v="1"/>
    <x v="3"/>
    <s v="Online"/>
  </r>
  <r>
    <n v="34"/>
    <n v="306"/>
    <n v="204"/>
    <n v="102"/>
    <x v="0"/>
    <n v="3"/>
    <x v="4"/>
    <s v="Online"/>
  </r>
  <r>
    <n v="189"/>
    <n v="567"/>
    <n v="283.5"/>
    <n v="283.5"/>
    <x v="0"/>
    <n v="1"/>
    <x v="0"/>
    <s v="Online"/>
  </r>
  <r>
    <n v="145"/>
    <n v="435"/>
    <n v="217.5"/>
    <n v="217.5"/>
    <x v="0"/>
    <n v="1"/>
    <x v="0"/>
    <s v="Retail"/>
  </r>
  <r>
    <n v="92"/>
    <n v="919.08"/>
    <n v="460"/>
    <n v="459.08000000000004"/>
    <x v="0"/>
    <n v="1"/>
    <x v="3"/>
    <s v="Online"/>
  </r>
  <r>
    <n v="45"/>
    <n v="135"/>
    <n v="67.5"/>
    <n v="67.5"/>
    <x v="1"/>
    <n v="12"/>
    <x v="4"/>
    <s v="Retail"/>
  </r>
  <r>
    <n v="81"/>
    <n v="729"/>
    <n v="486"/>
    <n v="243"/>
    <x v="0"/>
    <n v="1"/>
    <x v="0"/>
    <s v="Retail"/>
  </r>
  <r>
    <n v="185"/>
    <n v="1202.5"/>
    <n v="647.5"/>
    <n v="555"/>
    <x v="0"/>
    <n v="2"/>
    <x v="0"/>
    <s v="Direct"/>
  </r>
  <r>
    <n v="161"/>
    <n v="724.5"/>
    <n v="402.5"/>
    <n v="322"/>
    <x v="0"/>
    <n v="1"/>
    <x v="0"/>
    <s v="Retail"/>
  </r>
  <r>
    <n v="12"/>
    <n v="72"/>
    <n v="36"/>
    <n v="36"/>
    <x v="1"/>
    <n v="12"/>
    <x v="0"/>
    <s v="Retail"/>
  </r>
  <r>
    <n v="25"/>
    <n v="249.75"/>
    <n v="125"/>
    <n v="124.75"/>
    <x v="1"/>
    <n v="11"/>
    <x v="5"/>
    <s v="Direct"/>
  </r>
  <r>
    <n v="184"/>
    <n v="552"/>
    <n v="276"/>
    <n v="276"/>
    <x v="1"/>
    <n v="12"/>
    <x v="4"/>
    <s v="Retail"/>
  </r>
  <r>
    <n v="9"/>
    <n v="58.5"/>
    <n v="31.5"/>
    <n v="27"/>
    <x v="1"/>
    <n v="9"/>
    <x v="3"/>
    <s v="Online"/>
  </r>
  <r>
    <n v="37"/>
    <n v="240.5"/>
    <n v="129.5"/>
    <n v="111"/>
    <x v="1"/>
    <n v="12"/>
    <x v="0"/>
    <s v="Online"/>
  </r>
  <r>
    <n v="69"/>
    <n v="275.31"/>
    <n v="138"/>
    <n v="137.31"/>
    <x v="1"/>
    <n v="10"/>
    <x v="0"/>
    <s v="Retail"/>
  </r>
  <r>
    <n v="132"/>
    <n v="594"/>
    <n v="330"/>
    <n v="264"/>
    <x v="1"/>
    <n v="11"/>
    <x v="5"/>
    <s v="Online"/>
  </r>
  <r>
    <n v="141"/>
    <n v="634.5"/>
    <n v="352.5"/>
    <n v="282"/>
    <x v="1"/>
    <n v="9"/>
    <x v="3"/>
    <s v="Online"/>
  </r>
  <r>
    <n v="44"/>
    <n v="396"/>
    <n v="264"/>
    <n v="132"/>
    <x v="1"/>
    <n v="12"/>
    <x v="4"/>
    <s v="Online"/>
  </r>
  <r>
    <n v="210"/>
    <n v="837.90000000000009"/>
    <n v="420"/>
    <n v="417.90000000000009"/>
    <x v="1"/>
    <n v="12"/>
    <x v="4"/>
    <s v="Online"/>
  </r>
  <r>
    <n v="152"/>
    <n v="606.48"/>
    <n v="304"/>
    <n v="302.48"/>
    <x v="1"/>
    <n v="9"/>
    <x v="5"/>
    <s v="Retail"/>
  </r>
  <r>
    <n v="67"/>
    <n v="971.5"/>
    <n v="536"/>
    <n v="435.5"/>
    <x v="1"/>
    <n v="9"/>
    <x v="0"/>
    <s v="Retail"/>
  </r>
  <r>
    <n v="41"/>
    <n v="163.59"/>
    <n v="82"/>
    <n v="81.59"/>
    <x v="1"/>
    <n v="12"/>
    <x v="5"/>
    <s v="Online"/>
  </r>
  <r>
    <n v="61"/>
    <n v="122"/>
    <n v="61"/>
    <n v="61"/>
    <x v="1"/>
    <n v="11"/>
    <x v="3"/>
    <s v="Retail"/>
  </r>
  <r>
    <n v="92"/>
    <n v="276"/>
    <n v="138"/>
    <n v="138"/>
    <x v="1"/>
    <n v="9"/>
    <x v="1"/>
    <s v="Direct"/>
  </r>
  <r>
    <n v="119"/>
    <n v="535.5"/>
    <n v="297.5"/>
    <n v="238"/>
    <x v="1"/>
    <n v="10"/>
    <x v="0"/>
    <s v="Online"/>
  </r>
  <r>
    <n v="119"/>
    <n v="1071"/>
    <n v="714"/>
    <n v="357"/>
    <x v="1"/>
    <n v="11"/>
    <x v="2"/>
    <s v="Online"/>
  </r>
  <r>
    <n v="66"/>
    <n v="396"/>
    <n v="198"/>
    <n v="198"/>
    <x v="1"/>
    <n v="11"/>
    <x v="3"/>
    <s v="Direct"/>
  </r>
  <r>
    <n v="9"/>
    <n v="27"/>
    <n v="13.5"/>
    <n v="13.5"/>
    <x v="1"/>
    <n v="9"/>
    <x v="3"/>
    <s v="Retail"/>
  </r>
  <r>
    <n v="96"/>
    <n v="432"/>
    <n v="240"/>
    <n v="192"/>
    <x v="1"/>
    <n v="9"/>
    <x v="2"/>
    <s v="Online"/>
  </r>
  <r>
    <n v="104"/>
    <n v="414.96000000000004"/>
    <n v="208"/>
    <n v="206.96000000000004"/>
    <x v="1"/>
    <n v="12"/>
    <x v="0"/>
    <s v="Online"/>
  </r>
  <r>
    <n v="180"/>
    <n v="360"/>
    <n v="180"/>
    <n v="180"/>
    <x v="1"/>
    <n v="9"/>
    <x v="2"/>
    <s v="Online"/>
  </r>
  <r>
    <n v="7"/>
    <n v="31.5"/>
    <n v="17.5"/>
    <n v="14"/>
    <x v="1"/>
    <n v="10"/>
    <x v="0"/>
    <s v="Online"/>
  </r>
  <r>
    <n v="109"/>
    <n v="761.91"/>
    <n v="381.5"/>
    <n v="380.40999999999997"/>
    <x v="1"/>
    <n v="11"/>
    <x v="0"/>
    <s v="Direct"/>
  </r>
  <r>
    <n v="146"/>
    <n v="292"/>
    <n v="146"/>
    <n v="146"/>
    <x v="1"/>
    <n v="9"/>
    <x v="3"/>
    <s v="Retail"/>
  </r>
  <r>
    <n v="141"/>
    <n v="985.59"/>
    <n v="493.5"/>
    <n v="492.09000000000003"/>
    <x v="1"/>
    <n v="10"/>
    <x v="3"/>
    <s v="Retail"/>
  </r>
  <r>
    <n v="201"/>
    <n v="801.99"/>
    <n v="402"/>
    <n v="399.99"/>
    <x v="1"/>
    <n v="11"/>
    <x v="2"/>
    <s v="Online"/>
  </r>
  <r>
    <n v="132"/>
    <n v="1914"/>
    <n v="1056"/>
    <n v="858"/>
    <x v="1"/>
    <n v="10"/>
    <x v="2"/>
    <s v="Online"/>
  </r>
  <r>
    <n v="148"/>
    <n v="1034.52"/>
    <n v="518"/>
    <n v="516.52"/>
    <x v="1"/>
    <n v="12"/>
    <x v="5"/>
    <s v="Retail"/>
  </r>
  <r>
    <n v="184"/>
    <n v="1196"/>
    <n v="644"/>
    <n v="552"/>
    <x v="1"/>
    <n v="10"/>
    <x v="3"/>
    <s v="Retail"/>
  </r>
  <r>
    <n v="197"/>
    <n v="1280.5"/>
    <n v="689.5"/>
    <n v="591"/>
    <x v="1"/>
    <n v="11"/>
    <x v="2"/>
    <s v="Online"/>
  </r>
  <r>
    <n v="72"/>
    <n v="468"/>
    <n v="252"/>
    <n v="216"/>
    <x v="1"/>
    <n v="11"/>
    <x v="0"/>
    <s v="Online"/>
  </r>
  <r>
    <n v="46"/>
    <n v="667"/>
    <n v="368"/>
    <n v="299"/>
    <x v="1"/>
    <n v="9"/>
    <x v="0"/>
    <s v="Online"/>
  </r>
  <r>
    <n v="104"/>
    <n v="208"/>
    <n v="104"/>
    <n v="104"/>
    <x v="1"/>
    <n v="11"/>
    <x v="0"/>
    <s v="Online"/>
  </r>
  <r>
    <n v="197"/>
    <n v="591"/>
    <n v="295.5"/>
    <n v="295.5"/>
    <x v="1"/>
    <n v="11"/>
    <x v="3"/>
    <s v="Online"/>
  </r>
  <r>
    <n v="3"/>
    <n v="13.5"/>
    <n v="7.5"/>
    <n v="6"/>
    <x v="1"/>
    <n v="9"/>
    <x v="3"/>
    <s v="Online"/>
  </r>
  <r>
    <n v="202"/>
    <n v="1818"/>
    <n v="1212"/>
    <n v="606"/>
    <x v="1"/>
    <n v="11"/>
    <x v="0"/>
    <s v="Retail"/>
  </r>
  <r>
    <n v="127"/>
    <n v="887.73"/>
    <n v="444.5"/>
    <n v="443.23"/>
    <x v="1"/>
    <n v="11"/>
    <x v="2"/>
    <s v="Online"/>
  </r>
  <r>
    <n v="178"/>
    <n v="356"/>
    <n v="178"/>
    <n v="178"/>
    <x v="1"/>
    <n v="12"/>
    <x v="3"/>
    <s v="Online"/>
  </r>
  <r>
    <n v="54"/>
    <n v="215.46"/>
    <n v="108"/>
    <n v="107.46000000000001"/>
    <x v="1"/>
    <n v="12"/>
    <x v="0"/>
    <s v="Online"/>
  </r>
  <r>
    <n v="169"/>
    <n v="507"/>
    <n v="253.5"/>
    <n v="253.5"/>
    <x v="1"/>
    <n v="9"/>
    <x v="0"/>
    <s v="Online"/>
  </r>
  <r>
    <n v="128"/>
    <n v="832"/>
    <n v="448"/>
    <n v="384"/>
    <x v="1"/>
    <n v="9"/>
    <x v="2"/>
    <s v="Online"/>
  </r>
  <r>
    <n v="2"/>
    <n v="9"/>
    <n v="5"/>
    <n v="4"/>
    <x v="1"/>
    <n v="9"/>
    <x v="3"/>
    <s v="Retail"/>
  </r>
  <r>
    <n v="149"/>
    <n v="594.51"/>
    <n v="298"/>
    <n v="296.51"/>
    <x v="1"/>
    <n v="11"/>
    <x v="5"/>
    <s v="Retail"/>
  </r>
  <r>
    <n v="56"/>
    <n v="364"/>
    <n v="196"/>
    <n v="168"/>
    <x v="1"/>
    <n v="12"/>
    <x v="0"/>
    <s v="Retail"/>
  </r>
  <r>
    <n v="155"/>
    <n v="930"/>
    <n v="465"/>
    <n v="465"/>
    <x v="1"/>
    <n v="10"/>
    <x v="4"/>
    <s v="Online"/>
  </r>
  <r>
    <n v="162"/>
    <n v="324"/>
    <n v="162"/>
    <n v="162"/>
    <x v="1"/>
    <n v="12"/>
    <x v="4"/>
    <s v="Retail"/>
  </r>
  <r>
    <n v="102"/>
    <n v="918"/>
    <n v="612"/>
    <n v="306"/>
    <x v="1"/>
    <n v="10"/>
    <x v="1"/>
    <s v="Direct"/>
  </r>
  <r>
    <n v="66"/>
    <n v="461.34000000000003"/>
    <n v="231"/>
    <n v="230.34000000000003"/>
    <x v="1"/>
    <n v="10"/>
    <x v="2"/>
    <s v="Retail"/>
  </r>
  <r>
    <n v="82"/>
    <n v="1189"/>
    <n v="656"/>
    <n v="533"/>
    <x v="1"/>
    <n v="10"/>
    <x v="4"/>
    <s v="Online"/>
  </r>
  <r>
    <n v="180"/>
    <n v="540"/>
    <n v="270"/>
    <n v="270"/>
    <x v="1"/>
    <n v="10"/>
    <x v="1"/>
    <s v="Online"/>
  </r>
  <r>
    <n v="39"/>
    <n v="389.61"/>
    <n v="195"/>
    <n v="194.61"/>
    <x v="1"/>
    <n v="12"/>
    <x v="2"/>
    <s v="Retail"/>
  </r>
  <r>
    <n v="6"/>
    <n v="27"/>
    <n v="15"/>
    <n v="12"/>
    <x v="1"/>
    <n v="10"/>
    <x v="6"/>
    <s v="Retail"/>
  </r>
  <r>
    <n v="131"/>
    <n v="851.5"/>
    <n v="458.5"/>
    <n v="393"/>
    <x v="1"/>
    <n v="12"/>
    <x v="1"/>
    <s v="Retail"/>
  </r>
  <r>
    <n v="134"/>
    <n v="268"/>
    <n v="134"/>
    <n v="134"/>
    <x v="1"/>
    <n v="11"/>
    <x v="4"/>
    <s v="Retail"/>
  </r>
  <r>
    <n v="212"/>
    <n v="1272"/>
    <n v="636"/>
    <n v="636"/>
    <x v="1"/>
    <n v="11"/>
    <x v="2"/>
    <s v="Online"/>
  </r>
  <r>
    <n v="106"/>
    <n v="1537"/>
    <n v="848"/>
    <n v="689"/>
    <x v="1"/>
    <n v="10"/>
    <x v="3"/>
    <s v="Direct"/>
  </r>
  <r>
    <n v="204"/>
    <n v="813.96"/>
    <n v="408"/>
    <n v="405.96000000000004"/>
    <x v="1"/>
    <n v="9"/>
    <x v="4"/>
    <s v="Online"/>
  </r>
  <r>
    <n v="120"/>
    <n v="360"/>
    <n v="180"/>
    <n v="180"/>
    <x v="1"/>
    <n v="9"/>
    <x v="4"/>
    <s v="Retail"/>
  </r>
  <r>
    <n v="196"/>
    <n v="1274"/>
    <n v="686"/>
    <n v="588"/>
    <x v="1"/>
    <n v="12"/>
    <x v="4"/>
    <s v="Retail"/>
  </r>
  <r>
    <n v="145"/>
    <n v="1305"/>
    <n v="870"/>
    <n v="435"/>
    <x v="1"/>
    <n v="10"/>
    <x v="2"/>
    <s v="Retail"/>
  </r>
  <r>
    <n v="159"/>
    <n v="1111.4100000000001"/>
    <n v="556.5"/>
    <n v="554.91000000000008"/>
    <x v="1"/>
    <n v="11"/>
    <x v="4"/>
    <s v="Direct"/>
  </r>
  <r>
    <n v="196"/>
    <n v="1764"/>
    <n v="1176"/>
    <n v="588"/>
    <x v="1"/>
    <n v="12"/>
    <x v="4"/>
    <s v="Online"/>
  </r>
  <r>
    <n v="120"/>
    <n v="720"/>
    <n v="360"/>
    <n v="360"/>
    <x v="1"/>
    <n v="12"/>
    <x v="3"/>
    <s v="Online"/>
  </r>
  <r>
    <n v="118"/>
    <n v="236"/>
    <n v="118"/>
    <n v="118"/>
    <x v="1"/>
    <n v="12"/>
    <x v="5"/>
    <s v="Online"/>
  </r>
  <r>
    <n v="152"/>
    <n v="2204"/>
    <n v="1216"/>
    <n v="988"/>
    <x v="1"/>
    <n v="12"/>
    <x v="0"/>
    <s v="Online"/>
  </r>
  <r>
    <n v="151"/>
    <n v="1359"/>
    <n v="906"/>
    <n v="453"/>
    <x v="1"/>
    <n v="10"/>
    <x v="0"/>
    <s v="Online"/>
  </r>
  <r>
    <n v="74"/>
    <n v="517.26"/>
    <n v="259"/>
    <n v="258.26"/>
    <x v="1"/>
    <n v="12"/>
    <x v="4"/>
    <s v="Online"/>
  </r>
  <r>
    <n v="47"/>
    <n v="469.53000000000003"/>
    <n v="235"/>
    <n v="234.53000000000003"/>
    <x v="1"/>
    <n v="10"/>
    <x v="0"/>
    <s v="Retail"/>
  </r>
  <r>
    <n v="189"/>
    <n v="754.11"/>
    <n v="378"/>
    <n v="376.11"/>
    <x v="1"/>
    <n v="10"/>
    <x v="0"/>
    <s v="Online"/>
  </r>
  <r>
    <n v="138"/>
    <n v="550.62"/>
    <n v="276"/>
    <n v="274.62"/>
    <x v="1"/>
    <n v="9"/>
    <x v="2"/>
    <s v="Retail"/>
  </r>
  <r>
    <n v="115"/>
    <n v="747.5"/>
    <n v="402.5"/>
    <n v="345"/>
    <x v="1"/>
    <n v="10"/>
    <x v="2"/>
    <s v="Retail"/>
  </r>
  <r>
    <n v="208"/>
    <n v="2077.92"/>
    <n v="1040"/>
    <n v="1037.92"/>
    <x v="1"/>
    <n v="12"/>
    <x v="3"/>
    <s v="Online"/>
  </r>
  <r>
    <n v="166"/>
    <n v="498"/>
    <n v="249"/>
    <n v="249"/>
    <x v="1"/>
    <n v="11"/>
    <x v="5"/>
    <s v="Direct"/>
  </r>
  <r>
    <n v="17"/>
    <n v="118.83"/>
    <n v="59.5"/>
    <n v="59.33"/>
    <x v="1"/>
    <n v="10"/>
    <x v="2"/>
    <s v="Online"/>
  </r>
  <r>
    <n v="195"/>
    <n v="877.5"/>
    <n v="487.5"/>
    <n v="390"/>
    <x v="1"/>
    <n v="10"/>
    <x v="1"/>
    <s v="Online"/>
  </r>
  <r>
    <n v="162"/>
    <n v="1458"/>
    <n v="972"/>
    <n v="486"/>
    <x v="1"/>
    <n v="12"/>
    <x v="0"/>
    <s v="Retail"/>
  </r>
  <r>
    <n v="45"/>
    <n v="652.5"/>
    <n v="360"/>
    <n v="292.5"/>
    <x v="1"/>
    <n v="10"/>
    <x v="2"/>
    <s v="Retail"/>
  </r>
  <r>
    <n v="163"/>
    <n v="1059.5"/>
    <n v="570.5"/>
    <n v="489"/>
    <x v="1"/>
    <n v="9"/>
    <x v="1"/>
    <s v="Online"/>
  </r>
  <r>
    <n v="131"/>
    <n v="393"/>
    <n v="196.5"/>
    <n v="196.5"/>
    <x v="1"/>
    <n v="11"/>
    <x v="3"/>
    <s v="Online"/>
  </r>
  <r>
    <n v="54"/>
    <n v="243"/>
    <n v="135"/>
    <n v="108"/>
    <x v="1"/>
    <n v="9"/>
    <x v="5"/>
    <s v="Online"/>
  </r>
  <r>
    <n v="117"/>
    <n v="1696.5"/>
    <n v="936"/>
    <n v="760.5"/>
    <x v="1"/>
    <n v="12"/>
    <x v="1"/>
    <s v="Online"/>
  </r>
  <r>
    <n v="128"/>
    <n v="1152"/>
    <n v="768"/>
    <n v="384"/>
    <x v="1"/>
    <n v="12"/>
    <x v="0"/>
    <s v="Online"/>
  </r>
  <r>
    <n v="170"/>
    <n v="1105"/>
    <n v="595"/>
    <n v="510"/>
    <x v="1"/>
    <n v="11"/>
    <x v="3"/>
    <s v="Online"/>
  </r>
  <r>
    <n v="183"/>
    <n v="1189.5"/>
    <n v="640.5"/>
    <n v="549"/>
    <x v="1"/>
    <n v="11"/>
    <x v="3"/>
    <s v="Online"/>
  </r>
  <r>
    <n v="139"/>
    <n v="834"/>
    <n v="417"/>
    <n v="417"/>
    <x v="1"/>
    <n v="11"/>
    <x v="0"/>
    <s v="Online"/>
  </r>
  <r>
    <n v="113"/>
    <n v="508.5"/>
    <n v="282.5"/>
    <n v="226"/>
    <x v="1"/>
    <n v="12"/>
    <x v="3"/>
    <s v="Online"/>
  </r>
  <r>
    <n v="170"/>
    <n v="510"/>
    <n v="255"/>
    <n v="255"/>
    <x v="1"/>
    <n v="11"/>
    <x v="4"/>
    <s v="Online"/>
  </r>
  <r>
    <n v="19"/>
    <n v="114"/>
    <n v="57"/>
    <n v="57"/>
    <x v="1"/>
    <n v="9"/>
    <x v="4"/>
    <s v="Online"/>
  </r>
  <r>
    <n v="93"/>
    <n v="371.07"/>
    <n v="186"/>
    <n v="185.07"/>
    <x v="1"/>
    <n v="12"/>
    <x v="0"/>
    <s v="Retail"/>
  </r>
  <r>
    <n v="10"/>
    <n v="65"/>
    <n v="35"/>
    <n v="30"/>
    <x v="1"/>
    <n v="12"/>
    <x v="5"/>
    <s v="Online"/>
  </r>
  <r>
    <n v="81"/>
    <n v="526.5"/>
    <n v="283.5"/>
    <n v="243"/>
    <x v="1"/>
    <n v="11"/>
    <x v="3"/>
    <s v="Retail"/>
  </r>
  <r>
    <n v="164"/>
    <n v="492"/>
    <n v="246"/>
    <n v="246"/>
    <x v="1"/>
    <n v="9"/>
    <x v="0"/>
    <s v="Online"/>
  </r>
  <r>
    <n v="106"/>
    <n v="318"/>
    <n v="159"/>
    <n v="159"/>
    <x v="1"/>
    <n v="10"/>
    <x v="2"/>
    <s v="Online"/>
  </r>
  <r>
    <n v="26"/>
    <n v="103.74000000000001"/>
    <n v="52"/>
    <n v="51.740000000000009"/>
    <x v="1"/>
    <n v="10"/>
    <x v="3"/>
    <s v="Online"/>
  </r>
  <r>
    <n v="183"/>
    <n v="1098"/>
    <n v="549"/>
    <n v="549"/>
    <x v="1"/>
    <n v="11"/>
    <x v="0"/>
    <s v="Retail"/>
  </r>
  <r>
    <n v="81"/>
    <n v="162"/>
    <n v="81"/>
    <n v="81"/>
    <x v="1"/>
    <n v="10"/>
    <x v="5"/>
    <s v="Retail"/>
  </r>
  <r>
    <n v="45"/>
    <n v="405"/>
    <n v="270"/>
    <n v="135"/>
    <x v="1"/>
    <n v="12"/>
    <x v="0"/>
    <s v="Online"/>
  </r>
  <r>
    <n v="148"/>
    <n v="296"/>
    <n v="148"/>
    <n v="148"/>
    <x v="1"/>
    <n v="12"/>
    <x v="2"/>
    <s v="Retail"/>
  </r>
  <r>
    <n v="78"/>
    <n v="779.22"/>
    <n v="390"/>
    <n v="389.22"/>
    <x v="1"/>
    <n v="9"/>
    <x v="0"/>
    <s v="Online"/>
  </r>
  <r>
    <n v="133"/>
    <n v="864.5"/>
    <n v="465.5"/>
    <n v="399"/>
    <x v="1"/>
    <n v="12"/>
    <x v="4"/>
    <s v="Online"/>
  </r>
  <r>
    <n v="17"/>
    <n v="110.5"/>
    <n v="59.5"/>
    <n v="51"/>
    <x v="1"/>
    <n v="9"/>
    <x v="0"/>
    <s v="Retail"/>
  </r>
  <r>
    <n v="145"/>
    <n v="942.5"/>
    <n v="507.5"/>
    <n v="435"/>
    <x v="1"/>
    <n v="12"/>
    <x v="4"/>
    <s v="Online"/>
  </r>
  <r>
    <n v="141"/>
    <n v="423"/>
    <n v="211.5"/>
    <n v="211.5"/>
    <x v="1"/>
    <n v="10"/>
    <x v="0"/>
    <s v="Direct"/>
  </r>
  <r>
    <n v="44"/>
    <n v="286"/>
    <n v="154"/>
    <n v="132"/>
    <x v="1"/>
    <n v="10"/>
    <x v="4"/>
    <s v="Online"/>
  </r>
  <r>
    <n v="167"/>
    <n v="1167.33"/>
    <n v="584.5"/>
    <n v="582.82999999999993"/>
    <x v="1"/>
    <n v="11"/>
    <x v="0"/>
    <s v="Online"/>
  </r>
  <r>
    <n v="143"/>
    <n v="1428.57"/>
    <n v="715"/>
    <n v="713.56999999999994"/>
    <x v="1"/>
    <n v="9"/>
    <x v="1"/>
    <s v="Online"/>
  </r>
  <r>
    <n v="208"/>
    <n v="1248"/>
    <n v="624"/>
    <n v="624"/>
    <x v="1"/>
    <n v="9"/>
    <x v="3"/>
    <s v="Direct"/>
  </r>
  <r>
    <n v="124"/>
    <n v="372"/>
    <n v="186"/>
    <n v="186"/>
    <x v="1"/>
    <n v="12"/>
    <x v="1"/>
    <s v="Online"/>
  </r>
  <r>
    <n v="148"/>
    <n v="444"/>
    <n v="222"/>
    <n v="222"/>
    <x v="1"/>
    <n v="11"/>
    <x v="1"/>
    <s v="Retail"/>
  </r>
  <r>
    <n v="114"/>
    <n v="454.86"/>
    <n v="228"/>
    <n v="226.86"/>
    <x v="1"/>
    <n v="11"/>
    <x v="0"/>
    <s v="Direct"/>
  </r>
  <r>
    <n v="192"/>
    <n v="864"/>
    <n v="480"/>
    <n v="384"/>
    <x v="1"/>
    <n v="9"/>
    <x v="5"/>
    <s v="Online"/>
  </r>
  <r>
    <n v="142"/>
    <n v="426"/>
    <n v="213"/>
    <n v="213"/>
    <x v="1"/>
    <n v="12"/>
    <x v="2"/>
    <s v="Retail"/>
  </r>
  <r>
    <n v="156"/>
    <n v="702"/>
    <n v="390"/>
    <n v="312"/>
    <x v="1"/>
    <n v="12"/>
    <x v="0"/>
    <s v="Retail"/>
  </r>
  <r>
    <n v="123"/>
    <n v="738"/>
    <n v="369"/>
    <n v="369"/>
    <x v="1"/>
    <n v="11"/>
    <x v="3"/>
    <s v="Direct"/>
  </r>
  <r>
    <n v="70"/>
    <n v="140"/>
    <n v="70"/>
    <n v="70"/>
    <x v="1"/>
    <n v="12"/>
    <x v="4"/>
    <s v="Online"/>
  </r>
  <r>
    <n v="161"/>
    <n v="483"/>
    <n v="241.5"/>
    <n v="241.5"/>
    <x v="1"/>
    <n v="11"/>
    <x v="0"/>
    <s v="Online"/>
  </r>
  <r>
    <n v="16"/>
    <n v="144"/>
    <n v="96"/>
    <n v="48"/>
    <x v="1"/>
    <n v="12"/>
    <x v="4"/>
    <s v="Online"/>
  </r>
  <r>
    <n v="163"/>
    <n v="650.37"/>
    <n v="326"/>
    <n v="324.37"/>
    <x v="1"/>
    <n v="11"/>
    <x v="0"/>
    <s v="Online"/>
  </r>
  <r>
    <n v="52"/>
    <n v="104"/>
    <n v="52"/>
    <n v="52"/>
    <x v="1"/>
    <n v="11"/>
    <x v="3"/>
    <s v="Online"/>
  </r>
  <r>
    <n v="39"/>
    <n v="389.61"/>
    <n v="195"/>
    <n v="194.61"/>
    <x v="1"/>
    <n v="12"/>
    <x v="0"/>
    <s v="Retail"/>
  </r>
  <r>
    <n v="67"/>
    <n v="971.5"/>
    <n v="536"/>
    <n v="435.5"/>
    <x v="1"/>
    <n v="9"/>
    <x v="5"/>
    <s v="Retail"/>
  </r>
  <r>
    <n v="30"/>
    <n v="195"/>
    <n v="105"/>
    <n v="90"/>
    <x v="1"/>
    <n v="10"/>
    <x v="4"/>
    <s v="Online"/>
  </r>
  <r>
    <n v="32"/>
    <n v="223.68"/>
    <n v="112"/>
    <n v="111.68"/>
    <x v="1"/>
    <n v="12"/>
    <x v="4"/>
    <s v="Online"/>
  </r>
  <r>
    <n v="48"/>
    <n v="696"/>
    <n v="384"/>
    <n v="312"/>
    <x v="1"/>
    <n v="11"/>
    <x v="5"/>
    <s v="Retail"/>
  </r>
  <r>
    <n v="61"/>
    <n v="183"/>
    <n v="91.5"/>
    <n v="91.5"/>
    <x v="1"/>
    <n v="11"/>
    <x v="3"/>
    <s v="Retail"/>
  </r>
  <r>
    <n v="35"/>
    <n v="70"/>
    <n v="35"/>
    <n v="35"/>
    <x v="1"/>
    <n v="10"/>
    <x v="3"/>
    <s v="Online"/>
  </r>
  <r>
    <n v="81"/>
    <n v="809.19"/>
    <n v="405"/>
    <n v="404.19000000000005"/>
    <x v="1"/>
    <n v="9"/>
    <x v="5"/>
    <s v="Direct"/>
  </r>
  <r>
    <n v="58"/>
    <n v="522"/>
    <n v="348"/>
    <n v="174"/>
    <x v="1"/>
    <n v="9"/>
    <x v="0"/>
    <s v="Online"/>
  </r>
  <r>
    <n v="71"/>
    <n v="426"/>
    <n v="213"/>
    <n v="213"/>
    <x v="1"/>
    <n v="9"/>
    <x v="4"/>
    <s v="Retail"/>
  </r>
  <r>
    <n v="55"/>
    <n v="110"/>
    <n v="55"/>
    <n v="55"/>
    <x v="1"/>
    <n v="9"/>
    <x v="1"/>
    <s v="Retail"/>
  </r>
  <r>
    <n v="34"/>
    <n v="204"/>
    <n v="102"/>
    <n v="102"/>
    <x v="1"/>
    <n v="9"/>
    <x v="4"/>
    <s v="Retail"/>
  </r>
  <r>
    <n v="161"/>
    <n v="483"/>
    <n v="241.5"/>
    <n v="241.5"/>
    <x v="1"/>
    <n v="9"/>
    <x v="3"/>
    <s v="Retail"/>
  </r>
  <r>
    <n v="171"/>
    <n v="1111.5"/>
    <n v="598.5"/>
    <n v="513"/>
    <x v="1"/>
    <n v="10"/>
    <x v="3"/>
    <s v="Retail"/>
  </r>
  <r>
    <n v="188"/>
    <n v="1222"/>
    <n v="658"/>
    <n v="564"/>
    <x v="1"/>
    <n v="12"/>
    <x v="0"/>
    <s v="Online"/>
  </r>
  <r>
    <n v="58"/>
    <n v="174"/>
    <n v="87"/>
    <n v="87"/>
    <x v="1"/>
    <n v="12"/>
    <x v="2"/>
    <s v="Direct"/>
  </r>
  <r>
    <n v="161"/>
    <n v="642.39"/>
    <n v="322"/>
    <n v="320.39"/>
    <x v="1"/>
    <n v="9"/>
    <x v="2"/>
    <s v="Retail"/>
  </r>
  <r>
    <n v="127"/>
    <n v="506.73"/>
    <n v="254"/>
    <n v="252.73000000000002"/>
    <x v="1"/>
    <n v="9"/>
    <x v="3"/>
    <s v="Retail"/>
  </r>
  <r>
    <n v="94"/>
    <n v="657.06000000000006"/>
    <n v="329"/>
    <n v="328.06000000000006"/>
    <x v="1"/>
    <n v="9"/>
    <x v="0"/>
    <s v="Direct"/>
  </r>
  <r>
    <n v="4"/>
    <n v="26"/>
    <n v="14"/>
    <n v="12"/>
    <x v="1"/>
    <n v="12"/>
    <x v="3"/>
    <s v="Retail"/>
  </r>
  <r>
    <n v="83"/>
    <n v="331.17"/>
    <n v="166"/>
    <n v="165.17000000000002"/>
    <x v="1"/>
    <n v="12"/>
    <x v="3"/>
    <s v="Online"/>
  </r>
  <r>
    <n v="22"/>
    <n v="87.78"/>
    <n v="44"/>
    <n v="43.78"/>
    <x v="1"/>
    <n v="9"/>
    <x v="0"/>
    <s v="Online"/>
  </r>
  <r>
    <n v="62"/>
    <n v="619.38"/>
    <n v="310"/>
    <n v="309.38"/>
    <x v="1"/>
    <n v="9"/>
    <x v="0"/>
    <s v="Direct"/>
  </r>
  <r>
    <n v="140"/>
    <n v="1260"/>
    <n v="840"/>
    <n v="420"/>
    <x v="1"/>
    <n v="11"/>
    <x v="4"/>
    <s v="Retail"/>
  </r>
  <r>
    <n v="203"/>
    <n v="1319.5"/>
    <n v="710.5"/>
    <n v="609"/>
    <x v="1"/>
    <n v="12"/>
    <x v="3"/>
    <s v="Online"/>
  </r>
  <r>
    <n v="94"/>
    <n v="846"/>
    <n v="564"/>
    <n v="282"/>
    <x v="1"/>
    <n v="10"/>
    <x v="3"/>
    <s v="Retail"/>
  </r>
  <r>
    <n v="57"/>
    <n v="513"/>
    <n v="342"/>
    <n v="171"/>
    <x v="1"/>
    <n v="10"/>
    <x v="0"/>
    <s v="Online"/>
  </r>
  <r>
    <n v="139"/>
    <n v="554.61"/>
    <n v="278"/>
    <n v="276.61"/>
    <x v="1"/>
    <n v="9"/>
    <x v="3"/>
    <s v="Direct"/>
  </r>
  <r>
    <n v="92"/>
    <n v="414"/>
    <n v="230"/>
    <n v="184"/>
    <x v="1"/>
    <n v="11"/>
    <x v="2"/>
    <s v="Online"/>
  </r>
  <r>
    <n v="23"/>
    <n v="103.5"/>
    <n v="57.5"/>
    <n v="46"/>
    <x v="1"/>
    <n v="10"/>
    <x v="0"/>
    <s v="Retail"/>
  </r>
  <r>
    <n v="60"/>
    <n v="180"/>
    <n v="90"/>
    <n v="90"/>
    <x v="1"/>
    <n v="10"/>
    <x v="3"/>
    <s v="Retail"/>
  </r>
  <r>
    <n v="133"/>
    <n v="266"/>
    <n v="133"/>
    <n v="133"/>
    <x v="1"/>
    <n v="10"/>
    <x v="1"/>
    <s v="Retail"/>
  </r>
  <r>
    <n v="68"/>
    <n v="679.32"/>
    <n v="340"/>
    <n v="339.32000000000005"/>
    <x v="1"/>
    <n v="11"/>
    <x v="2"/>
    <s v="Retail"/>
  </r>
  <r>
    <n v="38"/>
    <n v="171"/>
    <n v="95"/>
    <n v="76"/>
    <x v="1"/>
    <n v="9"/>
    <x v="0"/>
    <s v="Retail"/>
  </r>
  <r>
    <n v="70"/>
    <n v="630"/>
    <n v="420"/>
    <n v="210"/>
    <x v="1"/>
    <n v="12"/>
    <x v="3"/>
    <s v="Retail"/>
  </r>
  <r>
    <n v="63"/>
    <n v="126"/>
    <n v="63"/>
    <n v="63"/>
    <x v="1"/>
    <n v="12"/>
    <x v="3"/>
    <s v="Retail"/>
  </r>
  <r>
    <n v="208"/>
    <n v="829.92000000000007"/>
    <n v="416"/>
    <n v="413.92000000000007"/>
    <x v="1"/>
    <n v="11"/>
    <x v="3"/>
    <s v="Direct"/>
  </r>
  <r>
    <n v="37"/>
    <n v="258.63"/>
    <n v="129.5"/>
    <n v="129.13"/>
    <x v="1"/>
    <n v="10"/>
    <x v="6"/>
    <s v="Online"/>
  </r>
  <r>
    <n v="52"/>
    <n v="754"/>
    <n v="416"/>
    <n v="338"/>
    <x v="1"/>
    <n v="9"/>
    <x v="0"/>
    <s v="Retail"/>
  </r>
  <r>
    <n v="138"/>
    <n v="897"/>
    <n v="483"/>
    <n v="414"/>
    <x v="1"/>
    <n v="12"/>
    <x v="0"/>
    <s v="Retail"/>
  </r>
  <r>
    <n v="182"/>
    <n v="2639"/>
    <n v="1456"/>
    <n v="1183"/>
    <x v="1"/>
    <n v="9"/>
    <x v="0"/>
    <s v="Retail"/>
  </r>
  <r>
    <n v="84"/>
    <n v="252"/>
    <n v="126"/>
    <n v="126"/>
    <x v="1"/>
    <n v="9"/>
    <x v="1"/>
    <s v="Online"/>
  </r>
  <r>
    <n v="172"/>
    <n v="1032"/>
    <n v="516"/>
    <n v="516"/>
    <x v="1"/>
    <n v="12"/>
    <x v="0"/>
    <s v="Retail"/>
  </r>
  <r>
    <n v="208"/>
    <n v="829.92000000000007"/>
    <n v="416"/>
    <n v="413.92000000000007"/>
    <x v="1"/>
    <n v="9"/>
    <x v="4"/>
    <s v="Online"/>
  </r>
  <r>
    <n v="44"/>
    <n v="396"/>
    <n v="264"/>
    <n v="132"/>
    <x v="1"/>
    <n v="10"/>
    <x v="3"/>
    <s v="Online"/>
  </r>
  <r>
    <n v="210"/>
    <n v="630"/>
    <n v="315"/>
    <n v="315"/>
    <x v="1"/>
    <n v="9"/>
    <x v="0"/>
    <s v="Retail"/>
  </r>
  <r>
    <n v="156"/>
    <n v="1090.44"/>
    <n v="546"/>
    <n v="544.44000000000005"/>
    <x v="1"/>
    <n v="10"/>
    <x v="0"/>
    <s v="Retail"/>
  </r>
  <r>
    <n v="181"/>
    <n v="814.5"/>
    <n v="452.5"/>
    <n v="362"/>
    <x v="1"/>
    <n v="11"/>
    <x v="2"/>
    <s v="Retail"/>
  </r>
  <r>
    <n v="98"/>
    <n v="294"/>
    <n v="147"/>
    <n v="147"/>
    <x v="1"/>
    <n v="11"/>
    <x v="3"/>
    <s v="Online"/>
  </r>
  <r>
    <n v="118"/>
    <n v="767"/>
    <n v="413"/>
    <n v="354"/>
    <x v="1"/>
    <n v="11"/>
    <x v="3"/>
    <s v="Retail"/>
  </r>
  <r>
    <n v="161"/>
    <n v="966"/>
    <n v="483"/>
    <n v="483"/>
    <x v="1"/>
    <n v="10"/>
    <x v="3"/>
    <s v="Direct"/>
  </r>
  <r>
    <n v="196"/>
    <n v="1176"/>
    <n v="588"/>
    <n v="588"/>
    <x v="1"/>
    <n v="9"/>
    <x v="4"/>
    <s v="Retail"/>
  </r>
  <r>
    <n v="35"/>
    <n v="244.65"/>
    <n v="122.5"/>
    <n v="122.15"/>
    <x v="1"/>
    <n v="12"/>
    <x v="0"/>
    <s v="Online"/>
  </r>
  <r>
    <n v="47"/>
    <n v="282"/>
    <n v="141"/>
    <n v="141"/>
    <x v="1"/>
    <n v="12"/>
    <x v="1"/>
    <s v="Retail"/>
  </r>
  <r>
    <n v="91"/>
    <n v="909.09"/>
    <n v="455"/>
    <n v="454.09000000000003"/>
    <x v="1"/>
    <n v="12"/>
    <x v="0"/>
    <s v="Online"/>
  </r>
  <r>
    <n v="173"/>
    <n v="690.27"/>
    <n v="346"/>
    <n v="344.27"/>
    <x v="1"/>
    <n v="11"/>
    <x v="3"/>
    <s v="Retail"/>
  </r>
  <r>
    <n v="43"/>
    <n v="279.5"/>
    <n v="150.5"/>
    <n v="129"/>
    <x v="1"/>
    <n v="10"/>
    <x v="3"/>
    <s v="Online"/>
  </r>
  <r>
    <n v="115"/>
    <n v="345"/>
    <n v="172.5"/>
    <n v="172.5"/>
    <x v="1"/>
    <n v="11"/>
    <x v="4"/>
    <s v="Retail"/>
  </r>
  <r>
    <n v="102"/>
    <n v="918"/>
    <n v="612"/>
    <n v="306"/>
    <x v="1"/>
    <n v="9"/>
    <x v="3"/>
    <s v="Online"/>
  </r>
  <r>
    <n v="155"/>
    <n v="1083.45"/>
    <n v="542.5"/>
    <n v="540.95000000000005"/>
    <x v="1"/>
    <n v="11"/>
    <x v="3"/>
    <s v="Online"/>
  </r>
  <r>
    <n v="35"/>
    <n v="227.5"/>
    <n v="122.5"/>
    <n v="105"/>
    <x v="1"/>
    <n v="12"/>
    <x v="1"/>
    <s v="Retail"/>
  </r>
  <r>
    <n v="170"/>
    <n v="678.30000000000007"/>
    <n v="340"/>
    <n v="338.30000000000007"/>
    <x v="1"/>
    <n v="11"/>
    <x v="5"/>
    <s v="Online"/>
  </r>
  <r>
    <n v="42"/>
    <n v="84"/>
    <n v="42"/>
    <n v="42"/>
    <x v="1"/>
    <n v="12"/>
    <x v="1"/>
    <s v="Retail"/>
  </r>
  <r>
    <n v="82"/>
    <n v="327.18"/>
    <n v="164"/>
    <n v="163.18"/>
    <x v="1"/>
    <n v="10"/>
    <x v="0"/>
    <s v="Online"/>
  </r>
  <r>
    <n v="3"/>
    <n v="27"/>
    <n v="18"/>
    <n v="9"/>
    <x v="1"/>
    <n v="11"/>
    <x v="3"/>
    <s v="Online"/>
  </r>
  <r>
    <n v="68"/>
    <n v="442"/>
    <n v="238"/>
    <n v="204"/>
    <x v="1"/>
    <n v="11"/>
    <x v="1"/>
    <s v="Retail"/>
  </r>
  <r>
    <n v="58"/>
    <n v="579.41999999999996"/>
    <n v="290"/>
    <n v="289.41999999999996"/>
    <x v="1"/>
    <n v="10"/>
    <x v="5"/>
    <s v="Online"/>
  </r>
  <r>
    <n v="178"/>
    <n v="1157"/>
    <n v="623"/>
    <n v="534"/>
    <x v="1"/>
    <n v="9"/>
    <x v="2"/>
    <s v="Online"/>
  </r>
  <r>
    <n v="156"/>
    <n v="936"/>
    <n v="468"/>
    <n v="468"/>
    <x v="1"/>
    <n v="12"/>
    <x v="3"/>
    <s v="Online"/>
  </r>
  <r>
    <n v="147"/>
    <n v="661.5"/>
    <n v="367.5"/>
    <n v="294"/>
    <x v="1"/>
    <n v="12"/>
    <x v="5"/>
    <s v="Retail"/>
  </r>
  <r>
    <n v="74"/>
    <n v="148"/>
    <n v="74"/>
    <n v="74"/>
    <x v="1"/>
    <n v="11"/>
    <x v="3"/>
    <s v="Retail"/>
  </r>
  <r>
    <n v="189"/>
    <n v="378"/>
    <n v="189"/>
    <n v="189"/>
    <x v="1"/>
    <n v="11"/>
    <x v="0"/>
    <s v="Direct"/>
  </r>
  <r>
    <n v="104"/>
    <n v="414.96000000000004"/>
    <n v="208"/>
    <n v="206.96000000000004"/>
    <x v="1"/>
    <n v="12"/>
    <x v="6"/>
    <s v="Retail"/>
  </r>
  <r>
    <n v="56"/>
    <n v="559.44000000000005"/>
    <n v="280"/>
    <n v="279.44000000000005"/>
    <x v="1"/>
    <n v="12"/>
    <x v="0"/>
    <s v="Online"/>
  </r>
  <r>
    <n v="33"/>
    <n v="214.5"/>
    <n v="115.5"/>
    <n v="99"/>
    <x v="1"/>
    <n v="10"/>
    <x v="0"/>
    <s v="Direct"/>
  </r>
  <r>
    <n v="204"/>
    <n v="1425.96"/>
    <n v="714"/>
    <n v="711.96"/>
    <x v="1"/>
    <n v="10"/>
    <x v="4"/>
    <s v="Retail"/>
  </r>
  <r>
    <n v="5"/>
    <n v="10"/>
    <n v="5"/>
    <n v="5"/>
    <x v="1"/>
    <n v="12"/>
    <x v="3"/>
    <s v="Retail"/>
  </r>
  <r>
    <n v="199"/>
    <n v="794.01"/>
    <n v="398"/>
    <n v="396.01"/>
    <x v="1"/>
    <n v="12"/>
    <x v="2"/>
    <s v="Direct"/>
  </r>
  <r>
    <n v="129"/>
    <n v="258"/>
    <n v="129"/>
    <n v="129"/>
    <x v="1"/>
    <n v="12"/>
    <x v="1"/>
    <s v="Online"/>
  </r>
  <r>
    <n v="14"/>
    <n v="42"/>
    <n v="21"/>
    <n v="21"/>
    <x v="1"/>
    <n v="8"/>
    <x v="0"/>
    <s v="Online"/>
  </r>
  <r>
    <n v="91"/>
    <n v="591.5"/>
    <n v="318.5"/>
    <n v="273"/>
    <x v="1"/>
    <n v="7"/>
    <x v="4"/>
    <s v="Online"/>
  </r>
  <r>
    <n v="43"/>
    <n v="623.5"/>
    <n v="344"/>
    <n v="279.5"/>
    <x v="1"/>
    <n v="2"/>
    <x v="5"/>
    <s v="Online"/>
  </r>
  <r>
    <n v="140"/>
    <n v="1260"/>
    <n v="840"/>
    <n v="420"/>
    <x v="1"/>
    <n v="4"/>
    <x v="3"/>
    <s v="Retail"/>
  </r>
  <r>
    <n v="38"/>
    <n v="76"/>
    <n v="38"/>
    <n v="38"/>
    <x v="1"/>
    <n v="4"/>
    <x v="3"/>
    <s v="Online"/>
  </r>
  <r>
    <n v="57"/>
    <n v="227.43"/>
    <n v="114"/>
    <n v="113.43"/>
    <x v="1"/>
    <n v="2"/>
    <x v="3"/>
    <s v="Retail"/>
  </r>
  <r>
    <n v="34"/>
    <n v="237.66"/>
    <n v="119"/>
    <n v="118.66"/>
    <x v="1"/>
    <n v="5"/>
    <x v="4"/>
    <s v="Online"/>
  </r>
  <r>
    <n v="4"/>
    <n v="15.96"/>
    <n v="8"/>
    <n v="7.9600000000000009"/>
    <x v="1"/>
    <n v="1"/>
    <x v="0"/>
    <s v="Online"/>
  </r>
  <r>
    <n v="208"/>
    <n v="1352"/>
    <n v="728"/>
    <n v="624"/>
    <x v="1"/>
    <n v="6"/>
    <x v="3"/>
    <s v="Retail"/>
  </r>
  <r>
    <n v="132"/>
    <n v="396"/>
    <n v="198"/>
    <n v="198"/>
    <x v="1"/>
    <n v="5"/>
    <x v="2"/>
    <s v="Retail"/>
  </r>
  <r>
    <n v="94"/>
    <n v="564"/>
    <n v="282"/>
    <n v="282"/>
    <x v="1"/>
    <n v="2"/>
    <x v="2"/>
    <s v="Retail"/>
  </r>
  <r>
    <n v="38"/>
    <n v="551"/>
    <n v="304"/>
    <n v="247"/>
    <x v="1"/>
    <n v="3"/>
    <x v="4"/>
    <s v="Online"/>
  </r>
  <r>
    <n v="159"/>
    <n v="1588.41"/>
    <n v="795"/>
    <n v="793.41000000000008"/>
    <x v="1"/>
    <n v="3"/>
    <x v="4"/>
    <s v="Online"/>
  </r>
  <r>
    <n v="15"/>
    <n v="30"/>
    <n v="15"/>
    <n v="15"/>
    <x v="1"/>
    <n v="1"/>
    <x v="5"/>
    <s v="Online"/>
  </r>
  <r>
    <n v="147"/>
    <n v="1027.53"/>
    <n v="514.5"/>
    <n v="513.03"/>
    <x v="1"/>
    <n v="7"/>
    <x v="2"/>
    <s v="Online"/>
  </r>
  <r>
    <n v="4"/>
    <n v="15.96"/>
    <n v="8"/>
    <n v="7.9600000000000009"/>
    <x v="1"/>
    <n v="1"/>
    <x v="6"/>
    <s v="Online"/>
  </r>
  <r>
    <n v="200"/>
    <n v="1300"/>
    <n v="700"/>
    <n v="600"/>
    <x v="1"/>
    <n v="3"/>
    <x v="0"/>
    <s v="Direct"/>
  </r>
  <r>
    <n v="61"/>
    <n v="609.39"/>
    <n v="305"/>
    <n v="304.39"/>
    <x v="1"/>
    <n v="7"/>
    <x v="3"/>
    <s v="Retail"/>
  </r>
  <r>
    <n v="63"/>
    <n v="567"/>
    <n v="378"/>
    <n v="189"/>
    <x v="1"/>
    <n v="5"/>
    <x v="3"/>
    <s v="Online"/>
  </r>
  <r>
    <n v="129"/>
    <n v="838.5"/>
    <n v="451.5"/>
    <n v="387"/>
    <x v="1"/>
    <n v="5"/>
    <x v="0"/>
    <s v="Retail"/>
  </r>
  <r>
    <n v="48"/>
    <n v="191.52"/>
    <n v="96"/>
    <n v="95.52000000000001"/>
    <x v="1"/>
    <n v="8"/>
    <x v="3"/>
    <s v="Online"/>
  </r>
  <r>
    <n v="192"/>
    <n v="576"/>
    <n v="288"/>
    <n v="288"/>
    <x v="1"/>
    <n v="1"/>
    <x v="1"/>
    <s v="Retail"/>
  </r>
  <r>
    <n v="150"/>
    <n v="450"/>
    <n v="225"/>
    <n v="225"/>
    <x v="1"/>
    <n v="1"/>
    <x v="3"/>
    <s v="Retail"/>
  </r>
  <r>
    <n v="125"/>
    <n v="873.75"/>
    <n v="437.5"/>
    <n v="436.25"/>
    <x v="1"/>
    <n v="8"/>
    <x v="2"/>
    <s v="Retail"/>
  </r>
  <r>
    <n v="135"/>
    <n v="943.65"/>
    <n v="472.5"/>
    <n v="471.15"/>
    <x v="1"/>
    <n v="8"/>
    <x v="4"/>
    <s v="Online"/>
  </r>
  <r>
    <n v="128"/>
    <n v="510.72"/>
    <n v="256"/>
    <n v="254.72000000000003"/>
    <x v="1"/>
    <n v="5"/>
    <x v="1"/>
    <s v="Online"/>
  </r>
  <r>
    <n v="5"/>
    <n v="30"/>
    <n v="15"/>
    <n v="15"/>
    <x v="1"/>
    <n v="7"/>
    <x v="5"/>
    <s v="Online"/>
  </r>
  <r>
    <n v="43"/>
    <n v="171.57000000000002"/>
    <n v="86"/>
    <n v="85.570000000000022"/>
    <x v="1"/>
    <n v="5"/>
    <x v="4"/>
    <s v="Online"/>
  </r>
  <r>
    <n v="44"/>
    <n v="264"/>
    <n v="132"/>
    <n v="132"/>
    <x v="1"/>
    <n v="8"/>
    <x v="5"/>
    <s v="Retail"/>
  </r>
  <r>
    <n v="124"/>
    <n v="494.76000000000005"/>
    <n v="248"/>
    <n v="246.76000000000005"/>
    <x v="1"/>
    <n v="1"/>
    <x v="1"/>
    <s v="Online"/>
  </r>
  <r>
    <n v="42"/>
    <n v="167.58"/>
    <n v="84"/>
    <n v="83.580000000000013"/>
    <x v="1"/>
    <n v="1"/>
    <x v="0"/>
    <s v="Online"/>
  </r>
  <r>
    <n v="187"/>
    <n v="1215.5"/>
    <n v="654.5"/>
    <n v="561"/>
    <x v="1"/>
    <n v="6"/>
    <x v="0"/>
    <s v="Online"/>
  </r>
  <r>
    <n v="147"/>
    <n v="1468.53"/>
    <n v="735"/>
    <n v="733.53"/>
    <x v="1"/>
    <n v="6"/>
    <x v="0"/>
    <s v="Retail"/>
  </r>
  <r>
    <n v="53"/>
    <n v="238.5"/>
    <n v="132.5"/>
    <n v="106"/>
    <x v="1"/>
    <n v="4"/>
    <x v="3"/>
    <s v="Retail"/>
  </r>
  <r>
    <n v="71"/>
    <n v="142"/>
    <n v="71"/>
    <n v="71"/>
    <x v="1"/>
    <n v="4"/>
    <x v="5"/>
    <s v="Online"/>
  </r>
  <r>
    <n v="50"/>
    <n v="325"/>
    <n v="175"/>
    <n v="150"/>
    <x v="1"/>
    <n v="5"/>
    <x v="4"/>
    <s v="Retail"/>
  </r>
  <r>
    <n v="54"/>
    <n v="377.46000000000004"/>
    <n v="189"/>
    <n v="188.46000000000004"/>
    <x v="1"/>
    <n v="4"/>
    <x v="3"/>
    <s v="Online"/>
  </r>
  <r>
    <n v="164"/>
    <n v="984"/>
    <n v="492"/>
    <n v="492"/>
    <x v="1"/>
    <n v="5"/>
    <x v="3"/>
    <s v="Online"/>
  </r>
  <r>
    <n v="77"/>
    <n v="769.23"/>
    <n v="385"/>
    <n v="384.23"/>
    <x v="1"/>
    <n v="3"/>
    <x v="0"/>
    <s v="Online"/>
  </r>
  <r>
    <n v="175"/>
    <n v="1575"/>
    <n v="1050"/>
    <n v="525"/>
    <x v="1"/>
    <n v="8"/>
    <x v="0"/>
    <s v="Online"/>
  </r>
  <r>
    <n v="177"/>
    <n v="796.5"/>
    <n v="442.5"/>
    <n v="354"/>
    <x v="1"/>
    <n v="6"/>
    <x v="0"/>
    <s v="Retail"/>
  </r>
  <r>
    <n v="143"/>
    <n v="1428.57"/>
    <n v="715"/>
    <n v="713.56999999999994"/>
    <x v="1"/>
    <n v="2"/>
    <x v="4"/>
    <s v="Online"/>
  </r>
  <r>
    <n v="183"/>
    <n v="823.5"/>
    <n v="457.5"/>
    <n v="366"/>
    <x v="1"/>
    <n v="2"/>
    <x v="3"/>
    <s v="Retail"/>
  </r>
  <r>
    <n v="25"/>
    <n v="162.5"/>
    <n v="87.5"/>
    <n v="75"/>
    <x v="1"/>
    <n v="7"/>
    <x v="4"/>
    <s v="Online"/>
  </r>
  <r>
    <n v="169"/>
    <n v="1181.31"/>
    <n v="591.5"/>
    <n v="589.80999999999995"/>
    <x v="1"/>
    <n v="6"/>
    <x v="2"/>
    <s v="Retail"/>
  </r>
  <r>
    <n v="98"/>
    <n v="588"/>
    <n v="294"/>
    <n v="294"/>
    <x v="1"/>
    <n v="7"/>
    <x v="0"/>
    <s v="Retail"/>
  </r>
  <r>
    <n v="102"/>
    <n v="918"/>
    <n v="612"/>
    <n v="306"/>
    <x v="1"/>
    <n v="1"/>
    <x v="4"/>
    <s v="Online"/>
  </r>
  <r>
    <n v="29"/>
    <n v="58"/>
    <n v="29"/>
    <n v="29"/>
    <x v="1"/>
    <n v="8"/>
    <x v="0"/>
    <s v="Retail"/>
  </r>
  <r>
    <n v="42"/>
    <n v="293.58"/>
    <n v="147"/>
    <n v="146.57999999999998"/>
    <x v="1"/>
    <n v="5"/>
    <x v="0"/>
    <s v="Online"/>
  </r>
  <r>
    <n v="182"/>
    <n v="726.18000000000006"/>
    <n v="364"/>
    <n v="362.18000000000006"/>
    <x v="1"/>
    <n v="3"/>
    <x v="3"/>
    <s v="Retail"/>
  </r>
  <r>
    <n v="39"/>
    <n v="175.5"/>
    <n v="97.5"/>
    <n v="78"/>
    <x v="1"/>
    <n v="8"/>
    <x v="1"/>
    <s v="Online"/>
  </r>
  <r>
    <n v="166"/>
    <n v="996"/>
    <n v="498"/>
    <n v="498"/>
    <x v="1"/>
    <n v="7"/>
    <x v="4"/>
    <s v="Retail"/>
  </r>
  <r>
    <n v="20"/>
    <n v="139.80000000000001"/>
    <n v="70"/>
    <n v="69.800000000000011"/>
    <x v="1"/>
    <n v="7"/>
    <x v="0"/>
    <s v="Online"/>
  </r>
  <r>
    <n v="5"/>
    <n v="34.950000000000003"/>
    <n v="17.5"/>
    <n v="17.450000000000003"/>
    <x v="1"/>
    <n v="6"/>
    <x v="2"/>
    <s v="Online"/>
  </r>
  <r>
    <n v="179"/>
    <n v="2595.5"/>
    <n v="1432"/>
    <n v="1163.5"/>
    <x v="1"/>
    <n v="1"/>
    <x v="2"/>
    <s v="Retail"/>
  </r>
  <r>
    <n v="169"/>
    <n v="1688.31"/>
    <n v="845"/>
    <n v="843.31"/>
    <x v="1"/>
    <n v="2"/>
    <x v="3"/>
    <s v="Retail"/>
  </r>
  <r>
    <n v="153"/>
    <n v="459"/>
    <n v="229.5"/>
    <n v="229.5"/>
    <x v="1"/>
    <n v="6"/>
    <x v="3"/>
    <s v="Online"/>
  </r>
  <r>
    <n v="199"/>
    <n v="2885.5"/>
    <n v="1592"/>
    <n v="1293.5"/>
    <x v="1"/>
    <n v="5"/>
    <x v="0"/>
    <s v="Retail"/>
  </r>
  <r>
    <n v="41"/>
    <n v="266.5"/>
    <n v="143.5"/>
    <n v="123"/>
    <x v="1"/>
    <n v="2"/>
    <x v="1"/>
    <s v="Retail"/>
  </r>
  <r>
    <n v="197"/>
    <n v="1773"/>
    <n v="1182"/>
    <n v="591"/>
    <x v="1"/>
    <n v="4"/>
    <x v="0"/>
    <s v="Retail"/>
  </r>
  <r>
    <n v="99"/>
    <n v="395.01000000000005"/>
    <n v="198"/>
    <n v="197.01000000000005"/>
    <x v="1"/>
    <n v="3"/>
    <x v="0"/>
    <s v="Online"/>
  </r>
  <r>
    <n v="91"/>
    <n v="819"/>
    <n v="546"/>
    <n v="273"/>
    <x v="1"/>
    <n v="3"/>
    <x v="0"/>
    <s v="Online"/>
  </r>
  <r>
    <n v="125"/>
    <n v="498.75"/>
    <n v="250"/>
    <n v="248.75"/>
    <x v="1"/>
    <n v="2"/>
    <x v="4"/>
    <s v="Online"/>
  </r>
  <r>
    <n v="18"/>
    <n v="54"/>
    <n v="27"/>
    <n v="27"/>
    <x v="1"/>
    <n v="8"/>
    <x v="4"/>
    <s v="Online"/>
  </r>
  <r>
    <n v="159"/>
    <n v="477"/>
    <n v="238.5"/>
    <n v="238.5"/>
    <x v="1"/>
    <n v="3"/>
    <x v="3"/>
    <s v="Online"/>
  </r>
  <r>
    <n v="104"/>
    <n v="624"/>
    <n v="312"/>
    <n v="312"/>
    <x v="1"/>
    <n v="8"/>
    <x v="0"/>
    <s v="Retail"/>
  </r>
  <r>
    <n v="125"/>
    <n v="498.75"/>
    <n v="250"/>
    <n v="248.75"/>
    <x v="1"/>
    <n v="4"/>
    <x v="3"/>
    <s v="Online"/>
  </r>
  <r>
    <n v="25"/>
    <n v="112.5"/>
    <n v="62.5"/>
    <n v="50"/>
    <x v="1"/>
    <n v="6"/>
    <x v="1"/>
    <s v="Retail"/>
  </r>
  <r>
    <n v="183"/>
    <n v="549"/>
    <n v="274.5"/>
    <n v="274.5"/>
    <x v="1"/>
    <n v="1"/>
    <x v="0"/>
    <s v="Online"/>
  </r>
  <r>
    <n v="197"/>
    <n v="786.03000000000009"/>
    <n v="394"/>
    <n v="392.03000000000009"/>
    <x v="1"/>
    <n v="4"/>
    <x v="3"/>
    <s v="Online"/>
  </r>
  <r>
    <n v="84"/>
    <n v="839.16"/>
    <n v="420"/>
    <n v="419.15999999999997"/>
    <x v="1"/>
    <n v="2"/>
    <x v="0"/>
    <s v="Online"/>
  </r>
  <r>
    <n v="198"/>
    <n v="1188"/>
    <n v="594"/>
    <n v="594"/>
    <x v="1"/>
    <n v="1"/>
    <x v="2"/>
    <s v="Retail"/>
  </r>
  <r>
    <n v="206"/>
    <n v="1236"/>
    <n v="618"/>
    <n v="618"/>
    <x v="1"/>
    <n v="7"/>
    <x v="2"/>
    <s v="Online"/>
  </r>
  <r>
    <n v="42"/>
    <n v="609"/>
    <n v="336"/>
    <n v="273"/>
    <x v="1"/>
    <n v="8"/>
    <x v="0"/>
    <s v="Retail"/>
  </r>
  <r>
    <n v="47"/>
    <n v="328.53000000000003"/>
    <n v="164.5"/>
    <n v="164.03000000000003"/>
    <x v="1"/>
    <n v="2"/>
    <x v="1"/>
    <s v="Retail"/>
  </r>
  <r>
    <n v="108"/>
    <n v="754.92000000000007"/>
    <n v="378"/>
    <n v="376.92000000000007"/>
    <x v="1"/>
    <n v="4"/>
    <x v="3"/>
    <s v="Retail"/>
  </r>
  <r>
    <n v="174"/>
    <n v="1216.26"/>
    <n v="609"/>
    <n v="607.26"/>
    <x v="1"/>
    <n v="1"/>
    <x v="5"/>
    <s v="Online"/>
  </r>
  <r>
    <n v="68"/>
    <n v="306"/>
    <n v="170"/>
    <n v="136"/>
    <x v="1"/>
    <n v="7"/>
    <x v="1"/>
    <s v="Retail"/>
  </r>
  <r>
    <n v="108"/>
    <n v="1566"/>
    <n v="864"/>
    <n v="702"/>
    <x v="1"/>
    <n v="4"/>
    <x v="1"/>
    <s v="Online"/>
  </r>
  <r>
    <n v="10"/>
    <n v="39.900000000000006"/>
    <n v="20"/>
    <n v="19.900000000000006"/>
    <x v="1"/>
    <n v="8"/>
    <x v="3"/>
    <s v="Retail"/>
  </r>
  <r>
    <n v="58"/>
    <n v="231.42000000000002"/>
    <n v="116"/>
    <n v="115.42000000000002"/>
    <x v="1"/>
    <n v="4"/>
    <x v="6"/>
    <s v="Retail"/>
  </r>
  <r>
    <n v="203"/>
    <n v="809.97"/>
    <n v="406"/>
    <n v="403.97"/>
    <x v="1"/>
    <n v="2"/>
    <x v="4"/>
    <s v="Online"/>
  </r>
  <r>
    <n v="201"/>
    <n v="603"/>
    <n v="301.5"/>
    <n v="301.5"/>
    <x v="1"/>
    <n v="5"/>
    <x v="2"/>
    <s v="Online"/>
  </r>
  <r>
    <n v="13"/>
    <n v="90.87"/>
    <n v="45.5"/>
    <n v="45.370000000000005"/>
    <x v="1"/>
    <n v="5"/>
    <x v="1"/>
    <s v="Online"/>
  </r>
  <r>
    <n v="168"/>
    <n v="756"/>
    <n v="420"/>
    <n v="336"/>
    <x v="1"/>
    <n v="5"/>
    <x v="0"/>
    <s v="Retail"/>
  </r>
  <r>
    <n v="89"/>
    <n v="801"/>
    <n v="534"/>
    <n v="267"/>
    <x v="1"/>
    <n v="5"/>
    <x v="0"/>
    <s v="Retail"/>
  </r>
  <r>
    <n v="64"/>
    <n v="416"/>
    <n v="224"/>
    <n v="192"/>
    <x v="1"/>
    <n v="6"/>
    <x v="0"/>
    <s v="Retail"/>
  </r>
  <r>
    <n v="12"/>
    <n v="24"/>
    <n v="12"/>
    <n v="12"/>
    <x v="1"/>
    <n v="7"/>
    <x v="3"/>
    <s v="Direct"/>
  </r>
  <r>
    <n v="58"/>
    <n v="231.42000000000002"/>
    <n v="116"/>
    <n v="115.42000000000002"/>
    <x v="1"/>
    <n v="3"/>
    <x v="4"/>
    <s v="Retail"/>
  </r>
  <r>
    <n v="142"/>
    <n v="426"/>
    <n v="213"/>
    <n v="213"/>
    <x v="1"/>
    <n v="3"/>
    <x v="3"/>
    <s v="Online"/>
  </r>
  <r>
    <n v="46"/>
    <n v="92"/>
    <n v="46"/>
    <n v="46"/>
    <x v="1"/>
    <n v="4"/>
    <x v="0"/>
    <s v="Retail"/>
  </r>
  <r>
    <n v="210"/>
    <n v="1260"/>
    <n v="630"/>
    <n v="630"/>
    <x v="1"/>
    <n v="7"/>
    <x v="3"/>
    <s v="Online"/>
  </r>
  <r>
    <n v="130"/>
    <n v="260"/>
    <n v="130"/>
    <n v="130"/>
    <x v="1"/>
    <n v="1"/>
    <x v="2"/>
    <s v="Online"/>
  </r>
  <r>
    <n v="173"/>
    <n v="1557"/>
    <n v="1038"/>
    <n v="519"/>
    <x v="1"/>
    <n v="1"/>
    <x v="0"/>
    <s v="Direct"/>
  </r>
  <r>
    <n v="54"/>
    <n v="243"/>
    <n v="135"/>
    <n v="108"/>
    <x v="1"/>
    <n v="8"/>
    <x v="5"/>
    <s v="Online"/>
  </r>
  <r>
    <n v="44"/>
    <n v="198"/>
    <n v="110"/>
    <n v="88"/>
    <x v="1"/>
    <n v="1"/>
    <x v="5"/>
    <s v="Online"/>
  </r>
  <r>
    <n v="71"/>
    <n v="461.5"/>
    <n v="248.5"/>
    <n v="213"/>
    <x v="1"/>
    <n v="3"/>
    <x v="0"/>
    <s v="Direct"/>
  </r>
  <r>
    <n v="132"/>
    <n v="526.68000000000006"/>
    <n v="264"/>
    <n v="262.68000000000006"/>
    <x v="1"/>
    <n v="5"/>
    <x v="3"/>
    <s v="Online"/>
  </r>
  <r>
    <n v="38"/>
    <n v="247"/>
    <n v="133"/>
    <n v="114"/>
    <x v="1"/>
    <n v="7"/>
    <x v="4"/>
    <s v="Retail"/>
  </r>
  <r>
    <n v="40"/>
    <n v="180"/>
    <n v="100"/>
    <n v="80"/>
    <x v="1"/>
    <n v="3"/>
    <x v="2"/>
    <s v="Retail"/>
  </r>
  <r>
    <n v="58"/>
    <n v="522"/>
    <n v="348"/>
    <n v="174"/>
    <x v="1"/>
    <n v="8"/>
    <x v="2"/>
    <s v="Online"/>
  </r>
  <r>
    <n v="185"/>
    <n v="1293.1500000000001"/>
    <n v="647.5"/>
    <n v="645.65000000000009"/>
    <x v="1"/>
    <n v="5"/>
    <x v="0"/>
    <s v="Retail"/>
  </r>
  <r>
    <n v="61"/>
    <n v="243.39000000000001"/>
    <n v="122"/>
    <n v="121.39000000000001"/>
    <x v="1"/>
    <n v="6"/>
    <x v="5"/>
    <s v="Online"/>
  </r>
  <r>
    <n v="84"/>
    <n v="168"/>
    <n v="84"/>
    <n v="84"/>
    <x v="1"/>
    <n v="6"/>
    <x v="3"/>
    <s v="Retail"/>
  </r>
  <r>
    <n v="119"/>
    <n v="474.81"/>
    <n v="238"/>
    <n v="236.81"/>
    <x v="1"/>
    <n v="1"/>
    <x v="2"/>
    <s v="Online"/>
  </r>
  <r>
    <n v="54"/>
    <n v="783"/>
    <n v="432"/>
    <n v="351"/>
    <x v="1"/>
    <n v="3"/>
    <x v="0"/>
    <s v="Retail"/>
  </r>
  <r>
    <n v="191"/>
    <n v="573"/>
    <n v="286.5"/>
    <n v="286.5"/>
    <x v="1"/>
    <n v="1"/>
    <x v="0"/>
    <s v="Online"/>
  </r>
  <r>
    <n v="181"/>
    <n v="1176.5"/>
    <n v="633.5"/>
    <n v="543"/>
    <x v="1"/>
    <n v="7"/>
    <x v="0"/>
    <s v="Online"/>
  </r>
  <r>
    <n v="99"/>
    <n v="395.01000000000005"/>
    <n v="198"/>
    <n v="197.01000000000005"/>
    <x v="1"/>
    <n v="5"/>
    <x v="4"/>
    <s v="Retail"/>
  </r>
  <r>
    <n v="120"/>
    <n v="720"/>
    <n v="360"/>
    <n v="360"/>
    <x v="1"/>
    <n v="7"/>
    <x v="3"/>
    <s v="Online"/>
  </r>
  <r>
    <n v="38"/>
    <n v="228"/>
    <n v="114"/>
    <n v="114"/>
    <x v="1"/>
    <n v="7"/>
    <x v="2"/>
    <s v="Online"/>
  </r>
  <r>
    <n v="2"/>
    <n v="19.98"/>
    <n v="10"/>
    <n v="9.98"/>
    <x v="1"/>
    <n v="8"/>
    <x v="5"/>
    <s v="Online"/>
  </r>
  <r>
    <n v="99"/>
    <n v="297"/>
    <n v="148.5"/>
    <n v="148.5"/>
    <x v="1"/>
    <n v="7"/>
    <x v="0"/>
    <s v="Retail"/>
  </r>
  <r>
    <n v="136"/>
    <n v="1358.64"/>
    <n v="680"/>
    <n v="678.6400000000001"/>
    <x v="1"/>
    <n v="1"/>
    <x v="0"/>
    <s v="Online"/>
  </r>
  <r>
    <n v="163"/>
    <n v="650.37"/>
    <n v="326"/>
    <n v="324.37"/>
    <x v="1"/>
    <n v="7"/>
    <x v="4"/>
    <s v="Online"/>
  </r>
  <r>
    <n v="97"/>
    <n v="387.03000000000003"/>
    <n v="194"/>
    <n v="193.03000000000003"/>
    <x v="1"/>
    <n v="2"/>
    <x v="0"/>
    <s v="Retail"/>
  </r>
  <r>
    <n v="209"/>
    <n v="1358.5"/>
    <n v="731.5"/>
    <n v="627"/>
    <x v="1"/>
    <n v="4"/>
    <x v="0"/>
    <s v="Retail"/>
  </r>
  <r>
    <n v="33"/>
    <n v="214.5"/>
    <n v="115.5"/>
    <n v="99"/>
    <x v="1"/>
    <n v="3"/>
    <x v="0"/>
    <s v="Retail"/>
  </r>
  <r>
    <n v="80"/>
    <n v="240"/>
    <n v="120"/>
    <n v="120"/>
    <x v="1"/>
    <n v="6"/>
    <x v="0"/>
    <s v="Retail"/>
  </r>
  <r>
    <n v="190"/>
    <n v="1235"/>
    <n v="665"/>
    <n v="570"/>
    <x v="1"/>
    <n v="8"/>
    <x v="2"/>
    <s v="Retail"/>
  </r>
  <r>
    <n v="168"/>
    <n v="336"/>
    <n v="168"/>
    <n v="168"/>
    <x v="1"/>
    <n v="1"/>
    <x v="1"/>
    <s v="Online"/>
  </r>
  <r>
    <n v="12"/>
    <n v="54"/>
    <n v="30"/>
    <n v="24"/>
    <x v="1"/>
    <n v="3"/>
    <x v="5"/>
    <s v="Online"/>
  </r>
  <r>
    <n v="31"/>
    <n v="216.69"/>
    <n v="108.5"/>
    <n v="108.19"/>
    <x v="1"/>
    <n v="4"/>
    <x v="3"/>
    <s v="Direct"/>
  </r>
  <r>
    <n v="51"/>
    <n v="153"/>
    <n v="76.5"/>
    <n v="76.5"/>
    <x v="1"/>
    <n v="4"/>
    <x v="0"/>
    <s v="Retail"/>
  </r>
  <r>
    <n v="135"/>
    <n v="1957.5"/>
    <n v="1080"/>
    <n v="877.5"/>
    <x v="1"/>
    <n v="2"/>
    <x v="0"/>
    <s v="Online"/>
  </r>
  <r>
    <n v="80"/>
    <n v="480"/>
    <n v="240"/>
    <n v="240"/>
    <x v="1"/>
    <n v="6"/>
    <x v="1"/>
    <s v="Online"/>
  </r>
  <r>
    <n v="15"/>
    <n v="97.5"/>
    <n v="52.5"/>
    <n v="45"/>
    <x v="1"/>
    <n v="3"/>
    <x v="1"/>
    <s v="Online"/>
  </r>
  <r>
    <n v="81"/>
    <n v="323.19"/>
    <n v="162"/>
    <n v="161.19"/>
    <x v="1"/>
    <n v="5"/>
    <x v="5"/>
    <s v="Retail"/>
  </r>
  <r>
    <n v="185"/>
    <n v="738.15000000000009"/>
    <n v="370"/>
    <n v="368.15000000000009"/>
    <x v="1"/>
    <n v="2"/>
    <x v="4"/>
    <s v="Retail"/>
  </r>
  <r>
    <n v="3"/>
    <n v="6"/>
    <n v="3"/>
    <n v="3"/>
    <x v="1"/>
    <n v="8"/>
    <x v="5"/>
    <s v="Retail"/>
  </r>
  <r>
    <n v="185"/>
    <n v="1202.5"/>
    <n v="647.5"/>
    <n v="555"/>
    <x v="1"/>
    <n v="2"/>
    <x v="0"/>
    <s v="Retail"/>
  </r>
  <r>
    <n v="127"/>
    <n v="887.73"/>
    <n v="444.5"/>
    <n v="443.23"/>
    <x v="1"/>
    <n v="1"/>
    <x v="3"/>
    <s v="Retail"/>
  </r>
  <r>
    <n v="15"/>
    <n v="135"/>
    <n v="90"/>
    <n v="45"/>
    <x v="1"/>
    <n v="4"/>
    <x v="3"/>
    <s v="Online"/>
  </r>
  <r>
    <n v="133"/>
    <n v="929.67000000000007"/>
    <n v="465.5"/>
    <n v="464.17000000000007"/>
    <x v="1"/>
    <n v="1"/>
    <x v="0"/>
    <s v="Online"/>
  </r>
  <r>
    <n v="138"/>
    <n v="621"/>
    <n v="345"/>
    <n v="276"/>
    <x v="1"/>
    <n v="2"/>
    <x v="4"/>
    <s v="Retail"/>
  </r>
  <r>
    <n v="132"/>
    <n v="264"/>
    <n v="132"/>
    <n v="132"/>
    <x v="1"/>
    <n v="1"/>
    <x v="3"/>
    <s v="Retail"/>
  </r>
  <r>
    <n v="13"/>
    <n v="129.87"/>
    <n v="65"/>
    <n v="64.87"/>
    <x v="1"/>
    <n v="7"/>
    <x v="4"/>
    <s v="Retail"/>
  </r>
  <r>
    <n v="136"/>
    <n v="542.64"/>
    <n v="272"/>
    <n v="270.64"/>
    <x v="1"/>
    <n v="7"/>
    <x v="3"/>
    <s v="Retail"/>
  </r>
  <r>
    <n v="25"/>
    <n v="99.75"/>
    <n v="50"/>
    <n v="49.75"/>
    <x v="1"/>
    <n v="4"/>
    <x v="0"/>
    <s v="Retail"/>
  </r>
  <r>
    <n v="200"/>
    <n v="1800"/>
    <n v="1200"/>
    <n v="600"/>
    <x v="1"/>
    <n v="4"/>
    <x v="0"/>
    <s v="Retail"/>
  </r>
  <r>
    <n v="148"/>
    <n v="590.52"/>
    <n v="296"/>
    <n v="294.52"/>
    <x v="1"/>
    <n v="7"/>
    <x v="5"/>
    <s v="Online"/>
  </r>
  <r>
    <n v="175"/>
    <n v="787.5"/>
    <n v="437.5"/>
    <n v="350"/>
    <x v="1"/>
    <n v="4"/>
    <x v="0"/>
    <s v="Online"/>
  </r>
  <r>
    <n v="44"/>
    <n v="286"/>
    <n v="154"/>
    <n v="132"/>
    <x v="1"/>
    <n v="1"/>
    <x v="0"/>
    <s v="Direct"/>
  </r>
  <r>
    <n v="39"/>
    <n v="389.61"/>
    <n v="195"/>
    <n v="194.61"/>
    <x v="1"/>
    <n v="7"/>
    <x v="0"/>
    <s v="Retail"/>
  </r>
  <r>
    <n v="80"/>
    <n v="1160"/>
    <n v="640"/>
    <n v="520"/>
    <x v="1"/>
    <n v="6"/>
    <x v="3"/>
    <s v="Retail"/>
  </r>
  <r>
    <n v="198"/>
    <n v="790.0200000000001"/>
    <n v="396"/>
    <n v="394.0200000000001"/>
    <x v="1"/>
    <n v="5"/>
    <x v="3"/>
    <s v="Retail"/>
  </r>
  <r>
    <n v="203"/>
    <n v="1319.5"/>
    <n v="710.5"/>
    <n v="609"/>
    <x v="1"/>
    <n v="5"/>
    <x v="0"/>
    <s v="Online"/>
  </r>
  <r>
    <n v="210"/>
    <n v="420"/>
    <n v="210"/>
    <n v="210"/>
    <x v="1"/>
    <n v="1"/>
    <x v="4"/>
    <s v="Direct"/>
  </r>
  <r>
    <n v="94"/>
    <n v="375.06"/>
    <n v="188"/>
    <n v="187.06"/>
    <x v="1"/>
    <n v="1"/>
    <x v="5"/>
    <s v="Online"/>
  </r>
  <r>
    <n v="142"/>
    <n v="992.58"/>
    <n v="497"/>
    <n v="495.58000000000004"/>
    <x v="1"/>
    <n v="6"/>
    <x v="5"/>
    <s v="Online"/>
  </r>
  <r>
    <n v="94"/>
    <n v="423"/>
    <n v="235"/>
    <n v="188"/>
    <x v="1"/>
    <n v="6"/>
    <x v="3"/>
    <s v="Retail"/>
  </r>
  <r>
    <n v="129"/>
    <n v="387"/>
    <n v="193.5"/>
    <n v="193.5"/>
    <x v="1"/>
    <n v="7"/>
    <x v="1"/>
    <s v="Retail"/>
  </r>
  <r>
    <n v="15"/>
    <n v="67.5"/>
    <n v="37.5"/>
    <n v="30"/>
    <x v="1"/>
    <n v="3"/>
    <x v="3"/>
    <s v="Online"/>
  </r>
  <r>
    <n v="155"/>
    <n v="1548.45"/>
    <n v="775"/>
    <n v="773.45"/>
    <x v="1"/>
    <n v="5"/>
    <x v="1"/>
    <s v="Online"/>
  </r>
  <r>
    <n v="120"/>
    <n v="1198.8"/>
    <n v="600"/>
    <n v="598.79999999999995"/>
    <x v="1"/>
    <n v="2"/>
    <x v="3"/>
    <s v="Online"/>
  </r>
  <r>
    <n v="171"/>
    <n v="513"/>
    <n v="256.5"/>
    <n v="256.5"/>
    <x v="1"/>
    <n v="5"/>
    <x v="0"/>
    <s v="Direct"/>
  </r>
  <r>
    <n v="11"/>
    <n v="43.89"/>
    <n v="22"/>
    <n v="21.89"/>
    <x v="1"/>
    <n v="3"/>
    <x v="3"/>
    <s v="Direct"/>
  </r>
  <r>
    <n v="159"/>
    <n v="1588.41"/>
    <n v="795"/>
    <n v="793.41000000000008"/>
    <x v="1"/>
    <n v="7"/>
    <x v="4"/>
    <s v="Retail"/>
  </r>
  <r>
    <n v="66"/>
    <n v="396"/>
    <n v="198"/>
    <n v="198"/>
    <x v="1"/>
    <n v="6"/>
    <x v="0"/>
    <s v="Online"/>
  </r>
  <r>
    <n v="143"/>
    <n v="1287"/>
    <n v="858"/>
    <n v="429"/>
    <x v="1"/>
    <n v="6"/>
    <x v="5"/>
    <s v="Retail"/>
  </r>
  <r>
    <n v="26"/>
    <n v="169"/>
    <n v="91"/>
    <n v="78"/>
    <x v="1"/>
    <n v="5"/>
    <x v="2"/>
    <s v="Retail"/>
  </r>
  <r>
    <n v="190"/>
    <n v="1328.1000000000001"/>
    <n v="665"/>
    <n v="663.10000000000014"/>
    <x v="1"/>
    <n v="5"/>
    <x v="2"/>
    <s v="Online"/>
  </r>
  <r>
    <n v="3"/>
    <n v="20.97"/>
    <n v="10.5"/>
    <n v="10.469999999999999"/>
    <x v="1"/>
    <n v="1"/>
    <x v="0"/>
    <s v="Online"/>
  </r>
  <r>
    <n v="106"/>
    <n v="422.94"/>
    <n v="212"/>
    <n v="210.94"/>
    <x v="1"/>
    <n v="1"/>
    <x v="3"/>
    <s v="Retail"/>
  </r>
  <r>
    <n v="181"/>
    <n v="1086"/>
    <n v="543"/>
    <n v="543"/>
    <x v="1"/>
    <n v="3"/>
    <x v="3"/>
    <s v="Online"/>
  </r>
  <r>
    <n v="141"/>
    <n v="423"/>
    <n v="211.5"/>
    <n v="211.5"/>
    <x v="1"/>
    <n v="1"/>
    <x v="2"/>
    <s v="Retail"/>
  </r>
  <r>
    <n v="64"/>
    <n v="192"/>
    <n v="96"/>
    <n v="96"/>
    <x v="1"/>
    <n v="3"/>
    <x v="0"/>
    <s v="Online"/>
  </r>
  <r>
    <n v="204"/>
    <n v="1836"/>
    <n v="1224"/>
    <n v="612"/>
    <x v="1"/>
    <n v="7"/>
    <x v="3"/>
    <s v="Retail"/>
  </r>
  <r>
    <n v="1"/>
    <n v="3.99"/>
    <n v="2"/>
    <n v="1.9900000000000002"/>
    <x v="1"/>
    <n v="5"/>
    <x v="0"/>
    <s v="Online"/>
  </r>
  <r>
    <n v="21"/>
    <n v="126"/>
    <n v="63"/>
    <n v="63"/>
    <x v="1"/>
    <n v="4"/>
    <x v="0"/>
    <s v="Online"/>
  </r>
  <r>
    <n v="84"/>
    <n v="168"/>
    <n v="84"/>
    <n v="84"/>
    <x v="1"/>
    <n v="7"/>
    <x v="4"/>
    <s v="Online"/>
  </r>
  <r>
    <n v="33"/>
    <n v="131.67000000000002"/>
    <n v="66"/>
    <n v="65.670000000000016"/>
    <x v="1"/>
    <n v="8"/>
    <x v="1"/>
    <s v="Direct"/>
  </r>
  <r>
    <n v="177"/>
    <n v="1062"/>
    <n v="531"/>
    <n v="531"/>
    <x v="1"/>
    <n v="5"/>
    <x v="1"/>
    <s v="Retail"/>
  </r>
  <r>
    <n v="162"/>
    <n v="729"/>
    <n v="405"/>
    <n v="324"/>
    <x v="1"/>
    <n v="3"/>
    <x v="2"/>
    <s v="Online"/>
  </r>
  <r>
    <n v="204"/>
    <n v="1425.96"/>
    <n v="714"/>
    <n v="711.96"/>
    <x v="1"/>
    <n v="8"/>
    <x v="1"/>
    <s v="Online"/>
  </r>
  <r>
    <n v="138"/>
    <n v="964.62"/>
    <n v="483"/>
    <n v="481.62"/>
    <x v="1"/>
    <n v="7"/>
    <x v="0"/>
    <s v="Online"/>
  </r>
  <r>
    <n v="195"/>
    <n v="1755"/>
    <n v="1170"/>
    <n v="585"/>
    <x v="1"/>
    <n v="2"/>
    <x v="2"/>
    <s v="Retail"/>
  </r>
  <r>
    <n v="110"/>
    <n v="330"/>
    <n v="165"/>
    <n v="165"/>
    <x v="1"/>
    <n v="7"/>
    <x v="5"/>
    <s v="Direct"/>
  </r>
  <r>
    <n v="59"/>
    <n v="383.5"/>
    <n v="206.5"/>
    <n v="177"/>
    <x v="1"/>
    <n v="5"/>
    <x v="2"/>
    <s v="Retail"/>
  </r>
  <r>
    <n v="201"/>
    <n v="801.99"/>
    <n v="402"/>
    <n v="399.99"/>
    <x v="1"/>
    <n v="6"/>
    <x v="4"/>
    <s v="Retail"/>
  </r>
  <r>
    <n v="44"/>
    <n v="175.56"/>
    <n v="88"/>
    <n v="87.56"/>
    <x v="1"/>
    <n v="5"/>
    <x v="4"/>
    <s v="Direct"/>
  </r>
  <r>
    <n v="36"/>
    <n v="143.64000000000001"/>
    <n v="72"/>
    <n v="71.640000000000015"/>
    <x v="1"/>
    <n v="8"/>
    <x v="3"/>
    <s v="Retail"/>
  </r>
  <r>
    <n v="11"/>
    <n v="66"/>
    <n v="33"/>
    <n v="33"/>
    <x v="1"/>
    <n v="4"/>
    <x v="0"/>
    <s v="Retail"/>
  </r>
  <r>
    <n v="88"/>
    <n v="351.12"/>
    <n v="176"/>
    <n v="175.12"/>
    <x v="1"/>
    <n v="2"/>
    <x v="3"/>
    <s v="Retail"/>
  </r>
  <r>
    <n v="16"/>
    <n v="63.84"/>
    <n v="32"/>
    <n v="31.840000000000003"/>
    <x v="1"/>
    <n v="8"/>
    <x v="5"/>
    <s v="Online"/>
  </r>
  <r>
    <n v="138"/>
    <n v="621"/>
    <n v="345"/>
    <n v="276"/>
    <x v="1"/>
    <n v="7"/>
    <x v="3"/>
    <s v="Retail"/>
  </r>
  <r>
    <n v="92"/>
    <n v="919.08"/>
    <n v="460"/>
    <n v="459.08000000000004"/>
    <x v="1"/>
    <n v="6"/>
    <x v="3"/>
    <s v="Retail"/>
  </r>
  <r>
    <n v="74"/>
    <n v="295.26"/>
    <n v="148"/>
    <n v="147.26"/>
    <x v="1"/>
    <n v="7"/>
    <x v="3"/>
    <s v="Retail"/>
  </r>
  <r>
    <n v="144"/>
    <n v="288"/>
    <n v="144"/>
    <n v="144"/>
    <x v="1"/>
    <n v="5"/>
    <x v="0"/>
    <s v="Retail"/>
  </r>
  <r>
    <n v="151"/>
    <n v="302"/>
    <n v="151"/>
    <n v="151"/>
    <x v="1"/>
    <n v="3"/>
    <x v="3"/>
    <s v="Direct"/>
  </r>
  <r>
    <n v="11"/>
    <n v="49.5"/>
    <n v="27.5"/>
    <n v="22"/>
    <x v="1"/>
    <n v="3"/>
    <x v="2"/>
    <s v="Retail"/>
  </r>
  <r>
    <n v="15"/>
    <n v="97.5"/>
    <n v="52.5"/>
    <n v="45"/>
    <x v="1"/>
    <n v="4"/>
    <x v="3"/>
    <s v="Online"/>
  </r>
  <r>
    <n v="170"/>
    <n v="678.30000000000007"/>
    <n v="340"/>
    <n v="338.30000000000007"/>
    <x v="1"/>
    <n v="6"/>
    <x v="0"/>
    <s v="Retail"/>
  </r>
  <r>
    <n v="77"/>
    <n v="462"/>
    <n v="231"/>
    <n v="231"/>
    <x v="1"/>
    <n v="5"/>
    <x v="2"/>
    <s v="Retail"/>
  </r>
  <r>
    <n v="6"/>
    <n v="54"/>
    <n v="36"/>
    <n v="18"/>
    <x v="1"/>
    <n v="7"/>
    <x v="1"/>
    <s v="Retail"/>
  </r>
  <r>
    <n v="189"/>
    <n v="1134"/>
    <n v="567"/>
    <n v="567"/>
    <x v="1"/>
    <n v="1"/>
    <x v="4"/>
    <s v="Online"/>
  </r>
  <r>
    <n v="43"/>
    <n v="279.5"/>
    <n v="150.5"/>
    <n v="129"/>
    <x v="1"/>
    <n v="5"/>
    <x v="5"/>
    <s v="Retail"/>
  </r>
  <r>
    <n v="17"/>
    <n v="153"/>
    <n v="102"/>
    <n v="51"/>
    <x v="1"/>
    <n v="2"/>
    <x v="3"/>
    <s v="Retail"/>
  </r>
  <r>
    <n v="80"/>
    <n v="559.20000000000005"/>
    <n v="280"/>
    <n v="279.20000000000005"/>
    <x v="1"/>
    <n v="1"/>
    <x v="3"/>
    <s v="Retail"/>
  </r>
  <r>
    <n v="138"/>
    <n v="897"/>
    <n v="483"/>
    <n v="414"/>
    <x v="1"/>
    <n v="8"/>
    <x v="4"/>
    <s v="Online"/>
  </r>
  <r>
    <m/>
    <m/>
    <m/>
    <m/>
    <x v="2"/>
    <m/>
    <x v="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n v="117"/>
    <n v="234"/>
    <n v="117"/>
    <n v="117"/>
    <x v="0"/>
    <n v="8"/>
    <x v="0"/>
    <x v="0"/>
  </r>
  <r>
    <n v="73"/>
    <n v="474.5"/>
    <n v="255.5"/>
    <n v="219"/>
    <x v="0"/>
    <n v="7"/>
    <x v="1"/>
    <x v="0"/>
  </r>
  <r>
    <n v="205"/>
    <n v="1845"/>
    <n v="1230"/>
    <n v="615"/>
    <x v="0"/>
    <n v="8"/>
    <x v="0"/>
    <x v="1"/>
  </r>
  <r>
    <n v="14"/>
    <n v="139.86000000000001"/>
    <n v="70"/>
    <n v="69.860000000000014"/>
    <x v="0"/>
    <n v="8"/>
    <x v="0"/>
    <x v="1"/>
  </r>
  <r>
    <n v="170"/>
    <n v="678.30000000000007"/>
    <n v="340"/>
    <n v="338.30000000000007"/>
    <x v="0"/>
    <n v="8"/>
    <x v="0"/>
    <x v="1"/>
  </r>
  <r>
    <n v="129"/>
    <n v="387"/>
    <n v="193.5"/>
    <n v="193.5"/>
    <x v="0"/>
    <n v="7"/>
    <x v="2"/>
    <x v="1"/>
  </r>
  <r>
    <n v="82"/>
    <n v="492"/>
    <n v="246"/>
    <n v="246"/>
    <x v="0"/>
    <n v="7"/>
    <x v="1"/>
    <x v="0"/>
  </r>
  <r>
    <n v="116"/>
    <n v="348"/>
    <n v="174"/>
    <n v="174"/>
    <x v="0"/>
    <n v="6"/>
    <x v="3"/>
    <x v="1"/>
  </r>
  <r>
    <n v="67"/>
    <n v="468.33000000000004"/>
    <n v="234.5"/>
    <n v="233.83000000000004"/>
    <x v="0"/>
    <n v="6"/>
    <x v="4"/>
    <x v="0"/>
  </r>
  <r>
    <n v="125"/>
    <n v="873.75"/>
    <n v="437.5"/>
    <n v="436.25"/>
    <x v="0"/>
    <n v="7"/>
    <x v="0"/>
    <x v="1"/>
  </r>
  <r>
    <n v="71"/>
    <n v="461.5"/>
    <n v="248.5"/>
    <n v="213"/>
    <x v="0"/>
    <n v="7"/>
    <x v="4"/>
    <x v="1"/>
  </r>
  <r>
    <n v="22"/>
    <n v="219.78"/>
    <n v="110"/>
    <n v="109.78"/>
    <x v="0"/>
    <n v="8"/>
    <x v="3"/>
    <x v="0"/>
  </r>
  <r>
    <n v="153"/>
    <n v="459"/>
    <n v="229.5"/>
    <n v="229.5"/>
    <x v="0"/>
    <n v="8"/>
    <x v="3"/>
    <x v="1"/>
  </r>
  <r>
    <n v="141"/>
    <n v="1269"/>
    <n v="846"/>
    <n v="423"/>
    <x v="0"/>
    <n v="7"/>
    <x v="5"/>
    <x v="0"/>
  </r>
  <r>
    <n v="65"/>
    <n v="422.5"/>
    <n v="227.5"/>
    <n v="195"/>
    <x v="0"/>
    <n v="8"/>
    <x v="4"/>
    <x v="0"/>
  </r>
  <r>
    <n v="157"/>
    <n v="314"/>
    <n v="157"/>
    <n v="157"/>
    <x v="0"/>
    <n v="7"/>
    <x v="2"/>
    <x v="0"/>
  </r>
  <r>
    <n v="197"/>
    <n v="2856.5"/>
    <n v="1576"/>
    <n v="1280.5"/>
    <x v="0"/>
    <n v="8"/>
    <x v="0"/>
    <x v="0"/>
  </r>
  <r>
    <n v="10"/>
    <n v="30"/>
    <n v="15"/>
    <n v="15"/>
    <x v="0"/>
    <n v="6"/>
    <x v="3"/>
    <x v="0"/>
  </r>
  <r>
    <n v="30"/>
    <n v="209.70000000000002"/>
    <n v="105"/>
    <n v="104.70000000000002"/>
    <x v="0"/>
    <n v="6"/>
    <x v="0"/>
    <x v="1"/>
  </r>
  <r>
    <n v="134"/>
    <n v="603"/>
    <n v="335"/>
    <n v="268"/>
    <x v="0"/>
    <n v="7"/>
    <x v="0"/>
    <x v="2"/>
  </r>
  <r>
    <n v="100"/>
    <n v="600"/>
    <n v="300"/>
    <n v="300"/>
    <x v="0"/>
    <n v="8"/>
    <x v="0"/>
    <x v="1"/>
  </r>
  <r>
    <n v="142"/>
    <n v="2059"/>
    <n v="1136"/>
    <n v="923"/>
    <x v="0"/>
    <n v="6"/>
    <x v="5"/>
    <x v="1"/>
  </r>
  <r>
    <n v="135"/>
    <n v="538.65"/>
    <n v="270"/>
    <n v="268.64999999999998"/>
    <x v="0"/>
    <n v="6"/>
    <x v="5"/>
    <x v="0"/>
  </r>
  <r>
    <n v="9"/>
    <n v="40.5"/>
    <n v="22.5"/>
    <n v="18"/>
    <x v="0"/>
    <n v="7"/>
    <x v="0"/>
    <x v="1"/>
  </r>
  <r>
    <n v="69"/>
    <n v="621"/>
    <n v="414"/>
    <n v="207"/>
    <x v="0"/>
    <n v="8"/>
    <x v="2"/>
    <x v="0"/>
  </r>
  <r>
    <n v="189"/>
    <n v="754.11"/>
    <n v="378"/>
    <n v="376.11"/>
    <x v="0"/>
    <n v="6"/>
    <x v="5"/>
    <x v="0"/>
  </r>
  <r>
    <n v="141"/>
    <n v="1408.59"/>
    <n v="705"/>
    <n v="703.58999999999992"/>
    <x v="0"/>
    <n v="6"/>
    <x v="3"/>
    <x v="0"/>
  </r>
  <r>
    <n v="166"/>
    <n v="2407"/>
    <n v="1328"/>
    <n v="1079"/>
    <x v="0"/>
    <n v="8"/>
    <x v="4"/>
    <x v="0"/>
  </r>
  <r>
    <n v="170"/>
    <n v="1530"/>
    <n v="1020"/>
    <n v="510"/>
    <x v="0"/>
    <n v="8"/>
    <x v="2"/>
    <x v="1"/>
  </r>
  <r>
    <n v="199"/>
    <n v="1791"/>
    <n v="1194"/>
    <n v="597"/>
    <x v="0"/>
    <n v="8"/>
    <x v="3"/>
    <x v="1"/>
  </r>
  <r>
    <n v="73"/>
    <n v="1058.5"/>
    <n v="584"/>
    <n v="474.5"/>
    <x v="0"/>
    <n v="7"/>
    <x v="5"/>
    <x v="0"/>
  </r>
  <r>
    <n v="117"/>
    <n v="234"/>
    <n v="117"/>
    <n v="117"/>
    <x v="0"/>
    <n v="6"/>
    <x v="0"/>
    <x v="1"/>
  </r>
  <r>
    <n v="160"/>
    <n v="1440"/>
    <n v="960"/>
    <n v="480"/>
    <x v="0"/>
    <n v="6"/>
    <x v="0"/>
    <x v="1"/>
  </r>
  <r>
    <n v="45"/>
    <n v="90"/>
    <n v="45"/>
    <n v="45"/>
    <x v="0"/>
    <n v="6"/>
    <x v="5"/>
    <x v="0"/>
  </r>
  <r>
    <n v="37"/>
    <n v="536.5"/>
    <n v="296"/>
    <n v="240.5"/>
    <x v="0"/>
    <n v="6"/>
    <x v="3"/>
    <x v="1"/>
  </r>
  <r>
    <n v="135"/>
    <n v="1215"/>
    <n v="810"/>
    <n v="405"/>
    <x v="0"/>
    <n v="8"/>
    <x v="3"/>
    <x v="0"/>
  </r>
  <r>
    <n v="12"/>
    <n v="47.88"/>
    <n v="24"/>
    <n v="23.880000000000003"/>
    <x v="0"/>
    <n v="7"/>
    <x v="4"/>
    <x v="2"/>
  </r>
  <r>
    <n v="104"/>
    <n v="414.96000000000004"/>
    <n v="208"/>
    <n v="206.96000000000004"/>
    <x v="0"/>
    <n v="6"/>
    <x v="0"/>
    <x v="1"/>
  </r>
  <r>
    <n v="167"/>
    <n v="1668.33"/>
    <n v="835"/>
    <n v="833.32999999999993"/>
    <x v="0"/>
    <n v="7"/>
    <x v="5"/>
    <x v="0"/>
  </r>
  <r>
    <n v="108"/>
    <n v="754.92000000000007"/>
    <n v="378"/>
    <n v="376.92000000000007"/>
    <x v="0"/>
    <n v="7"/>
    <x v="0"/>
    <x v="1"/>
  </r>
  <r>
    <n v="105"/>
    <n v="682.5"/>
    <n v="367.5"/>
    <n v="315"/>
    <x v="0"/>
    <n v="7"/>
    <x v="1"/>
    <x v="1"/>
  </r>
  <r>
    <n v="176"/>
    <n v="2552"/>
    <n v="1408"/>
    <n v="1144"/>
    <x v="0"/>
    <n v="8"/>
    <x v="4"/>
    <x v="1"/>
  </r>
  <r>
    <n v="131"/>
    <n v="522.69000000000005"/>
    <n v="262"/>
    <n v="260.69000000000005"/>
    <x v="0"/>
    <n v="6"/>
    <x v="5"/>
    <x v="0"/>
  </r>
  <r>
    <n v="188"/>
    <n v="1692"/>
    <n v="1128"/>
    <n v="564"/>
    <x v="0"/>
    <n v="8"/>
    <x v="0"/>
    <x v="1"/>
  </r>
  <r>
    <n v="93"/>
    <n v="604.5"/>
    <n v="325.5"/>
    <n v="279"/>
    <x v="0"/>
    <n v="6"/>
    <x v="4"/>
    <x v="2"/>
  </r>
  <r>
    <n v="113"/>
    <n v="678"/>
    <n v="339"/>
    <n v="339"/>
    <x v="0"/>
    <n v="7"/>
    <x v="1"/>
    <x v="0"/>
  </r>
  <r>
    <n v="112"/>
    <n v="336"/>
    <n v="168"/>
    <n v="168"/>
    <x v="0"/>
    <n v="7"/>
    <x v="0"/>
    <x v="0"/>
  </r>
  <r>
    <n v="201"/>
    <n v="801.99"/>
    <n v="402"/>
    <n v="399.99"/>
    <x v="0"/>
    <n v="6"/>
    <x v="0"/>
    <x v="0"/>
  </r>
  <r>
    <n v="41"/>
    <n v="409.59000000000003"/>
    <n v="205"/>
    <n v="204.59000000000003"/>
    <x v="0"/>
    <n v="6"/>
    <x v="6"/>
    <x v="1"/>
  </r>
  <r>
    <n v="18"/>
    <n v="261"/>
    <n v="144"/>
    <n v="117"/>
    <x v="0"/>
    <n v="6"/>
    <x v="3"/>
    <x v="1"/>
  </r>
  <r>
    <n v="28"/>
    <n v="111.72"/>
    <n v="56"/>
    <n v="55.72"/>
    <x v="0"/>
    <n v="7"/>
    <x v="0"/>
    <x v="0"/>
  </r>
  <r>
    <n v="137"/>
    <n v="274"/>
    <n v="137"/>
    <n v="137"/>
    <x v="0"/>
    <n v="7"/>
    <x v="5"/>
    <x v="0"/>
  </r>
  <r>
    <n v="95"/>
    <n v="949.05000000000007"/>
    <n v="475"/>
    <n v="474.05000000000007"/>
    <x v="0"/>
    <n v="8"/>
    <x v="1"/>
    <x v="1"/>
  </r>
  <r>
    <n v="109"/>
    <n v="434.91"/>
    <n v="218"/>
    <n v="216.91000000000003"/>
    <x v="0"/>
    <n v="7"/>
    <x v="0"/>
    <x v="0"/>
  </r>
  <r>
    <n v="137"/>
    <n v="546.63"/>
    <n v="274"/>
    <n v="272.63"/>
    <x v="0"/>
    <n v="6"/>
    <x v="0"/>
    <x v="2"/>
  </r>
  <r>
    <n v="196"/>
    <n v="782.04000000000008"/>
    <n v="392"/>
    <n v="390.04000000000008"/>
    <x v="0"/>
    <n v="7"/>
    <x v="3"/>
    <x v="0"/>
  </r>
  <r>
    <n v="48"/>
    <n v="312"/>
    <n v="168"/>
    <n v="144"/>
    <x v="0"/>
    <n v="7"/>
    <x v="4"/>
    <x v="1"/>
  </r>
  <r>
    <n v="4"/>
    <n v="8"/>
    <n v="4"/>
    <n v="4"/>
    <x v="0"/>
    <n v="8"/>
    <x v="0"/>
    <x v="0"/>
  </r>
  <r>
    <n v="125"/>
    <n v="750"/>
    <n v="375"/>
    <n v="375"/>
    <x v="0"/>
    <n v="6"/>
    <x v="3"/>
    <x v="2"/>
  </r>
  <r>
    <n v="211"/>
    <n v="422"/>
    <n v="211"/>
    <n v="211"/>
    <x v="0"/>
    <n v="8"/>
    <x v="1"/>
    <x v="0"/>
  </r>
  <r>
    <n v="20"/>
    <n v="60"/>
    <n v="30"/>
    <n v="30"/>
    <x v="0"/>
    <n v="6"/>
    <x v="4"/>
    <x v="0"/>
  </r>
  <r>
    <n v="135"/>
    <n v="405"/>
    <n v="202.5"/>
    <n v="202.5"/>
    <x v="0"/>
    <n v="8"/>
    <x v="2"/>
    <x v="2"/>
  </r>
  <r>
    <n v="193"/>
    <n v="1928.07"/>
    <n v="965"/>
    <n v="963.06999999999994"/>
    <x v="0"/>
    <n v="8"/>
    <x v="0"/>
    <x v="1"/>
  </r>
  <r>
    <n v="184"/>
    <n v="1104"/>
    <n v="552"/>
    <n v="552"/>
    <x v="0"/>
    <n v="6"/>
    <x v="4"/>
    <x v="0"/>
  </r>
  <r>
    <n v="126"/>
    <n v="567"/>
    <n v="315"/>
    <n v="252"/>
    <x v="0"/>
    <n v="8"/>
    <x v="3"/>
    <x v="0"/>
  </r>
  <r>
    <n v="176"/>
    <n v="1144"/>
    <n v="616"/>
    <n v="528"/>
    <x v="0"/>
    <n v="7"/>
    <x v="0"/>
    <x v="0"/>
  </r>
  <r>
    <n v="102"/>
    <n v="1479"/>
    <n v="816"/>
    <n v="663"/>
    <x v="0"/>
    <n v="7"/>
    <x v="3"/>
    <x v="2"/>
  </r>
  <r>
    <n v="203"/>
    <n v="809.97"/>
    <n v="406"/>
    <n v="403.97"/>
    <x v="0"/>
    <n v="7"/>
    <x v="6"/>
    <x v="0"/>
  </r>
  <r>
    <n v="177"/>
    <n v="354"/>
    <n v="177"/>
    <n v="177"/>
    <x v="0"/>
    <n v="8"/>
    <x v="3"/>
    <x v="0"/>
  </r>
  <r>
    <n v="51"/>
    <n v="102"/>
    <n v="51"/>
    <n v="51"/>
    <x v="0"/>
    <n v="8"/>
    <x v="2"/>
    <x v="2"/>
  </r>
  <r>
    <n v="203"/>
    <n v="809.97"/>
    <n v="406"/>
    <n v="403.97"/>
    <x v="0"/>
    <n v="7"/>
    <x v="4"/>
    <x v="1"/>
  </r>
  <r>
    <n v="106"/>
    <n v="422.94"/>
    <n v="212"/>
    <n v="210.94"/>
    <x v="0"/>
    <n v="8"/>
    <x v="3"/>
    <x v="1"/>
  </r>
  <r>
    <n v="14"/>
    <n v="42"/>
    <n v="21"/>
    <n v="21"/>
    <x v="0"/>
    <n v="8"/>
    <x v="0"/>
    <x v="0"/>
  </r>
  <r>
    <n v="116"/>
    <n v="1044"/>
    <n v="696"/>
    <n v="348"/>
    <x v="0"/>
    <n v="8"/>
    <x v="3"/>
    <x v="0"/>
  </r>
  <r>
    <n v="7"/>
    <n v="31.5"/>
    <n v="17.5"/>
    <n v="14"/>
    <x v="0"/>
    <n v="7"/>
    <x v="2"/>
    <x v="1"/>
  </r>
  <r>
    <n v="82"/>
    <n v="573.18000000000006"/>
    <n v="287"/>
    <n v="286.18000000000006"/>
    <x v="0"/>
    <n v="7"/>
    <x v="0"/>
    <x v="0"/>
  </r>
  <r>
    <n v="178"/>
    <n v="710.22"/>
    <n v="356"/>
    <n v="354.22"/>
    <x v="0"/>
    <n v="8"/>
    <x v="4"/>
    <x v="0"/>
  </r>
  <r>
    <n v="41"/>
    <n v="246"/>
    <n v="123"/>
    <n v="123"/>
    <x v="0"/>
    <n v="7"/>
    <x v="3"/>
    <x v="1"/>
  </r>
  <r>
    <n v="85"/>
    <n v="382.5"/>
    <n v="212.5"/>
    <n v="170"/>
    <x v="0"/>
    <n v="7"/>
    <x v="1"/>
    <x v="1"/>
  </r>
  <r>
    <n v="77"/>
    <n v="231"/>
    <n v="115.5"/>
    <n v="115.5"/>
    <x v="0"/>
    <n v="6"/>
    <x v="0"/>
    <x v="1"/>
  </r>
  <r>
    <n v="122"/>
    <n v="486.78000000000003"/>
    <n v="244"/>
    <n v="242.78000000000003"/>
    <x v="0"/>
    <n v="6"/>
    <x v="3"/>
    <x v="0"/>
  </r>
  <r>
    <n v="42"/>
    <n v="419.58"/>
    <n v="210"/>
    <n v="209.57999999999998"/>
    <x v="0"/>
    <n v="8"/>
    <x v="4"/>
    <x v="0"/>
  </r>
  <r>
    <n v="64"/>
    <n v="416"/>
    <n v="224"/>
    <n v="192"/>
    <x v="0"/>
    <n v="8"/>
    <x v="4"/>
    <x v="0"/>
  </r>
  <r>
    <n v="208"/>
    <n v="3016"/>
    <n v="1664"/>
    <n v="1352"/>
    <x v="0"/>
    <n v="8"/>
    <x v="3"/>
    <x v="2"/>
  </r>
  <r>
    <n v="13"/>
    <n v="129.87"/>
    <n v="65"/>
    <n v="64.87"/>
    <x v="0"/>
    <n v="7"/>
    <x v="0"/>
    <x v="1"/>
  </r>
  <r>
    <n v="147"/>
    <n v="1323"/>
    <n v="882"/>
    <n v="441"/>
    <x v="0"/>
    <n v="6"/>
    <x v="2"/>
    <x v="1"/>
  </r>
  <r>
    <n v="163"/>
    <n v="1628.3700000000001"/>
    <n v="815"/>
    <n v="813.37000000000012"/>
    <x v="0"/>
    <n v="8"/>
    <x v="3"/>
    <x v="1"/>
  </r>
  <r>
    <n v="126"/>
    <n v="819"/>
    <n v="441"/>
    <n v="378"/>
    <x v="0"/>
    <n v="7"/>
    <x v="3"/>
    <x v="2"/>
  </r>
  <r>
    <n v="188"/>
    <n v="1692"/>
    <n v="1128"/>
    <n v="564"/>
    <x v="0"/>
    <n v="6"/>
    <x v="0"/>
    <x v="0"/>
  </r>
  <r>
    <n v="151"/>
    <n v="602.49"/>
    <n v="302"/>
    <n v="300.49"/>
    <x v="0"/>
    <n v="8"/>
    <x v="4"/>
    <x v="1"/>
  </r>
  <r>
    <n v="89"/>
    <n v="534"/>
    <n v="267"/>
    <n v="267"/>
    <x v="0"/>
    <n v="7"/>
    <x v="3"/>
    <x v="0"/>
  </r>
  <r>
    <n v="168"/>
    <n v="2436"/>
    <n v="1344"/>
    <n v="1092"/>
    <x v="0"/>
    <n v="6"/>
    <x v="6"/>
    <x v="1"/>
  </r>
  <r>
    <n v="84"/>
    <n v="587.16"/>
    <n v="294"/>
    <n v="293.15999999999997"/>
    <x v="0"/>
    <n v="8"/>
    <x v="0"/>
    <x v="2"/>
  </r>
  <r>
    <n v="16"/>
    <n v="63.84"/>
    <n v="32"/>
    <n v="31.840000000000003"/>
    <x v="0"/>
    <n v="6"/>
    <x v="5"/>
    <x v="2"/>
  </r>
  <r>
    <n v="80"/>
    <n v="319.20000000000005"/>
    <n v="160"/>
    <n v="159.20000000000005"/>
    <x v="0"/>
    <n v="6"/>
    <x v="0"/>
    <x v="1"/>
  </r>
  <r>
    <n v="50"/>
    <n v="300"/>
    <n v="150"/>
    <n v="150"/>
    <x v="0"/>
    <n v="7"/>
    <x v="3"/>
    <x v="0"/>
  </r>
  <r>
    <n v="41"/>
    <n v="409.59000000000003"/>
    <n v="205"/>
    <n v="204.59000000000003"/>
    <x v="0"/>
    <n v="6"/>
    <x v="5"/>
    <x v="0"/>
  </r>
  <r>
    <n v="19"/>
    <n v="38"/>
    <n v="19"/>
    <n v="19"/>
    <x v="0"/>
    <n v="7"/>
    <x v="0"/>
    <x v="1"/>
  </r>
  <r>
    <n v="37"/>
    <n v="258.63"/>
    <n v="129.5"/>
    <n v="129.13"/>
    <x v="0"/>
    <n v="6"/>
    <x v="2"/>
    <x v="0"/>
  </r>
  <r>
    <n v="184"/>
    <n v="1286.1600000000001"/>
    <n v="644"/>
    <n v="642.16000000000008"/>
    <x v="0"/>
    <n v="7"/>
    <x v="0"/>
    <x v="1"/>
  </r>
  <r>
    <n v="179"/>
    <n v="537"/>
    <n v="268.5"/>
    <n v="268.5"/>
    <x v="0"/>
    <n v="8"/>
    <x v="5"/>
    <x v="1"/>
  </r>
  <r>
    <n v="190"/>
    <n v="380"/>
    <n v="190"/>
    <n v="190"/>
    <x v="0"/>
    <n v="7"/>
    <x v="3"/>
    <x v="0"/>
  </r>
  <r>
    <n v="47"/>
    <n v="423"/>
    <n v="282"/>
    <n v="141"/>
    <x v="0"/>
    <n v="7"/>
    <x v="2"/>
    <x v="1"/>
  </r>
  <r>
    <n v="165"/>
    <n v="742.5"/>
    <n v="412.5"/>
    <n v="330"/>
    <x v="0"/>
    <n v="7"/>
    <x v="1"/>
    <x v="1"/>
  </r>
  <r>
    <n v="178"/>
    <n v="356"/>
    <n v="178"/>
    <n v="178"/>
    <x v="0"/>
    <n v="6"/>
    <x v="3"/>
    <x v="1"/>
  </r>
  <r>
    <n v="10"/>
    <n v="39.900000000000006"/>
    <n v="20"/>
    <n v="19.900000000000006"/>
    <x v="0"/>
    <n v="6"/>
    <x v="2"/>
    <x v="0"/>
  </r>
  <r>
    <n v="150"/>
    <n v="675"/>
    <n v="375"/>
    <n v="300"/>
    <x v="0"/>
    <n v="8"/>
    <x v="0"/>
    <x v="0"/>
  </r>
  <r>
    <n v="77"/>
    <n v="500.5"/>
    <n v="269.5"/>
    <n v="231"/>
    <x v="0"/>
    <n v="7"/>
    <x v="3"/>
    <x v="0"/>
  </r>
  <r>
    <n v="63"/>
    <n v="189"/>
    <n v="94.5"/>
    <n v="94.5"/>
    <x v="0"/>
    <n v="6"/>
    <x v="4"/>
    <x v="0"/>
  </r>
  <r>
    <n v="204"/>
    <n v="1425.96"/>
    <n v="714"/>
    <n v="711.96"/>
    <x v="0"/>
    <n v="8"/>
    <x v="1"/>
    <x v="1"/>
  </r>
  <r>
    <n v="22"/>
    <n v="143"/>
    <n v="77"/>
    <n v="66"/>
    <x v="0"/>
    <n v="8"/>
    <x v="0"/>
    <x v="1"/>
  </r>
  <r>
    <n v="95"/>
    <n v="617.5"/>
    <n v="332.5"/>
    <n v="285"/>
    <x v="0"/>
    <n v="7"/>
    <x v="4"/>
    <x v="0"/>
  </r>
  <r>
    <n v="57"/>
    <n v="227.43"/>
    <n v="114"/>
    <n v="113.43"/>
    <x v="0"/>
    <n v="8"/>
    <x v="0"/>
    <x v="1"/>
  </r>
  <r>
    <n v="5"/>
    <n v="34.950000000000003"/>
    <n v="17.5"/>
    <n v="17.450000000000003"/>
    <x v="0"/>
    <n v="6"/>
    <x v="5"/>
    <x v="1"/>
  </r>
  <r>
    <n v="85"/>
    <n v="594.15"/>
    <n v="297.5"/>
    <n v="296.64999999999998"/>
    <x v="0"/>
    <n v="7"/>
    <x v="0"/>
    <x v="1"/>
  </r>
  <r>
    <n v="43"/>
    <n v="279.5"/>
    <n v="150.5"/>
    <n v="129"/>
    <x v="0"/>
    <n v="6"/>
    <x v="0"/>
    <x v="1"/>
  </r>
  <r>
    <n v="157"/>
    <n v="2276.5"/>
    <n v="1256"/>
    <n v="1020.5"/>
    <x v="0"/>
    <n v="6"/>
    <x v="3"/>
    <x v="1"/>
  </r>
  <r>
    <n v="65"/>
    <n v="259.35000000000002"/>
    <n v="130"/>
    <n v="129.35000000000002"/>
    <x v="0"/>
    <n v="8"/>
    <x v="0"/>
    <x v="0"/>
  </r>
  <r>
    <n v="95"/>
    <n v="617.5"/>
    <n v="332.5"/>
    <n v="285"/>
    <x v="0"/>
    <n v="7"/>
    <x v="5"/>
    <x v="0"/>
  </r>
  <r>
    <n v="159"/>
    <n v="1111.4100000000001"/>
    <n v="556.5"/>
    <n v="554.91000000000008"/>
    <x v="0"/>
    <n v="7"/>
    <x v="0"/>
    <x v="1"/>
  </r>
  <r>
    <n v="14"/>
    <n v="84"/>
    <n v="42"/>
    <n v="42"/>
    <x v="0"/>
    <n v="6"/>
    <x v="2"/>
    <x v="0"/>
  </r>
  <r>
    <n v="39"/>
    <n v="272.61"/>
    <n v="136.5"/>
    <n v="136.11000000000001"/>
    <x v="0"/>
    <n v="7"/>
    <x v="0"/>
    <x v="0"/>
  </r>
  <r>
    <n v="9"/>
    <n v="35.910000000000004"/>
    <n v="18"/>
    <n v="17.910000000000004"/>
    <x v="0"/>
    <n v="7"/>
    <x v="3"/>
    <x v="1"/>
  </r>
  <r>
    <n v="50"/>
    <n v="150"/>
    <n v="75"/>
    <n v="75"/>
    <x v="0"/>
    <n v="6"/>
    <x v="3"/>
    <x v="0"/>
  </r>
  <r>
    <n v="107"/>
    <n v="642"/>
    <n v="321"/>
    <n v="321"/>
    <x v="0"/>
    <n v="8"/>
    <x v="0"/>
    <x v="1"/>
  </r>
  <r>
    <n v="118"/>
    <n v="1178.82"/>
    <n v="590"/>
    <n v="588.81999999999994"/>
    <x v="0"/>
    <n v="6"/>
    <x v="3"/>
    <x v="2"/>
  </r>
  <r>
    <n v="39"/>
    <n v="234"/>
    <n v="117"/>
    <n v="117"/>
    <x v="0"/>
    <n v="8"/>
    <x v="3"/>
    <x v="0"/>
  </r>
  <r>
    <n v="126"/>
    <n v="252"/>
    <n v="126"/>
    <n v="126"/>
    <x v="0"/>
    <n v="8"/>
    <x v="3"/>
    <x v="0"/>
  </r>
  <r>
    <n v="176"/>
    <n v="528"/>
    <n v="264"/>
    <n v="264"/>
    <x v="0"/>
    <n v="6"/>
    <x v="2"/>
    <x v="1"/>
  </r>
  <r>
    <n v="111"/>
    <n v="666"/>
    <n v="333"/>
    <n v="333"/>
    <x v="0"/>
    <n v="8"/>
    <x v="0"/>
    <x v="2"/>
  </r>
  <r>
    <n v="71"/>
    <n v="426"/>
    <n v="213"/>
    <n v="213"/>
    <x v="0"/>
    <n v="7"/>
    <x v="2"/>
    <x v="1"/>
  </r>
  <r>
    <n v="113"/>
    <n v="1638.5"/>
    <n v="904"/>
    <n v="734.5"/>
    <x v="0"/>
    <n v="8"/>
    <x v="4"/>
    <x v="2"/>
  </r>
  <r>
    <n v="105"/>
    <n v="1522.5"/>
    <n v="840"/>
    <n v="682.5"/>
    <x v="0"/>
    <n v="7"/>
    <x v="0"/>
    <x v="1"/>
  </r>
  <r>
    <n v="169"/>
    <n v="1098.5"/>
    <n v="591.5"/>
    <n v="507"/>
    <x v="0"/>
    <n v="7"/>
    <x v="0"/>
    <x v="0"/>
  </r>
  <r>
    <n v="116"/>
    <n v="462.84000000000003"/>
    <n v="232"/>
    <n v="230.84000000000003"/>
    <x v="0"/>
    <n v="6"/>
    <x v="0"/>
    <x v="0"/>
  </r>
  <r>
    <n v="208"/>
    <n v="416"/>
    <n v="208"/>
    <n v="208"/>
    <x v="0"/>
    <n v="7"/>
    <x v="2"/>
    <x v="0"/>
  </r>
  <r>
    <n v="45"/>
    <n v="292.5"/>
    <n v="157.5"/>
    <n v="135"/>
    <x v="0"/>
    <n v="7"/>
    <x v="4"/>
    <x v="0"/>
  </r>
  <r>
    <n v="193"/>
    <n v="868.5"/>
    <n v="482.5"/>
    <n v="386"/>
    <x v="0"/>
    <n v="6"/>
    <x v="3"/>
    <x v="0"/>
  </r>
  <r>
    <n v="108"/>
    <n v="216"/>
    <n v="108"/>
    <n v="108"/>
    <x v="0"/>
    <n v="6"/>
    <x v="3"/>
    <x v="0"/>
  </r>
  <r>
    <n v="205"/>
    <n v="2047.95"/>
    <n v="1025"/>
    <n v="1022.95"/>
    <x v="0"/>
    <n v="7"/>
    <x v="3"/>
    <x v="1"/>
  </r>
  <r>
    <n v="88"/>
    <n v="792"/>
    <n v="528"/>
    <n v="264"/>
    <x v="0"/>
    <n v="7"/>
    <x v="0"/>
    <x v="0"/>
  </r>
  <r>
    <n v="46"/>
    <n v="321.54000000000002"/>
    <n v="161"/>
    <n v="160.54000000000002"/>
    <x v="0"/>
    <n v="6"/>
    <x v="3"/>
    <x v="0"/>
  </r>
  <r>
    <n v="73"/>
    <n v="146"/>
    <n v="73"/>
    <n v="73"/>
    <x v="0"/>
    <n v="8"/>
    <x v="3"/>
    <x v="1"/>
  </r>
  <r>
    <n v="207"/>
    <n v="1863"/>
    <n v="1242"/>
    <n v="621"/>
    <x v="0"/>
    <n v="8"/>
    <x v="5"/>
    <x v="1"/>
  </r>
  <r>
    <n v="202"/>
    <n v="1313"/>
    <n v="707"/>
    <n v="606"/>
    <x v="0"/>
    <n v="7"/>
    <x v="1"/>
    <x v="1"/>
  </r>
  <r>
    <n v="209"/>
    <n v="1254"/>
    <n v="627"/>
    <n v="627"/>
    <x v="0"/>
    <n v="6"/>
    <x v="1"/>
    <x v="0"/>
  </r>
  <r>
    <n v="48"/>
    <n v="191.52"/>
    <n v="96"/>
    <n v="95.52000000000001"/>
    <x v="0"/>
    <n v="7"/>
    <x v="3"/>
    <x v="1"/>
  </r>
  <r>
    <n v="52"/>
    <n v="468"/>
    <n v="312"/>
    <n v="156"/>
    <x v="0"/>
    <n v="6"/>
    <x v="0"/>
    <x v="0"/>
  </r>
  <r>
    <n v="202"/>
    <n v="805.98"/>
    <n v="404"/>
    <n v="401.98"/>
    <x v="0"/>
    <n v="6"/>
    <x v="1"/>
    <x v="0"/>
  </r>
  <r>
    <n v="138"/>
    <n v="550.62"/>
    <n v="276"/>
    <n v="274.62"/>
    <x v="0"/>
    <n v="8"/>
    <x v="2"/>
    <x v="2"/>
  </r>
  <r>
    <n v="77"/>
    <n v="500.5"/>
    <n v="269.5"/>
    <n v="231"/>
    <x v="0"/>
    <n v="6"/>
    <x v="1"/>
    <x v="0"/>
  </r>
  <r>
    <n v="168"/>
    <n v="1008"/>
    <n v="504"/>
    <n v="504"/>
    <x v="0"/>
    <n v="8"/>
    <x v="0"/>
    <x v="1"/>
  </r>
  <r>
    <n v="114"/>
    <n v="1653"/>
    <n v="912"/>
    <n v="741"/>
    <x v="0"/>
    <n v="7"/>
    <x v="1"/>
    <x v="0"/>
  </r>
  <r>
    <n v="170"/>
    <n v="1105"/>
    <n v="595"/>
    <n v="510"/>
    <x v="0"/>
    <n v="8"/>
    <x v="4"/>
    <x v="2"/>
  </r>
  <r>
    <n v="116"/>
    <n v="522"/>
    <n v="290"/>
    <n v="232"/>
    <x v="0"/>
    <n v="8"/>
    <x v="0"/>
    <x v="0"/>
  </r>
  <r>
    <n v="100"/>
    <n v="650"/>
    <n v="350"/>
    <n v="300"/>
    <x v="0"/>
    <n v="6"/>
    <x v="0"/>
    <x v="0"/>
  </r>
  <r>
    <n v="191"/>
    <n v="1719"/>
    <n v="1146"/>
    <n v="573"/>
    <x v="0"/>
    <n v="8"/>
    <x v="3"/>
    <x v="0"/>
  </r>
  <r>
    <n v="193"/>
    <n v="386"/>
    <n v="193"/>
    <n v="193"/>
    <x v="0"/>
    <n v="8"/>
    <x v="5"/>
    <x v="0"/>
  </r>
  <r>
    <n v="57"/>
    <n v="256.5"/>
    <n v="142.5"/>
    <n v="114"/>
    <x v="0"/>
    <n v="6"/>
    <x v="0"/>
    <x v="1"/>
  </r>
  <r>
    <n v="142"/>
    <n v="1278"/>
    <n v="852"/>
    <n v="426"/>
    <x v="0"/>
    <n v="8"/>
    <x v="3"/>
    <x v="0"/>
  </r>
  <r>
    <n v="153"/>
    <n v="994.5"/>
    <n v="535.5"/>
    <n v="459"/>
    <x v="0"/>
    <n v="8"/>
    <x v="3"/>
    <x v="2"/>
  </r>
  <r>
    <n v="29"/>
    <n v="115.71000000000001"/>
    <n v="58"/>
    <n v="57.710000000000008"/>
    <x v="0"/>
    <n v="7"/>
    <x v="2"/>
    <x v="1"/>
  </r>
  <r>
    <n v="38"/>
    <n v="114"/>
    <n v="57"/>
    <n v="57"/>
    <x v="0"/>
    <n v="7"/>
    <x v="3"/>
    <x v="1"/>
  </r>
  <r>
    <n v="3"/>
    <n v="13.5"/>
    <n v="7.5"/>
    <n v="6"/>
    <x v="0"/>
    <n v="7"/>
    <x v="0"/>
    <x v="1"/>
  </r>
  <r>
    <n v="178"/>
    <n v="1157"/>
    <n v="623"/>
    <n v="534"/>
    <x v="0"/>
    <n v="8"/>
    <x v="3"/>
    <x v="1"/>
  </r>
  <r>
    <n v="53"/>
    <n v="768.5"/>
    <n v="424"/>
    <n v="344.5"/>
    <x v="0"/>
    <n v="7"/>
    <x v="3"/>
    <x v="2"/>
  </r>
  <r>
    <n v="153"/>
    <n v="459"/>
    <n v="229.5"/>
    <n v="229.5"/>
    <x v="0"/>
    <n v="8"/>
    <x v="5"/>
    <x v="0"/>
  </r>
  <r>
    <n v="144"/>
    <n v="1438.56"/>
    <n v="720"/>
    <n v="718.56"/>
    <x v="0"/>
    <n v="6"/>
    <x v="5"/>
    <x v="0"/>
  </r>
  <r>
    <n v="131"/>
    <n v="786"/>
    <n v="393"/>
    <n v="393"/>
    <x v="0"/>
    <n v="6"/>
    <x v="0"/>
    <x v="2"/>
  </r>
  <r>
    <n v="7"/>
    <n v="27.93"/>
    <n v="14"/>
    <n v="13.93"/>
    <x v="0"/>
    <n v="6"/>
    <x v="1"/>
    <x v="1"/>
  </r>
  <r>
    <n v="110"/>
    <n v="438.90000000000003"/>
    <n v="220"/>
    <n v="218.90000000000003"/>
    <x v="0"/>
    <n v="7"/>
    <x v="1"/>
    <x v="2"/>
  </r>
  <r>
    <n v="209"/>
    <n v="833.91000000000008"/>
    <n v="418"/>
    <n v="415.91000000000008"/>
    <x v="0"/>
    <n v="8"/>
    <x v="2"/>
    <x v="0"/>
  </r>
  <r>
    <n v="203"/>
    <n v="913.5"/>
    <n v="507.5"/>
    <n v="406"/>
    <x v="0"/>
    <n v="6"/>
    <x v="3"/>
    <x v="1"/>
  </r>
  <r>
    <n v="29"/>
    <n v="115.71000000000001"/>
    <n v="58"/>
    <n v="57.710000000000008"/>
    <x v="0"/>
    <n v="6"/>
    <x v="0"/>
    <x v="0"/>
  </r>
  <r>
    <n v="202"/>
    <n v="1313"/>
    <n v="707"/>
    <n v="606"/>
    <x v="0"/>
    <n v="7"/>
    <x v="2"/>
    <x v="1"/>
  </r>
  <r>
    <n v="15"/>
    <n v="45"/>
    <n v="22.5"/>
    <n v="22.5"/>
    <x v="0"/>
    <n v="6"/>
    <x v="3"/>
    <x v="0"/>
  </r>
  <r>
    <n v="102"/>
    <n v="1018.98"/>
    <n v="510"/>
    <n v="508.98"/>
    <x v="0"/>
    <n v="8"/>
    <x v="0"/>
    <x v="1"/>
  </r>
  <r>
    <n v="211"/>
    <n v="1371.5"/>
    <n v="738.5"/>
    <n v="633"/>
    <x v="0"/>
    <n v="6"/>
    <x v="3"/>
    <x v="0"/>
  </r>
  <r>
    <n v="138"/>
    <n v="897"/>
    <n v="483"/>
    <n v="414"/>
    <x v="0"/>
    <n v="8"/>
    <x v="3"/>
    <x v="0"/>
  </r>
  <r>
    <n v="129"/>
    <n v="580.5"/>
    <n v="322.5"/>
    <n v="258"/>
    <x v="0"/>
    <n v="6"/>
    <x v="2"/>
    <x v="2"/>
  </r>
  <r>
    <n v="95"/>
    <n v="617.5"/>
    <n v="332.5"/>
    <n v="285"/>
    <x v="0"/>
    <n v="8"/>
    <x v="3"/>
    <x v="0"/>
  </r>
  <r>
    <n v="58"/>
    <n v="174"/>
    <n v="87"/>
    <n v="87"/>
    <x v="0"/>
    <n v="8"/>
    <x v="3"/>
    <x v="0"/>
  </r>
  <r>
    <n v="160"/>
    <n v="638.40000000000009"/>
    <n v="320"/>
    <n v="318.40000000000009"/>
    <x v="0"/>
    <n v="6"/>
    <x v="2"/>
    <x v="0"/>
  </r>
  <r>
    <n v="163"/>
    <n v="733.5"/>
    <n v="407.5"/>
    <n v="326"/>
    <x v="0"/>
    <n v="8"/>
    <x v="2"/>
    <x v="1"/>
  </r>
  <r>
    <n v="33"/>
    <n v="198"/>
    <n v="99"/>
    <n v="99"/>
    <x v="0"/>
    <n v="6"/>
    <x v="3"/>
    <x v="1"/>
  </r>
  <r>
    <n v="147"/>
    <n v="1027.53"/>
    <n v="514.5"/>
    <n v="513.03"/>
    <x v="0"/>
    <n v="6"/>
    <x v="3"/>
    <x v="1"/>
  </r>
  <r>
    <n v="211"/>
    <n v="1474.89"/>
    <n v="738.5"/>
    <n v="736.3900000000001"/>
    <x v="0"/>
    <n v="8"/>
    <x v="5"/>
    <x v="1"/>
  </r>
  <r>
    <n v="49"/>
    <n v="318.5"/>
    <n v="171.5"/>
    <n v="147"/>
    <x v="0"/>
    <n v="6"/>
    <x v="0"/>
    <x v="1"/>
  </r>
  <r>
    <n v="100"/>
    <n v="200"/>
    <n v="100"/>
    <n v="100"/>
    <x v="0"/>
    <n v="7"/>
    <x v="3"/>
    <x v="2"/>
  </r>
  <r>
    <n v="123"/>
    <n v="553.5"/>
    <n v="307.5"/>
    <n v="246"/>
    <x v="0"/>
    <n v="6"/>
    <x v="3"/>
    <x v="0"/>
  </r>
  <r>
    <n v="176"/>
    <n v="702.24"/>
    <n v="352"/>
    <n v="350.24"/>
    <x v="0"/>
    <n v="6"/>
    <x v="4"/>
    <x v="1"/>
  </r>
  <r>
    <n v="44"/>
    <n v="286"/>
    <n v="154"/>
    <n v="132"/>
    <x v="0"/>
    <n v="8"/>
    <x v="3"/>
    <x v="0"/>
  </r>
  <r>
    <n v="179"/>
    <n v="1163.5"/>
    <n v="626.5"/>
    <n v="537"/>
    <x v="0"/>
    <n v="8"/>
    <x v="1"/>
    <x v="0"/>
  </r>
  <r>
    <n v="62"/>
    <n v="247.38000000000002"/>
    <n v="124"/>
    <n v="123.38000000000002"/>
    <x v="0"/>
    <n v="6"/>
    <x v="4"/>
    <x v="0"/>
  </r>
  <r>
    <n v="33"/>
    <n v="99"/>
    <n v="49.5"/>
    <n v="49.5"/>
    <x v="0"/>
    <n v="6"/>
    <x v="1"/>
    <x v="1"/>
  </r>
  <r>
    <n v="21"/>
    <n v="126"/>
    <n v="63"/>
    <n v="63"/>
    <x v="0"/>
    <n v="7"/>
    <x v="1"/>
    <x v="1"/>
  </r>
  <r>
    <n v="69"/>
    <n v="138"/>
    <n v="69"/>
    <n v="69"/>
    <x v="0"/>
    <n v="7"/>
    <x v="2"/>
    <x v="0"/>
  </r>
  <r>
    <n v="121"/>
    <n v="482.79"/>
    <n v="242"/>
    <n v="240.79000000000002"/>
    <x v="0"/>
    <n v="7"/>
    <x v="4"/>
    <x v="1"/>
  </r>
  <r>
    <n v="112"/>
    <n v="504"/>
    <n v="280"/>
    <n v="224"/>
    <x v="0"/>
    <n v="8"/>
    <x v="2"/>
    <x v="0"/>
  </r>
  <r>
    <n v="42"/>
    <n v="252"/>
    <n v="126"/>
    <n v="126"/>
    <x v="0"/>
    <n v="6"/>
    <x v="4"/>
    <x v="1"/>
  </r>
  <r>
    <n v="60"/>
    <n v="870"/>
    <n v="480"/>
    <n v="390"/>
    <x v="0"/>
    <n v="4"/>
    <x v="0"/>
    <x v="1"/>
  </r>
  <r>
    <n v="202"/>
    <n v="1313"/>
    <n v="707"/>
    <n v="606"/>
    <x v="0"/>
    <n v="5"/>
    <x v="5"/>
    <x v="0"/>
  </r>
  <r>
    <n v="181"/>
    <n v="2624.5"/>
    <n v="1448"/>
    <n v="1176.5"/>
    <x v="0"/>
    <n v="4"/>
    <x v="0"/>
    <x v="1"/>
  </r>
  <r>
    <n v="28"/>
    <n v="168"/>
    <n v="84"/>
    <n v="84"/>
    <x v="0"/>
    <n v="4"/>
    <x v="1"/>
    <x v="0"/>
  </r>
  <r>
    <n v="79"/>
    <n v="711"/>
    <n v="474"/>
    <n v="237"/>
    <x v="0"/>
    <n v="5"/>
    <x v="0"/>
    <x v="0"/>
  </r>
  <r>
    <n v="10"/>
    <n v="90"/>
    <n v="60"/>
    <n v="30"/>
    <x v="0"/>
    <n v="5"/>
    <x v="0"/>
    <x v="0"/>
  </r>
  <r>
    <n v="41"/>
    <n v="594.5"/>
    <n v="328"/>
    <n v="266.5"/>
    <x v="0"/>
    <n v="5"/>
    <x v="4"/>
    <x v="0"/>
  </r>
  <r>
    <n v="5"/>
    <n v="19.950000000000003"/>
    <n v="10"/>
    <n v="9.9500000000000028"/>
    <x v="0"/>
    <n v="4"/>
    <x v="5"/>
    <x v="0"/>
  </r>
  <r>
    <n v="129"/>
    <n v="514.71"/>
    <n v="258"/>
    <n v="256.71000000000004"/>
    <x v="0"/>
    <n v="5"/>
    <x v="2"/>
    <x v="0"/>
  </r>
  <r>
    <n v="210"/>
    <n v="630"/>
    <n v="315"/>
    <n v="315"/>
    <x v="0"/>
    <n v="4"/>
    <x v="0"/>
    <x v="1"/>
  </r>
  <r>
    <n v="209"/>
    <n v="2087.91"/>
    <n v="1045"/>
    <n v="1042.9099999999999"/>
    <x v="0"/>
    <n v="5"/>
    <x v="3"/>
    <x v="2"/>
  </r>
  <r>
    <n v="55"/>
    <n v="357.5"/>
    <n v="192.5"/>
    <n v="165"/>
    <x v="0"/>
    <n v="4"/>
    <x v="2"/>
    <x v="0"/>
  </r>
  <r>
    <n v="49"/>
    <n v="318.5"/>
    <n v="171.5"/>
    <n v="147"/>
    <x v="0"/>
    <n v="4"/>
    <x v="0"/>
    <x v="1"/>
  </r>
  <r>
    <n v="16"/>
    <n v="72"/>
    <n v="40"/>
    <n v="32"/>
    <x v="0"/>
    <n v="5"/>
    <x v="1"/>
    <x v="1"/>
  </r>
  <r>
    <n v="29"/>
    <n v="202.71"/>
    <n v="101.5"/>
    <n v="101.21000000000001"/>
    <x v="0"/>
    <n v="4"/>
    <x v="4"/>
    <x v="2"/>
  </r>
  <r>
    <n v="164"/>
    <n v="1638.3600000000001"/>
    <n v="820"/>
    <n v="818.36000000000013"/>
    <x v="0"/>
    <n v="5"/>
    <x v="4"/>
    <x v="1"/>
  </r>
  <r>
    <n v="173"/>
    <n v="778.5"/>
    <n v="432.5"/>
    <n v="346"/>
    <x v="0"/>
    <n v="4"/>
    <x v="0"/>
    <x v="2"/>
  </r>
  <r>
    <n v="119"/>
    <n v="474.81"/>
    <n v="238"/>
    <n v="236.81"/>
    <x v="0"/>
    <n v="4"/>
    <x v="3"/>
    <x v="0"/>
  </r>
  <r>
    <n v="111"/>
    <n v="333"/>
    <n v="166.5"/>
    <n v="166.5"/>
    <x v="0"/>
    <n v="5"/>
    <x v="1"/>
    <x v="0"/>
  </r>
  <r>
    <n v="20"/>
    <n v="139.80000000000001"/>
    <n v="70"/>
    <n v="69.800000000000011"/>
    <x v="0"/>
    <n v="5"/>
    <x v="4"/>
    <x v="1"/>
  </r>
  <r>
    <n v="197"/>
    <n v="786.03000000000009"/>
    <n v="394"/>
    <n v="392.03000000000009"/>
    <x v="0"/>
    <n v="4"/>
    <x v="0"/>
    <x v="0"/>
  </r>
  <r>
    <n v="122"/>
    <n v="244"/>
    <n v="122"/>
    <n v="122"/>
    <x v="0"/>
    <n v="5"/>
    <x v="4"/>
    <x v="1"/>
  </r>
  <r>
    <n v="51"/>
    <n v="229.5"/>
    <n v="127.5"/>
    <n v="102"/>
    <x v="0"/>
    <n v="5"/>
    <x v="1"/>
    <x v="2"/>
  </r>
  <r>
    <n v="38"/>
    <n v="551"/>
    <n v="304"/>
    <n v="247"/>
    <x v="0"/>
    <n v="5"/>
    <x v="2"/>
    <x v="0"/>
  </r>
  <r>
    <n v="206"/>
    <n v="2987"/>
    <n v="1648"/>
    <n v="1339"/>
    <x v="0"/>
    <n v="5"/>
    <x v="3"/>
    <x v="1"/>
  </r>
  <r>
    <n v="143"/>
    <n v="929.5"/>
    <n v="500.5"/>
    <n v="429"/>
    <x v="0"/>
    <n v="5"/>
    <x v="2"/>
    <x v="0"/>
  </r>
  <r>
    <n v="134"/>
    <n v="603"/>
    <n v="335"/>
    <n v="268"/>
    <x v="0"/>
    <n v="4"/>
    <x v="4"/>
    <x v="1"/>
  </r>
  <r>
    <n v="101"/>
    <n v="1464.5"/>
    <n v="808"/>
    <n v="656.5"/>
    <x v="0"/>
    <n v="4"/>
    <x v="5"/>
    <x v="1"/>
  </r>
  <r>
    <n v="173"/>
    <n v="778.5"/>
    <n v="432.5"/>
    <n v="346"/>
    <x v="0"/>
    <n v="4"/>
    <x v="3"/>
    <x v="2"/>
  </r>
  <r>
    <n v="87"/>
    <n v="608.13"/>
    <n v="304.5"/>
    <n v="303.63"/>
    <x v="0"/>
    <n v="4"/>
    <x v="0"/>
    <x v="0"/>
  </r>
  <r>
    <n v="6"/>
    <n v="18"/>
    <n v="9"/>
    <n v="9"/>
    <x v="0"/>
    <n v="5"/>
    <x v="0"/>
    <x v="0"/>
  </r>
  <r>
    <n v="176"/>
    <n v="352"/>
    <n v="176"/>
    <n v="176"/>
    <x v="0"/>
    <n v="5"/>
    <x v="0"/>
    <x v="0"/>
  </r>
  <r>
    <n v="77"/>
    <n v="307.23"/>
    <n v="154"/>
    <n v="153.23000000000002"/>
    <x v="0"/>
    <n v="4"/>
    <x v="3"/>
    <x v="0"/>
  </r>
  <r>
    <n v="192"/>
    <n v="384"/>
    <n v="192"/>
    <n v="192"/>
    <x v="0"/>
    <n v="5"/>
    <x v="2"/>
    <x v="0"/>
  </r>
  <r>
    <n v="143"/>
    <n v="999.57"/>
    <n v="500.5"/>
    <n v="499.07000000000005"/>
    <x v="0"/>
    <n v="4"/>
    <x v="0"/>
    <x v="0"/>
  </r>
  <r>
    <n v="126"/>
    <n v="756"/>
    <n v="378"/>
    <n v="378"/>
    <x v="0"/>
    <n v="5"/>
    <x v="4"/>
    <x v="1"/>
  </r>
  <r>
    <n v="178"/>
    <n v="2581"/>
    <n v="1424"/>
    <n v="1157"/>
    <x v="0"/>
    <n v="5"/>
    <x v="3"/>
    <x v="1"/>
  </r>
  <r>
    <n v="116"/>
    <n v="348"/>
    <n v="174"/>
    <n v="174"/>
    <x v="0"/>
    <n v="5"/>
    <x v="0"/>
    <x v="1"/>
  </r>
  <r>
    <n v="8"/>
    <n v="116"/>
    <n v="64"/>
    <n v="52"/>
    <x v="0"/>
    <n v="5"/>
    <x v="6"/>
    <x v="1"/>
  </r>
  <r>
    <n v="204"/>
    <n v="612"/>
    <n v="306"/>
    <n v="306"/>
    <x v="0"/>
    <n v="5"/>
    <x v="1"/>
    <x v="0"/>
  </r>
  <r>
    <n v="123"/>
    <n v="369"/>
    <n v="184.5"/>
    <n v="184.5"/>
    <x v="0"/>
    <n v="5"/>
    <x v="0"/>
    <x v="1"/>
  </r>
  <r>
    <n v="111"/>
    <n v="333"/>
    <n v="166.5"/>
    <n v="166.5"/>
    <x v="0"/>
    <n v="4"/>
    <x v="0"/>
    <x v="0"/>
  </r>
  <r>
    <n v="88"/>
    <n v="572"/>
    <n v="308"/>
    <n v="264"/>
    <x v="0"/>
    <n v="5"/>
    <x v="5"/>
    <x v="0"/>
  </r>
  <r>
    <n v="189"/>
    <n v="1888.1100000000001"/>
    <n v="945"/>
    <n v="943.11000000000013"/>
    <x v="0"/>
    <n v="4"/>
    <x v="5"/>
    <x v="0"/>
  </r>
  <r>
    <n v="83"/>
    <n v="373.5"/>
    <n v="207.5"/>
    <n v="166"/>
    <x v="0"/>
    <n v="4"/>
    <x v="0"/>
    <x v="0"/>
  </r>
  <r>
    <n v="211"/>
    <n v="1474.89"/>
    <n v="738.5"/>
    <n v="736.3900000000001"/>
    <x v="0"/>
    <n v="5"/>
    <x v="3"/>
    <x v="2"/>
  </r>
  <r>
    <n v="34"/>
    <n v="102"/>
    <n v="51"/>
    <n v="51"/>
    <x v="0"/>
    <n v="4"/>
    <x v="2"/>
    <x v="0"/>
  </r>
  <r>
    <n v="195"/>
    <n v="2827.5"/>
    <n v="1560"/>
    <n v="1267.5"/>
    <x v="0"/>
    <n v="4"/>
    <x v="4"/>
    <x v="0"/>
  </r>
  <r>
    <n v="127"/>
    <n v="1143"/>
    <n v="762"/>
    <n v="381"/>
    <x v="0"/>
    <n v="5"/>
    <x v="3"/>
    <x v="0"/>
  </r>
  <r>
    <n v="158"/>
    <n v="948"/>
    <n v="474"/>
    <n v="474"/>
    <x v="0"/>
    <n v="5"/>
    <x v="0"/>
    <x v="0"/>
  </r>
  <r>
    <n v="154"/>
    <n v="462"/>
    <n v="231"/>
    <n v="231"/>
    <x v="0"/>
    <n v="5"/>
    <x v="2"/>
    <x v="1"/>
  </r>
  <r>
    <n v="78"/>
    <n v="507"/>
    <n v="273"/>
    <n v="234"/>
    <x v="0"/>
    <n v="5"/>
    <x v="0"/>
    <x v="2"/>
  </r>
  <r>
    <n v="130"/>
    <n v="1170"/>
    <n v="780"/>
    <n v="390"/>
    <x v="0"/>
    <n v="4"/>
    <x v="0"/>
    <x v="0"/>
  </r>
  <r>
    <n v="191"/>
    <n v="859.5"/>
    <n v="477.5"/>
    <n v="382"/>
    <x v="0"/>
    <n v="4"/>
    <x v="1"/>
    <x v="1"/>
  </r>
  <r>
    <n v="4"/>
    <n v="58"/>
    <n v="32"/>
    <n v="26"/>
    <x v="0"/>
    <n v="5"/>
    <x v="2"/>
    <x v="0"/>
  </r>
  <r>
    <n v="144"/>
    <n v="432"/>
    <n v="216"/>
    <n v="216"/>
    <x v="0"/>
    <n v="5"/>
    <x v="0"/>
    <x v="1"/>
  </r>
  <r>
    <n v="2"/>
    <n v="13.98"/>
    <n v="7"/>
    <n v="6.98"/>
    <x v="0"/>
    <n v="5"/>
    <x v="3"/>
    <x v="2"/>
  </r>
  <r>
    <n v="20"/>
    <n v="180"/>
    <n v="120"/>
    <n v="60"/>
    <x v="0"/>
    <n v="4"/>
    <x v="2"/>
    <x v="0"/>
  </r>
  <r>
    <n v="133"/>
    <n v="530.67000000000007"/>
    <n v="266"/>
    <n v="264.67000000000007"/>
    <x v="0"/>
    <n v="4"/>
    <x v="0"/>
    <x v="0"/>
  </r>
  <r>
    <n v="188"/>
    <n v="1128"/>
    <n v="564"/>
    <n v="564"/>
    <x v="0"/>
    <n v="4"/>
    <x v="1"/>
    <x v="1"/>
  </r>
  <r>
    <n v="105"/>
    <n v="472.5"/>
    <n v="262.5"/>
    <n v="210"/>
    <x v="0"/>
    <n v="5"/>
    <x v="3"/>
    <x v="1"/>
  </r>
  <r>
    <n v="181"/>
    <n v="1176.5"/>
    <n v="633.5"/>
    <n v="543"/>
    <x v="0"/>
    <n v="4"/>
    <x v="0"/>
    <x v="1"/>
  </r>
  <r>
    <n v="115"/>
    <n v="458.85"/>
    <n v="230"/>
    <n v="228.85000000000002"/>
    <x v="0"/>
    <n v="5"/>
    <x v="5"/>
    <x v="0"/>
  </r>
  <r>
    <n v="167"/>
    <n v="1085.5"/>
    <n v="584.5"/>
    <n v="501"/>
    <x v="0"/>
    <n v="5"/>
    <x v="0"/>
    <x v="0"/>
  </r>
  <r>
    <n v="44"/>
    <n v="307.56"/>
    <n v="154"/>
    <n v="153.56"/>
    <x v="0"/>
    <n v="5"/>
    <x v="5"/>
    <x v="0"/>
  </r>
  <r>
    <n v="124"/>
    <n v="1238.76"/>
    <n v="620"/>
    <n v="618.76"/>
    <x v="0"/>
    <n v="5"/>
    <x v="1"/>
    <x v="0"/>
  </r>
  <r>
    <n v="41"/>
    <n v="163.59"/>
    <n v="82"/>
    <n v="81.59"/>
    <x v="0"/>
    <n v="4"/>
    <x v="2"/>
    <x v="0"/>
  </r>
  <r>
    <n v="160"/>
    <n v="1598.4"/>
    <n v="800"/>
    <n v="798.40000000000009"/>
    <x v="0"/>
    <n v="5"/>
    <x v="3"/>
    <x v="0"/>
  </r>
  <r>
    <n v="160"/>
    <n v="1040"/>
    <n v="560"/>
    <n v="480"/>
    <x v="0"/>
    <n v="5"/>
    <x v="4"/>
    <x v="1"/>
  </r>
  <r>
    <n v="7"/>
    <n v="21"/>
    <n v="10.5"/>
    <n v="10.5"/>
    <x v="0"/>
    <n v="4"/>
    <x v="0"/>
    <x v="0"/>
  </r>
  <r>
    <n v="151"/>
    <n v="2189.5"/>
    <n v="1208"/>
    <n v="981.5"/>
    <x v="0"/>
    <n v="4"/>
    <x v="4"/>
    <x v="2"/>
  </r>
  <r>
    <n v="155"/>
    <n v="1083.45"/>
    <n v="542.5"/>
    <n v="540.95000000000005"/>
    <x v="0"/>
    <n v="4"/>
    <x v="0"/>
    <x v="0"/>
  </r>
  <r>
    <n v="4"/>
    <n v="24"/>
    <n v="12"/>
    <n v="12"/>
    <x v="0"/>
    <n v="4"/>
    <x v="4"/>
    <x v="0"/>
  </r>
  <r>
    <n v="159"/>
    <n v="1588.41"/>
    <n v="795"/>
    <n v="793.41000000000008"/>
    <x v="0"/>
    <n v="5"/>
    <x v="0"/>
    <x v="0"/>
  </r>
  <r>
    <n v="86"/>
    <n v="387"/>
    <n v="215"/>
    <n v="172"/>
    <x v="0"/>
    <n v="4"/>
    <x v="3"/>
    <x v="0"/>
  </r>
  <r>
    <n v="73"/>
    <n v="657"/>
    <n v="438"/>
    <n v="219"/>
    <x v="0"/>
    <n v="4"/>
    <x v="1"/>
    <x v="1"/>
  </r>
  <r>
    <n v="13"/>
    <n v="78"/>
    <n v="39"/>
    <n v="39"/>
    <x v="0"/>
    <n v="5"/>
    <x v="2"/>
    <x v="2"/>
  </r>
  <r>
    <n v="172"/>
    <n v="686.28000000000009"/>
    <n v="344"/>
    <n v="342.28000000000009"/>
    <x v="0"/>
    <n v="4"/>
    <x v="0"/>
    <x v="0"/>
  </r>
  <r>
    <n v="7"/>
    <n v="63"/>
    <n v="42"/>
    <n v="21"/>
    <x v="0"/>
    <n v="5"/>
    <x v="3"/>
    <x v="0"/>
  </r>
  <r>
    <n v="127"/>
    <n v="506.73"/>
    <n v="254"/>
    <n v="252.73000000000002"/>
    <x v="0"/>
    <n v="5"/>
    <x v="2"/>
    <x v="1"/>
  </r>
  <r>
    <n v="123"/>
    <n v="553.5"/>
    <n v="307.5"/>
    <n v="246"/>
    <x v="0"/>
    <n v="4"/>
    <x v="0"/>
    <x v="0"/>
  </r>
  <r>
    <n v="137"/>
    <n v="274"/>
    <n v="137"/>
    <n v="137"/>
    <x v="0"/>
    <n v="5"/>
    <x v="2"/>
    <x v="0"/>
  </r>
  <r>
    <n v="58"/>
    <n v="522"/>
    <n v="348"/>
    <n v="174"/>
    <x v="0"/>
    <n v="5"/>
    <x v="0"/>
    <x v="0"/>
  </r>
  <r>
    <n v="134"/>
    <n v="1206"/>
    <n v="804"/>
    <n v="402"/>
    <x v="0"/>
    <n v="5"/>
    <x v="6"/>
    <x v="0"/>
  </r>
  <r>
    <n v="109"/>
    <n v="708.5"/>
    <n v="381.5"/>
    <n v="327"/>
    <x v="0"/>
    <n v="5"/>
    <x v="0"/>
    <x v="0"/>
  </r>
  <r>
    <n v="28"/>
    <n v="84"/>
    <n v="42"/>
    <n v="42"/>
    <x v="0"/>
    <n v="5"/>
    <x v="4"/>
    <x v="0"/>
  </r>
  <r>
    <n v="6"/>
    <n v="39"/>
    <n v="21"/>
    <n v="18"/>
    <x v="0"/>
    <n v="4"/>
    <x v="3"/>
    <x v="0"/>
  </r>
  <r>
    <n v="184"/>
    <n v="1656"/>
    <n v="1104"/>
    <n v="552"/>
    <x v="0"/>
    <n v="5"/>
    <x v="4"/>
    <x v="0"/>
  </r>
  <r>
    <n v="128"/>
    <n v="894.72"/>
    <n v="448"/>
    <n v="446.72"/>
    <x v="0"/>
    <n v="4"/>
    <x v="0"/>
    <x v="1"/>
  </r>
  <r>
    <n v="17"/>
    <n v="76.5"/>
    <n v="42.5"/>
    <n v="34"/>
    <x v="0"/>
    <n v="4"/>
    <x v="0"/>
    <x v="0"/>
  </r>
  <r>
    <n v="162"/>
    <n v="646.38"/>
    <n v="324"/>
    <n v="322.38"/>
    <x v="0"/>
    <n v="4"/>
    <x v="1"/>
    <x v="0"/>
  </r>
  <r>
    <n v="90"/>
    <n v="359.1"/>
    <n v="180"/>
    <n v="179.10000000000002"/>
    <x v="0"/>
    <n v="4"/>
    <x v="3"/>
    <x v="1"/>
  </r>
  <r>
    <n v="204"/>
    <n v="1224"/>
    <n v="612"/>
    <n v="612"/>
    <x v="0"/>
    <n v="5"/>
    <x v="3"/>
    <x v="0"/>
  </r>
  <r>
    <n v="117"/>
    <n v="760.5"/>
    <n v="409.5"/>
    <n v="351"/>
    <x v="0"/>
    <n v="5"/>
    <x v="0"/>
    <x v="1"/>
  </r>
  <r>
    <n v="121"/>
    <n v="482.79"/>
    <n v="242"/>
    <n v="240.79000000000002"/>
    <x v="0"/>
    <n v="5"/>
    <x v="3"/>
    <x v="1"/>
  </r>
  <r>
    <n v="45"/>
    <n v="449.55"/>
    <n v="225"/>
    <n v="224.55"/>
    <x v="0"/>
    <n v="5"/>
    <x v="3"/>
    <x v="1"/>
  </r>
  <r>
    <n v="164"/>
    <n v="1638.3600000000001"/>
    <n v="820"/>
    <n v="818.36000000000013"/>
    <x v="0"/>
    <n v="5"/>
    <x v="3"/>
    <x v="0"/>
  </r>
  <r>
    <n v="76"/>
    <n v="531.24"/>
    <n v="266"/>
    <n v="265.24"/>
    <x v="0"/>
    <n v="4"/>
    <x v="3"/>
    <x v="0"/>
  </r>
  <r>
    <n v="212"/>
    <n v="424"/>
    <n v="212"/>
    <n v="212"/>
    <x v="0"/>
    <n v="5"/>
    <x v="1"/>
    <x v="2"/>
  </r>
  <r>
    <n v="91"/>
    <n v="909.09"/>
    <n v="455"/>
    <n v="454.09000000000003"/>
    <x v="0"/>
    <n v="5"/>
    <x v="0"/>
    <x v="1"/>
  </r>
  <r>
    <n v="198"/>
    <n v="594"/>
    <n v="297"/>
    <n v="297"/>
    <x v="0"/>
    <n v="4"/>
    <x v="2"/>
    <x v="0"/>
  </r>
  <r>
    <n v="202"/>
    <n v="606"/>
    <n v="303"/>
    <n v="303"/>
    <x v="0"/>
    <n v="4"/>
    <x v="3"/>
    <x v="0"/>
  </r>
  <r>
    <n v="136"/>
    <n v="408"/>
    <n v="204"/>
    <n v="204"/>
    <x v="0"/>
    <n v="4"/>
    <x v="0"/>
    <x v="0"/>
  </r>
  <r>
    <n v="70"/>
    <n v="630"/>
    <n v="420"/>
    <n v="210"/>
    <x v="0"/>
    <n v="5"/>
    <x v="4"/>
    <x v="0"/>
  </r>
  <r>
    <n v="95"/>
    <n v="617.5"/>
    <n v="332.5"/>
    <n v="285"/>
    <x v="0"/>
    <n v="5"/>
    <x v="1"/>
    <x v="1"/>
  </r>
  <r>
    <n v="150"/>
    <n v="1048.5"/>
    <n v="525"/>
    <n v="523.5"/>
    <x v="0"/>
    <n v="4"/>
    <x v="0"/>
    <x v="1"/>
  </r>
  <r>
    <n v="146"/>
    <n v="1458.54"/>
    <n v="730"/>
    <n v="728.54"/>
    <x v="0"/>
    <n v="4"/>
    <x v="5"/>
    <x v="0"/>
  </r>
  <r>
    <n v="9"/>
    <n v="35.910000000000004"/>
    <n v="18"/>
    <n v="17.910000000000004"/>
    <x v="0"/>
    <n v="4"/>
    <x v="4"/>
    <x v="2"/>
  </r>
  <r>
    <n v="68"/>
    <n v="204"/>
    <n v="102"/>
    <n v="102"/>
    <x v="0"/>
    <n v="4"/>
    <x v="0"/>
    <x v="0"/>
  </r>
  <r>
    <n v="71"/>
    <n v="709.29"/>
    <n v="355"/>
    <n v="354.28999999999996"/>
    <x v="0"/>
    <n v="5"/>
    <x v="3"/>
    <x v="0"/>
  </r>
  <r>
    <n v="72"/>
    <n v="468"/>
    <n v="252"/>
    <n v="216"/>
    <x v="0"/>
    <n v="5"/>
    <x v="0"/>
    <x v="1"/>
  </r>
  <r>
    <n v="67"/>
    <n v="301.5"/>
    <n v="167.5"/>
    <n v="134"/>
    <x v="0"/>
    <n v="5"/>
    <x v="0"/>
    <x v="0"/>
  </r>
  <r>
    <n v="33"/>
    <n v="131.67000000000002"/>
    <n v="66"/>
    <n v="65.670000000000016"/>
    <x v="0"/>
    <n v="5"/>
    <x v="2"/>
    <x v="1"/>
  </r>
  <r>
    <n v="29"/>
    <n v="261"/>
    <n v="174"/>
    <n v="87"/>
    <x v="0"/>
    <n v="5"/>
    <x v="3"/>
    <x v="1"/>
  </r>
  <r>
    <n v="199"/>
    <n v="794.01"/>
    <n v="398"/>
    <n v="396.01"/>
    <x v="0"/>
    <n v="5"/>
    <x v="0"/>
    <x v="1"/>
  </r>
  <r>
    <n v="62"/>
    <n v="124"/>
    <n v="62"/>
    <n v="62"/>
    <x v="0"/>
    <n v="4"/>
    <x v="3"/>
    <x v="0"/>
  </r>
  <r>
    <n v="119"/>
    <n v="238"/>
    <n v="119"/>
    <n v="119"/>
    <x v="0"/>
    <n v="5"/>
    <x v="5"/>
    <x v="0"/>
  </r>
  <r>
    <n v="50"/>
    <n v="199.5"/>
    <n v="100"/>
    <n v="99.5"/>
    <x v="0"/>
    <n v="4"/>
    <x v="0"/>
    <x v="0"/>
  </r>
  <r>
    <n v="1"/>
    <n v="9"/>
    <n v="6"/>
    <n v="3"/>
    <x v="0"/>
    <n v="5"/>
    <x v="2"/>
    <x v="0"/>
  </r>
  <r>
    <n v="75"/>
    <n v="299.25"/>
    <n v="150"/>
    <n v="149.25"/>
    <x v="0"/>
    <n v="5"/>
    <x v="0"/>
    <x v="0"/>
  </r>
  <r>
    <n v="146"/>
    <n v="438"/>
    <n v="219"/>
    <n v="219"/>
    <x v="0"/>
    <n v="5"/>
    <x v="0"/>
    <x v="2"/>
  </r>
  <r>
    <n v="55"/>
    <n v="330"/>
    <n v="165"/>
    <n v="165"/>
    <x v="0"/>
    <n v="5"/>
    <x v="2"/>
    <x v="1"/>
  </r>
  <r>
    <n v="11"/>
    <n v="49.5"/>
    <n v="27.5"/>
    <n v="22"/>
    <x v="0"/>
    <n v="4"/>
    <x v="3"/>
    <x v="1"/>
  </r>
  <r>
    <n v="164"/>
    <n v="984"/>
    <n v="492"/>
    <n v="492"/>
    <x v="0"/>
    <n v="5"/>
    <x v="0"/>
    <x v="0"/>
  </r>
  <r>
    <n v="175"/>
    <n v="1050"/>
    <n v="525"/>
    <n v="525"/>
    <x v="0"/>
    <n v="5"/>
    <x v="2"/>
    <x v="0"/>
  </r>
  <r>
    <n v="102"/>
    <n v="1018.98"/>
    <n v="510"/>
    <n v="508.98"/>
    <x v="0"/>
    <n v="4"/>
    <x v="0"/>
    <x v="1"/>
  </r>
  <r>
    <n v="59"/>
    <n v="235.41000000000003"/>
    <n v="118"/>
    <n v="117.41000000000003"/>
    <x v="0"/>
    <n v="5"/>
    <x v="0"/>
    <x v="1"/>
  </r>
  <r>
    <n v="111"/>
    <n v="999"/>
    <n v="666"/>
    <n v="333"/>
    <x v="0"/>
    <n v="4"/>
    <x v="4"/>
    <x v="1"/>
  </r>
  <r>
    <n v="148"/>
    <n v="1478.52"/>
    <n v="740"/>
    <n v="738.52"/>
    <x v="0"/>
    <n v="5"/>
    <x v="2"/>
    <x v="1"/>
  </r>
  <r>
    <n v="44"/>
    <n v="286"/>
    <n v="154"/>
    <n v="132"/>
    <x v="0"/>
    <n v="4"/>
    <x v="4"/>
    <x v="1"/>
  </r>
  <r>
    <n v="4"/>
    <n v="15.96"/>
    <n v="8"/>
    <n v="7.9600000000000009"/>
    <x v="0"/>
    <n v="4"/>
    <x v="3"/>
    <x v="1"/>
  </r>
  <r>
    <n v="202"/>
    <n v="1313"/>
    <n v="707"/>
    <n v="606"/>
    <x v="0"/>
    <n v="4"/>
    <x v="0"/>
    <x v="0"/>
  </r>
  <r>
    <n v="60"/>
    <n v="599.4"/>
    <n v="300"/>
    <n v="299.39999999999998"/>
    <x v="0"/>
    <n v="4"/>
    <x v="1"/>
    <x v="1"/>
  </r>
  <r>
    <n v="211"/>
    <n v="1266"/>
    <n v="633"/>
    <n v="633"/>
    <x v="0"/>
    <n v="4"/>
    <x v="0"/>
    <x v="0"/>
  </r>
  <r>
    <n v="111"/>
    <n v="442.89000000000004"/>
    <n v="222"/>
    <n v="220.89000000000004"/>
    <x v="0"/>
    <n v="4"/>
    <x v="3"/>
    <x v="1"/>
  </r>
  <r>
    <n v="175"/>
    <n v="698.25"/>
    <n v="350"/>
    <n v="348.25"/>
    <x v="0"/>
    <n v="4"/>
    <x v="1"/>
    <x v="0"/>
  </r>
  <r>
    <n v="190"/>
    <n v="1328.1000000000001"/>
    <n v="665"/>
    <n v="663.10000000000014"/>
    <x v="0"/>
    <n v="4"/>
    <x v="3"/>
    <x v="0"/>
  </r>
  <r>
    <n v="41"/>
    <n v="266.5"/>
    <n v="143.5"/>
    <n v="123"/>
    <x v="0"/>
    <n v="5"/>
    <x v="6"/>
    <x v="1"/>
  </r>
  <r>
    <n v="28"/>
    <n v="406"/>
    <n v="224"/>
    <n v="182"/>
    <x v="0"/>
    <n v="4"/>
    <x v="0"/>
    <x v="1"/>
  </r>
  <r>
    <n v="44"/>
    <n v="638"/>
    <n v="352"/>
    <n v="286"/>
    <x v="0"/>
    <n v="5"/>
    <x v="5"/>
    <x v="1"/>
  </r>
  <r>
    <n v="107"/>
    <n v="695.5"/>
    <n v="374.5"/>
    <n v="321"/>
    <x v="0"/>
    <n v="5"/>
    <x v="2"/>
    <x v="0"/>
  </r>
  <r>
    <n v="9"/>
    <n v="58.5"/>
    <n v="31.5"/>
    <n v="27"/>
    <x v="0"/>
    <n v="4"/>
    <x v="2"/>
    <x v="1"/>
  </r>
  <r>
    <n v="26"/>
    <n v="234"/>
    <n v="156"/>
    <n v="78"/>
    <x v="0"/>
    <n v="5"/>
    <x v="2"/>
    <x v="1"/>
  </r>
  <r>
    <n v="79"/>
    <n v="158"/>
    <n v="79"/>
    <n v="79"/>
    <x v="0"/>
    <n v="5"/>
    <x v="0"/>
    <x v="1"/>
  </r>
  <r>
    <n v="17"/>
    <n v="246.5"/>
    <n v="136"/>
    <n v="110.5"/>
    <x v="0"/>
    <n v="4"/>
    <x v="0"/>
    <x v="0"/>
  </r>
  <r>
    <n v="121"/>
    <n v="1089"/>
    <n v="726"/>
    <n v="363"/>
    <x v="0"/>
    <n v="5"/>
    <x v="0"/>
    <x v="1"/>
  </r>
  <r>
    <n v="116"/>
    <n v="232"/>
    <n v="116"/>
    <n v="116"/>
    <x v="0"/>
    <n v="4"/>
    <x v="0"/>
    <x v="0"/>
  </r>
  <r>
    <n v="131"/>
    <n v="522.69000000000005"/>
    <n v="262"/>
    <n v="260.69000000000005"/>
    <x v="0"/>
    <n v="5"/>
    <x v="4"/>
    <x v="1"/>
  </r>
  <r>
    <n v="144"/>
    <n v="1006.5600000000001"/>
    <n v="504"/>
    <n v="502.56000000000006"/>
    <x v="0"/>
    <n v="4"/>
    <x v="2"/>
    <x v="1"/>
  </r>
  <r>
    <n v="102"/>
    <n v="406.98"/>
    <n v="204"/>
    <n v="202.98000000000002"/>
    <x v="0"/>
    <n v="5"/>
    <x v="0"/>
    <x v="0"/>
  </r>
  <r>
    <n v="212"/>
    <n v="1378"/>
    <n v="742"/>
    <n v="636"/>
    <x v="0"/>
    <n v="5"/>
    <x v="4"/>
    <x v="2"/>
  </r>
  <r>
    <n v="191"/>
    <n v="382"/>
    <n v="191"/>
    <n v="191"/>
    <x v="0"/>
    <n v="5"/>
    <x v="2"/>
    <x v="1"/>
  </r>
  <r>
    <n v="172"/>
    <n v="516"/>
    <n v="258"/>
    <n v="258"/>
    <x v="0"/>
    <n v="4"/>
    <x v="0"/>
    <x v="1"/>
  </r>
  <r>
    <n v="27"/>
    <n v="107.73"/>
    <n v="54"/>
    <n v="53.730000000000004"/>
    <x v="0"/>
    <n v="5"/>
    <x v="0"/>
    <x v="1"/>
  </r>
  <r>
    <n v="36"/>
    <n v="359.64"/>
    <n v="180"/>
    <n v="179.64"/>
    <x v="0"/>
    <n v="4"/>
    <x v="0"/>
    <x v="0"/>
  </r>
  <r>
    <n v="191"/>
    <n v="1908.0900000000001"/>
    <n v="955"/>
    <n v="953.09000000000015"/>
    <x v="0"/>
    <n v="4"/>
    <x v="5"/>
    <x v="1"/>
  </r>
  <r>
    <n v="103"/>
    <n v="669.5"/>
    <n v="360.5"/>
    <n v="309"/>
    <x v="0"/>
    <n v="4"/>
    <x v="0"/>
    <x v="0"/>
  </r>
  <r>
    <n v="61"/>
    <n v="609.39"/>
    <n v="305"/>
    <n v="304.39"/>
    <x v="0"/>
    <n v="4"/>
    <x v="3"/>
    <x v="1"/>
  </r>
  <r>
    <n v="197"/>
    <n v="786.03000000000009"/>
    <n v="394"/>
    <n v="392.03000000000009"/>
    <x v="0"/>
    <n v="4"/>
    <x v="3"/>
    <x v="1"/>
  </r>
  <r>
    <n v="34"/>
    <n v="221"/>
    <n v="119"/>
    <n v="102"/>
    <x v="0"/>
    <n v="5"/>
    <x v="3"/>
    <x v="1"/>
  </r>
  <r>
    <n v="37"/>
    <n v="166.5"/>
    <n v="92.5"/>
    <n v="74"/>
    <x v="0"/>
    <n v="5"/>
    <x v="5"/>
    <x v="0"/>
  </r>
  <r>
    <n v="181"/>
    <n v="722.19"/>
    <n v="362"/>
    <n v="360.19000000000005"/>
    <x v="0"/>
    <n v="4"/>
    <x v="0"/>
    <x v="0"/>
  </r>
  <r>
    <n v="1"/>
    <n v="6.99"/>
    <n v="3.5"/>
    <n v="3.49"/>
    <x v="0"/>
    <n v="5"/>
    <x v="6"/>
    <x v="1"/>
  </r>
  <r>
    <n v="74"/>
    <n v="444"/>
    <n v="222"/>
    <n v="222"/>
    <x v="0"/>
    <n v="4"/>
    <x v="3"/>
    <x v="0"/>
  </r>
  <r>
    <n v="17"/>
    <n v="169.83"/>
    <n v="85"/>
    <n v="84.830000000000013"/>
    <x v="0"/>
    <n v="4"/>
    <x v="0"/>
    <x v="1"/>
  </r>
  <r>
    <n v="141"/>
    <n v="423"/>
    <n v="211.5"/>
    <n v="211.5"/>
    <x v="0"/>
    <n v="4"/>
    <x v="5"/>
    <x v="2"/>
  </r>
  <r>
    <n v="169"/>
    <n v="1098.5"/>
    <n v="591.5"/>
    <n v="507"/>
    <x v="0"/>
    <n v="5"/>
    <x v="3"/>
    <x v="1"/>
  </r>
  <r>
    <n v="79"/>
    <n v="789.21"/>
    <n v="395"/>
    <n v="394.21000000000004"/>
    <x v="0"/>
    <n v="5"/>
    <x v="0"/>
    <x v="1"/>
  </r>
  <r>
    <n v="55"/>
    <n v="219.45000000000002"/>
    <n v="110"/>
    <n v="109.45000000000002"/>
    <x v="0"/>
    <n v="5"/>
    <x v="2"/>
    <x v="2"/>
  </r>
  <r>
    <n v="65"/>
    <n v="390"/>
    <n v="195"/>
    <n v="195"/>
    <x v="0"/>
    <n v="4"/>
    <x v="5"/>
    <x v="0"/>
  </r>
  <r>
    <n v="75"/>
    <n v="225"/>
    <n v="112.5"/>
    <n v="112.5"/>
    <x v="0"/>
    <n v="4"/>
    <x v="5"/>
    <x v="0"/>
  </r>
  <r>
    <n v="58"/>
    <n v="405.42"/>
    <n v="203"/>
    <n v="202.42000000000002"/>
    <x v="0"/>
    <n v="5"/>
    <x v="5"/>
    <x v="1"/>
  </r>
  <r>
    <n v="60"/>
    <n v="270"/>
    <n v="150"/>
    <n v="120"/>
    <x v="0"/>
    <n v="4"/>
    <x v="4"/>
    <x v="1"/>
  </r>
  <r>
    <n v="115"/>
    <n v="230"/>
    <n v="115"/>
    <n v="115"/>
    <x v="0"/>
    <n v="5"/>
    <x v="0"/>
    <x v="2"/>
  </r>
  <r>
    <n v="108"/>
    <n v="324"/>
    <n v="162"/>
    <n v="162"/>
    <x v="0"/>
    <n v="4"/>
    <x v="3"/>
    <x v="1"/>
  </r>
  <r>
    <n v="63"/>
    <n v="126"/>
    <n v="63"/>
    <n v="63"/>
    <x v="0"/>
    <n v="5"/>
    <x v="5"/>
    <x v="0"/>
  </r>
  <r>
    <n v="98"/>
    <n v="637"/>
    <n v="343"/>
    <n v="294"/>
    <x v="0"/>
    <n v="4"/>
    <x v="5"/>
    <x v="2"/>
  </r>
  <r>
    <n v="119"/>
    <n v="1071"/>
    <n v="714"/>
    <n v="357"/>
    <x v="0"/>
    <n v="5"/>
    <x v="0"/>
    <x v="1"/>
  </r>
  <r>
    <n v="90"/>
    <n v="540"/>
    <n v="270"/>
    <n v="270"/>
    <x v="0"/>
    <n v="5"/>
    <x v="0"/>
    <x v="1"/>
  </r>
  <r>
    <n v="11"/>
    <n v="99"/>
    <n v="66"/>
    <n v="33"/>
    <x v="0"/>
    <n v="5"/>
    <x v="6"/>
    <x v="0"/>
  </r>
  <r>
    <n v="152"/>
    <n v="606.48"/>
    <n v="304"/>
    <n v="302.48"/>
    <x v="0"/>
    <n v="5"/>
    <x v="4"/>
    <x v="1"/>
  </r>
  <r>
    <n v="11"/>
    <n v="33"/>
    <n v="16.5"/>
    <n v="16.5"/>
    <x v="0"/>
    <n v="4"/>
    <x v="3"/>
    <x v="2"/>
  </r>
  <r>
    <n v="158"/>
    <n v="474"/>
    <n v="237"/>
    <n v="237"/>
    <x v="0"/>
    <n v="4"/>
    <x v="3"/>
    <x v="2"/>
  </r>
  <r>
    <n v="1"/>
    <n v="9.99"/>
    <n v="5"/>
    <n v="4.99"/>
    <x v="0"/>
    <n v="5"/>
    <x v="3"/>
    <x v="1"/>
  </r>
  <r>
    <n v="131"/>
    <n v="786"/>
    <n v="393"/>
    <n v="393"/>
    <x v="0"/>
    <n v="5"/>
    <x v="3"/>
    <x v="0"/>
  </r>
  <r>
    <n v="148"/>
    <n v="590.52"/>
    <n v="296"/>
    <n v="294.52"/>
    <x v="0"/>
    <n v="4"/>
    <x v="3"/>
    <x v="1"/>
  </r>
  <r>
    <n v="153"/>
    <n v="1528.47"/>
    <n v="765"/>
    <n v="763.47"/>
    <x v="0"/>
    <n v="5"/>
    <x v="3"/>
    <x v="1"/>
  </r>
  <r>
    <n v="125"/>
    <n v="873.75"/>
    <n v="437.5"/>
    <n v="436.25"/>
    <x v="0"/>
    <n v="4"/>
    <x v="0"/>
    <x v="1"/>
  </r>
  <r>
    <n v="162"/>
    <n v="324"/>
    <n v="162"/>
    <n v="162"/>
    <x v="0"/>
    <n v="4"/>
    <x v="3"/>
    <x v="1"/>
  </r>
  <r>
    <n v="108"/>
    <n v="702"/>
    <n v="378"/>
    <n v="324"/>
    <x v="0"/>
    <n v="4"/>
    <x v="0"/>
    <x v="1"/>
  </r>
  <r>
    <n v="191"/>
    <n v="382"/>
    <n v="191"/>
    <n v="191"/>
    <x v="0"/>
    <n v="4"/>
    <x v="1"/>
    <x v="0"/>
  </r>
  <r>
    <n v="165"/>
    <n v="658.35"/>
    <n v="330"/>
    <n v="328.35"/>
    <x v="0"/>
    <n v="5"/>
    <x v="1"/>
    <x v="1"/>
  </r>
  <r>
    <n v="128"/>
    <n v="384"/>
    <n v="192"/>
    <n v="192"/>
    <x v="0"/>
    <n v="4"/>
    <x v="4"/>
    <x v="1"/>
  </r>
  <r>
    <n v="146"/>
    <n v="582.54000000000008"/>
    <n v="292"/>
    <n v="290.54000000000008"/>
    <x v="0"/>
    <n v="5"/>
    <x v="1"/>
    <x v="0"/>
  </r>
  <r>
    <n v="206"/>
    <n v="2987"/>
    <n v="1648"/>
    <n v="1339"/>
    <x v="0"/>
    <n v="5"/>
    <x v="3"/>
    <x v="1"/>
  </r>
  <r>
    <n v="196"/>
    <n v="782.04000000000008"/>
    <n v="392"/>
    <n v="390.04000000000008"/>
    <x v="0"/>
    <n v="4"/>
    <x v="3"/>
    <x v="2"/>
  </r>
  <r>
    <n v="88"/>
    <n v="396"/>
    <n v="220"/>
    <n v="176"/>
    <x v="0"/>
    <n v="5"/>
    <x v="1"/>
    <x v="1"/>
  </r>
  <r>
    <n v="209"/>
    <n v="1358.5"/>
    <n v="731.5"/>
    <n v="627"/>
    <x v="0"/>
    <n v="4"/>
    <x v="0"/>
    <x v="0"/>
  </r>
  <r>
    <n v="189"/>
    <n v="1228.5"/>
    <n v="661.5"/>
    <n v="567"/>
    <x v="0"/>
    <n v="5"/>
    <x v="4"/>
    <x v="1"/>
  </r>
  <r>
    <n v="77"/>
    <n v="231"/>
    <n v="115.5"/>
    <n v="115.5"/>
    <x v="0"/>
    <n v="3"/>
    <x v="0"/>
    <x v="0"/>
  </r>
  <r>
    <n v="163"/>
    <n v="1628.3700000000001"/>
    <n v="815"/>
    <n v="813.37000000000012"/>
    <x v="0"/>
    <n v="1"/>
    <x v="0"/>
    <x v="2"/>
  </r>
  <r>
    <n v="99"/>
    <n v="297"/>
    <n v="148.5"/>
    <n v="148.5"/>
    <x v="0"/>
    <n v="3"/>
    <x v="0"/>
    <x v="0"/>
  </r>
  <r>
    <n v="180"/>
    <n v="360"/>
    <n v="180"/>
    <n v="180"/>
    <x v="0"/>
    <n v="1"/>
    <x v="5"/>
    <x v="0"/>
  </r>
  <r>
    <n v="106"/>
    <n v="212"/>
    <n v="106"/>
    <n v="106"/>
    <x v="0"/>
    <n v="3"/>
    <x v="1"/>
    <x v="1"/>
  </r>
  <r>
    <n v="165"/>
    <n v="2392.5"/>
    <n v="1320"/>
    <n v="1072.5"/>
    <x v="0"/>
    <n v="2"/>
    <x v="4"/>
    <x v="0"/>
  </r>
  <r>
    <n v="12"/>
    <n v="36"/>
    <n v="18"/>
    <n v="18"/>
    <x v="0"/>
    <n v="3"/>
    <x v="3"/>
    <x v="2"/>
  </r>
  <r>
    <n v="37"/>
    <n v="147.63"/>
    <n v="74"/>
    <n v="73.63"/>
    <x v="0"/>
    <n v="1"/>
    <x v="2"/>
    <x v="0"/>
  </r>
  <r>
    <n v="28"/>
    <n v="111.72"/>
    <n v="56"/>
    <n v="55.72"/>
    <x v="0"/>
    <n v="3"/>
    <x v="6"/>
    <x v="1"/>
  </r>
  <r>
    <n v="18"/>
    <n v="117"/>
    <n v="63"/>
    <n v="54"/>
    <x v="0"/>
    <n v="2"/>
    <x v="0"/>
    <x v="2"/>
  </r>
  <r>
    <n v="99"/>
    <n v="989.01"/>
    <n v="495"/>
    <n v="494.01"/>
    <x v="0"/>
    <n v="3"/>
    <x v="2"/>
    <x v="1"/>
  </r>
  <r>
    <n v="132"/>
    <n v="594"/>
    <n v="330"/>
    <n v="264"/>
    <x v="0"/>
    <n v="1"/>
    <x v="5"/>
    <x v="1"/>
  </r>
  <r>
    <n v="95"/>
    <n v="285"/>
    <n v="142.5"/>
    <n v="142.5"/>
    <x v="0"/>
    <n v="2"/>
    <x v="3"/>
    <x v="0"/>
  </r>
  <r>
    <n v="120"/>
    <n v="540"/>
    <n v="300"/>
    <n v="240"/>
    <x v="0"/>
    <n v="3"/>
    <x v="0"/>
    <x v="1"/>
  </r>
  <r>
    <n v="36"/>
    <n v="522"/>
    <n v="288"/>
    <n v="234"/>
    <x v="0"/>
    <n v="2"/>
    <x v="0"/>
    <x v="1"/>
  </r>
  <r>
    <n v="86"/>
    <n v="343.14000000000004"/>
    <n v="172"/>
    <n v="171.14000000000004"/>
    <x v="0"/>
    <n v="1"/>
    <x v="0"/>
    <x v="0"/>
  </r>
  <r>
    <n v="149"/>
    <n v="594.51"/>
    <n v="298"/>
    <n v="296.51"/>
    <x v="0"/>
    <n v="1"/>
    <x v="0"/>
    <x v="0"/>
  </r>
  <r>
    <n v="7"/>
    <n v="27.93"/>
    <n v="14"/>
    <n v="13.93"/>
    <x v="0"/>
    <n v="1"/>
    <x v="0"/>
    <x v="0"/>
  </r>
  <r>
    <n v="9"/>
    <n v="58.5"/>
    <n v="31.5"/>
    <n v="27"/>
    <x v="0"/>
    <n v="2"/>
    <x v="0"/>
    <x v="1"/>
  </r>
  <r>
    <n v="151"/>
    <n v="906"/>
    <n v="453"/>
    <n v="453"/>
    <x v="0"/>
    <n v="3"/>
    <x v="1"/>
    <x v="0"/>
  </r>
  <r>
    <n v="24"/>
    <n v="48"/>
    <n v="24"/>
    <n v="24"/>
    <x v="0"/>
    <n v="2"/>
    <x v="5"/>
    <x v="0"/>
  </r>
  <r>
    <n v="200"/>
    <n v="600"/>
    <n v="300"/>
    <n v="300"/>
    <x v="0"/>
    <n v="1"/>
    <x v="4"/>
    <x v="0"/>
  </r>
  <r>
    <n v="160"/>
    <n v="638.40000000000009"/>
    <n v="320"/>
    <n v="318.40000000000009"/>
    <x v="0"/>
    <n v="1"/>
    <x v="0"/>
    <x v="0"/>
  </r>
  <r>
    <n v="103"/>
    <n v="669.5"/>
    <n v="360.5"/>
    <n v="309"/>
    <x v="0"/>
    <n v="3"/>
    <x v="3"/>
    <x v="2"/>
  </r>
  <r>
    <n v="61"/>
    <n v="122"/>
    <n v="61"/>
    <n v="61"/>
    <x v="0"/>
    <n v="1"/>
    <x v="0"/>
    <x v="1"/>
  </r>
  <r>
    <n v="84"/>
    <n v="546"/>
    <n v="294"/>
    <n v="252"/>
    <x v="0"/>
    <n v="3"/>
    <x v="4"/>
    <x v="0"/>
  </r>
  <r>
    <n v="197"/>
    <n v="1377.03"/>
    <n v="689.5"/>
    <n v="687.53"/>
    <x v="0"/>
    <n v="1"/>
    <x v="3"/>
    <x v="2"/>
  </r>
  <r>
    <n v="161"/>
    <n v="1449"/>
    <n v="966"/>
    <n v="483"/>
    <x v="0"/>
    <n v="2"/>
    <x v="3"/>
    <x v="0"/>
  </r>
  <r>
    <n v="181"/>
    <n v="814.5"/>
    <n v="452.5"/>
    <n v="362"/>
    <x v="0"/>
    <n v="2"/>
    <x v="2"/>
    <x v="0"/>
  </r>
  <r>
    <n v="91"/>
    <n v="1319.5"/>
    <n v="728"/>
    <n v="591.5"/>
    <x v="0"/>
    <n v="1"/>
    <x v="4"/>
    <x v="1"/>
  </r>
  <r>
    <n v="52"/>
    <n v="312"/>
    <n v="156"/>
    <n v="156"/>
    <x v="0"/>
    <n v="3"/>
    <x v="5"/>
    <x v="1"/>
  </r>
  <r>
    <n v="207"/>
    <n v="621"/>
    <n v="310.5"/>
    <n v="310.5"/>
    <x v="0"/>
    <n v="1"/>
    <x v="3"/>
    <x v="0"/>
  </r>
  <r>
    <n v="132"/>
    <n v="396"/>
    <n v="198"/>
    <n v="198"/>
    <x v="0"/>
    <n v="1"/>
    <x v="1"/>
    <x v="1"/>
  </r>
  <r>
    <n v="25"/>
    <n v="112.5"/>
    <n v="62.5"/>
    <n v="50"/>
    <x v="0"/>
    <n v="2"/>
    <x v="2"/>
    <x v="0"/>
  </r>
  <r>
    <n v="152"/>
    <n v="456"/>
    <n v="228"/>
    <n v="228"/>
    <x v="0"/>
    <n v="1"/>
    <x v="4"/>
    <x v="0"/>
  </r>
  <r>
    <n v="187"/>
    <n v="1122"/>
    <n v="561"/>
    <n v="561"/>
    <x v="0"/>
    <n v="1"/>
    <x v="0"/>
    <x v="0"/>
  </r>
  <r>
    <n v="84"/>
    <n v="335.16"/>
    <n v="168"/>
    <n v="167.16000000000003"/>
    <x v="0"/>
    <n v="1"/>
    <x v="5"/>
    <x v="0"/>
  </r>
  <r>
    <n v="86"/>
    <n v="1247"/>
    <n v="688"/>
    <n v="559"/>
    <x v="0"/>
    <n v="2"/>
    <x v="2"/>
    <x v="1"/>
  </r>
  <r>
    <n v="183"/>
    <n v="823.5"/>
    <n v="457.5"/>
    <n v="366"/>
    <x v="0"/>
    <n v="1"/>
    <x v="1"/>
    <x v="0"/>
  </r>
  <r>
    <n v="121"/>
    <n v="786.5"/>
    <n v="423.5"/>
    <n v="363"/>
    <x v="0"/>
    <n v="2"/>
    <x v="0"/>
    <x v="0"/>
  </r>
  <r>
    <n v="165"/>
    <n v="658.35"/>
    <n v="330"/>
    <n v="328.35"/>
    <x v="0"/>
    <n v="2"/>
    <x v="0"/>
    <x v="0"/>
  </r>
  <r>
    <n v="27"/>
    <n v="107.73"/>
    <n v="54"/>
    <n v="53.730000000000004"/>
    <x v="0"/>
    <n v="2"/>
    <x v="1"/>
    <x v="0"/>
  </r>
  <r>
    <n v="205"/>
    <n v="1230"/>
    <n v="615"/>
    <n v="615"/>
    <x v="0"/>
    <n v="3"/>
    <x v="0"/>
    <x v="1"/>
  </r>
  <r>
    <n v="22"/>
    <n v="44"/>
    <n v="22"/>
    <n v="22"/>
    <x v="0"/>
    <n v="3"/>
    <x v="0"/>
    <x v="0"/>
  </r>
  <r>
    <n v="155"/>
    <n v="618.45000000000005"/>
    <n v="310"/>
    <n v="308.45000000000005"/>
    <x v="0"/>
    <n v="2"/>
    <x v="3"/>
    <x v="0"/>
  </r>
  <r>
    <n v="197"/>
    <n v="1773"/>
    <n v="1182"/>
    <n v="591"/>
    <x v="0"/>
    <n v="2"/>
    <x v="0"/>
    <x v="0"/>
  </r>
  <r>
    <n v="202"/>
    <n v="909"/>
    <n v="505"/>
    <n v="404"/>
    <x v="0"/>
    <n v="1"/>
    <x v="1"/>
    <x v="1"/>
  </r>
  <r>
    <n v="126"/>
    <n v="567"/>
    <n v="315"/>
    <n v="252"/>
    <x v="0"/>
    <n v="2"/>
    <x v="2"/>
    <x v="1"/>
  </r>
  <r>
    <n v="164"/>
    <n v="2378"/>
    <n v="1312"/>
    <n v="1066"/>
    <x v="0"/>
    <n v="3"/>
    <x v="0"/>
    <x v="0"/>
  </r>
  <r>
    <n v="9"/>
    <n v="35.910000000000004"/>
    <n v="18"/>
    <n v="17.910000000000004"/>
    <x v="0"/>
    <n v="2"/>
    <x v="3"/>
    <x v="0"/>
  </r>
  <r>
    <n v="42"/>
    <n v="84"/>
    <n v="42"/>
    <n v="42"/>
    <x v="0"/>
    <n v="1"/>
    <x v="0"/>
    <x v="1"/>
  </r>
  <r>
    <n v="9"/>
    <n v="81"/>
    <n v="54"/>
    <n v="27"/>
    <x v="0"/>
    <n v="2"/>
    <x v="3"/>
    <x v="1"/>
  </r>
  <r>
    <n v="141"/>
    <n v="916.5"/>
    <n v="493.5"/>
    <n v="423"/>
    <x v="0"/>
    <n v="3"/>
    <x v="2"/>
    <x v="0"/>
  </r>
  <r>
    <n v="184"/>
    <n v="1838.16"/>
    <n v="920"/>
    <n v="918.16000000000008"/>
    <x v="0"/>
    <n v="2"/>
    <x v="6"/>
    <x v="0"/>
  </r>
  <r>
    <n v="119"/>
    <n v="535.5"/>
    <n v="297.5"/>
    <n v="238"/>
    <x v="0"/>
    <n v="3"/>
    <x v="0"/>
    <x v="0"/>
  </r>
  <r>
    <n v="49"/>
    <n v="220.5"/>
    <n v="122.5"/>
    <n v="98"/>
    <x v="0"/>
    <n v="2"/>
    <x v="2"/>
    <x v="0"/>
  </r>
  <r>
    <n v="93"/>
    <n v="929.07"/>
    <n v="465"/>
    <n v="464.07000000000005"/>
    <x v="0"/>
    <n v="1"/>
    <x v="0"/>
    <x v="1"/>
  </r>
  <r>
    <n v="187"/>
    <n v="841.5"/>
    <n v="467.5"/>
    <n v="374"/>
    <x v="0"/>
    <n v="1"/>
    <x v="4"/>
    <x v="1"/>
  </r>
  <r>
    <n v="183"/>
    <n v="2653.5"/>
    <n v="1464"/>
    <n v="1189.5"/>
    <x v="0"/>
    <n v="3"/>
    <x v="4"/>
    <x v="2"/>
  </r>
  <r>
    <n v="58"/>
    <n v="174"/>
    <n v="87"/>
    <n v="87"/>
    <x v="0"/>
    <n v="3"/>
    <x v="3"/>
    <x v="1"/>
  </r>
  <r>
    <n v="194"/>
    <n v="774.06000000000006"/>
    <n v="388"/>
    <n v="386.06000000000006"/>
    <x v="0"/>
    <n v="2"/>
    <x v="3"/>
    <x v="1"/>
  </r>
  <r>
    <n v="211"/>
    <n v="1899"/>
    <n v="1266"/>
    <n v="633"/>
    <x v="0"/>
    <n v="2"/>
    <x v="5"/>
    <x v="2"/>
  </r>
  <r>
    <n v="11"/>
    <n v="99"/>
    <n v="66"/>
    <n v="33"/>
    <x v="0"/>
    <n v="3"/>
    <x v="5"/>
    <x v="1"/>
  </r>
  <r>
    <n v="33"/>
    <n v="214.5"/>
    <n v="115.5"/>
    <n v="99"/>
    <x v="0"/>
    <n v="2"/>
    <x v="0"/>
    <x v="0"/>
  </r>
  <r>
    <n v="36"/>
    <n v="143.64000000000001"/>
    <n v="72"/>
    <n v="71.640000000000015"/>
    <x v="0"/>
    <n v="2"/>
    <x v="3"/>
    <x v="0"/>
  </r>
  <r>
    <n v="141"/>
    <n v="562.59"/>
    <n v="282"/>
    <n v="280.59000000000003"/>
    <x v="0"/>
    <n v="2"/>
    <x v="3"/>
    <x v="0"/>
  </r>
  <r>
    <n v="111"/>
    <n v="333"/>
    <n v="166.5"/>
    <n v="166.5"/>
    <x v="0"/>
    <n v="3"/>
    <x v="4"/>
    <x v="1"/>
  </r>
  <r>
    <n v="171"/>
    <n v="513"/>
    <n v="256.5"/>
    <n v="256.5"/>
    <x v="0"/>
    <n v="2"/>
    <x v="4"/>
    <x v="0"/>
  </r>
  <r>
    <n v="16"/>
    <n v="232"/>
    <n v="128"/>
    <n v="104"/>
    <x v="0"/>
    <n v="2"/>
    <x v="3"/>
    <x v="1"/>
  </r>
  <r>
    <n v="144"/>
    <n v="574.56000000000006"/>
    <n v="288"/>
    <n v="286.56000000000006"/>
    <x v="0"/>
    <n v="1"/>
    <x v="0"/>
    <x v="1"/>
  </r>
  <r>
    <n v="104"/>
    <n v="312"/>
    <n v="156"/>
    <n v="156"/>
    <x v="0"/>
    <n v="1"/>
    <x v="3"/>
    <x v="1"/>
  </r>
  <r>
    <n v="196"/>
    <n v="782.04000000000008"/>
    <n v="392"/>
    <n v="390.04000000000008"/>
    <x v="0"/>
    <n v="2"/>
    <x v="3"/>
    <x v="0"/>
  </r>
  <r>
    <n v="14"/>
    <n v="91"/>
    <n v="49"/>
    <n v="42"/>
    <x v="0"/>
    <n v="2"/>
    <x v="1"/>
    <x v="0"/>
  </r>
  <r>
    <n v="87"/>
    <n v="522"/>
    <n v="261"/>
    <n v="261"/>
    <x v="0"/>
    <n v="1"/>
    <x v="1"/>
    <x v="1"/>
  </r>
  <r>
    <n v="66"/>
    <n v="429"/>
    <n v="231"/>
    <n v="198"/>
    <x v="0"/>
    <n v="2"/>
    <x v="4"/>
    <x v="0"/>
  </r>
  <r>
    <n v="154"/>
    <n v="1001"/>
    <n v="539"/>
    <n v="462"/>
    <x v="0"/>
    <n v="1"/>
    <x v="2"/>
    <x v="0"/>
  </r>
  <r>
    <n v="16"/>
    <n v="104"/>
    <n v="56"/>
    <n v="48"/>
    <x v="0"/>
    <n v="1"/>
    <x v="2"/>
    <x v="0"/>
  </r>
  <r>
    <n v="89"/>
    <n v="1290.5"/>
    <n v="712"/>
    <n v="578.5"/>
    <x v="0"/>
    <n v="2"/>
    <x v="2"/>
    <x v="0"/>
  </r>
  <r>
    <n v="150"/>
    <n v="1048.5"/>
    <n v="525"/>
    <n v="523.5"/>
    <x v="0"/>
    <n v="3"/>
    <x v="0"/>
    <x v="0"/>
  </r>
  <r>
    <n v="76"/>
    <n v="684"/>
    <n v="456"/>
    <n v="228"/>
    <x v="0"/>
    <n v="1"/>
    <x v="2"/>
    <x v="2"/>
  </r>
  <r>
    <n v="178"/>
    <n v="534"/>
    <n v="267"/>
    <n v="267"/>
    <x v="0"/>
    <n v="2"/>
    <x v="3"/>
    <x v="1"/>
  </r>
  <r>
    <n v="193"/>
    <n v="1928.07"/>
    <n v="965"/>
    <n v="963.06999999999994"/>
    <x v="0"/>
    <n v="1"/>
    <x v="3"/>
    <x v="0"/>
  </r>
  <r>
    <n v="174"/>
    <n v="1216.26"/>
    <n v="609"/>
    <n v="607.26"/>
    <x v="0"/>
    <n v="3"/>
    <x v="3"/>
    <x v="1"/>
  </r>
  <r>
    <n v="127"/>
    <n v="1143"/>
    <n v="762"/>
    <n v="381"/>
    <x v="0"/>
    <n v="2"/>
    <x v="3"/>
    <x v="1"/>
  </r>
  <r>
    <n v="180"/>
    <n v="1620"/>
    <n v="1080"/>
    <n v="540"/>
    <x v="0"/>
    <n v="3"/>
    <x v="1"/>
    <x v="0"/>
  </r>
  <r>
    <n v="10"/>
    <n v="39.900000000000006"/>
    <n v="20"/>
    <n v="19.900000000000006"/>
    <x v="0"/>
    <n v="2"/>
    <x v="0"/>
    <x v="1"/>
  </r>
  <r>
    <n v="97"/>
    <n v="582"/>
    <n v="291"/>
    <n v="291"/>
    <x v="0"/>
    <n v="1"/>
    <x v="0"/>
    <x v="0"/>
  </r>
  <r>
    <n v="23"/>
    <n v="160.77000000000001"/>
    <n v="80.5"/>
    <n v="80.27000000000001"/>
    <x v="0"/>
    <n v="2"/>
    <x v="0"/>
    <x v="1"/>
  </r>
  <r>
    <n v="139"/>
    <n v="554.61"/>
    <n v="278"/>
    <n v="276.61"/>
    <x v="0"/>
    <n v="3"/>
    <x v="5"/>
    <x v="1"/>
  </r>
  <r>
    <n v="75"/>
    <n v="524.25"/>
    <n v="262.5"/>
    <n v="261.75"/>
    <x v="0"/>
    <n v="2"/>
    <x v="4"/>
    <x v="0"/>
  </r>
  <r>
    <n v="166"/>
    <n v="747"/>
    <n v="415"/>
    <n v="332"/>
    <x v="0"/>
    <n v="2"/>
    <x v="5"/>
    <x v="1"/>
  </r>
  <r>
    <n v="115"/>
    <n v="345"/>
    <n v="172.5"/>
    <n v="172.5"/>
    <x v="0"/>
    <n v="1"/>
    <x v="3"/>
    <x v="0"/>
  </r>
  <r>
    <n v="206"/>
    <n v="1236"/>
    <n v="618"/>
    <n v="618"/>
    <x v="0"/>
    <n v="2"/>
    <x v="3"/>
    <x v="1"/>
  </r>
  <r>
    <n v="66"/>
    <n v="263.34000000000003"/>
    <n v="132"/>
    <n v="131.34000000000003"/>
    <x v="0"/>
    <n v="3"/>
    <x v="0"/>
    <x v="1"/>
  </r>
  <r>
    <n v="65"/>
    <n v="422.5"/>
    <n v="227.5"/>
    <n v="195"/>
    <x v="0"/>
    <n v="1"/>
    <x v="4"/>
    <x v="1"/>
  </r>
  <r>
    <n v="92"/>
    <n v="1334"/>
    <n v="736"/>
    <n v="598"/>
    <x v="0"/>
    <n v="1"/>
    <x v="1"/>
    <x v="1"/>
  </r>
  <r>
    <n v="185"/>
    <n v="555"/>
    <n v="277.5"/>
    <n v="277.5"/>
    <x v="0"/>
    <n v="2"/>
    <x v="3"/>
    <x v="1"/>
  </r>
  <r>
    <n v="205"/>
    <n v="1332.5"/>
    <n v="717.5"/>
    <n v="615"/>
    <x v="0"/>
    <n v="2"/>
    <x v="0"/>
    <x v="0"/>
  </r>
  <r>
    <n v="82"/>
    <n v="327.18"/>
    <n v="164"/>
    <n v="163.18"/>
    <x v="0"/>
    <n v="1"/>
    <x v="2"/>
    <x v="1"/>
  </r>
  <r>
    <n v="69"/>
    <n v="138"/>
    <n v="69"/>
    <n v="69"/>
    <x v="0"/>
    <n v="3"/>
    <x v="4"/>
    <x v="2"/>
  </r>
  <r>
    <n v="198"/>
    <n v="790.0200000000001"/>
    <n v="396"/>
    <n v="394.0200000000001"/>
    <x v="0"/>
    <n v="2"/>
    <x v="5"/>
    <x v="1"/>
  </r>
  <r>
    <n v="105"/>
    <n v="733.95"/>
    <n v="367.5"/>
    <n v="366.45000000000005"/>
    <x v="0"/>
    <n v="2"/>
    <x v="0"/>
    <x v="0"/>
  </r>
  <r>
    <n v="7"/>
    <n v="63"/>
    <n v="42"/>
    <n v="21"/>
    <x v="0"/>
    <n v="3"/>
    <x v="3"/>
    <x v="0"/>
  </r>
  <r>
    <n v="122"/>
    <n v="793"/>
    <n v="427"/>
    <n v="366"/>
    <x v="0"/>
    <n v="2"/>
    <x v="4"/>
    <x v="2"/>
  </r>
  <r>
    <n v="29"/>
    <n v="87"/>
    <n v="43.5"/>
    <n v="43.5"/>
    <x v="0"/>
    <n v="3"/>
    <x v="4"/>
    <x v="0"/>
  </r>
  <r>
    <n v="75"/>
    <n v="150"/>
    <n v="75"/>
    <n v="75"/>
    <x v="0"/>
    <n v="2"/>
    <x v="0"/>
    <x v="1"/>
  </r>
  <r>
    <n v="83"/>
    <n v="331.17"/>
    <n v="166"/>
    <n v="165.17000000000002"/>
    <x v="0"/>
    <n v="1"/>
    <x v="2"/>
    <x v="1"/>
  </r>
  <r>
    <n v="168"/>
    <n v="756"/>
    <n v="420"/>
    <n v="336"/>
    <x v="0"/>
    <n v="1"/>
    <x v="5"/>
    <x v="0"/>
  </r>
  <r>
    <n v="153"/>
    <n v="994.5"/>
    <n v="535.5"/>
    <n v="459"/>
    <x v="0"/>
    <n v="3"/>
    <x v="0"/>
    <x v="0"/>
  </r>
  <r>
    <n v="109"/>
    <n v="708.5"/>
    <n v="381.5"/>
    <n v="327"/>
    <x v="0"/>
    <n v="2"/>
    <x v="0"/>
    <x v="0"/>
  </r>
  <r>
    <n v="57"/>
    <n v="256.5"/>
    <n v="142.5"/>
    <n v="114"/>
    <x v="0"/>
    <n v="2"/>
    <x v="0"/>
    <x v="0"/>
  </r>
  <r>
    <n v="119"/>
    <n v="1071"/>
    <n v="714"/>
    <n v="357"/>
    <x v="0"/>
    <n v="1"/>
    <x v="4"/>
    <x v="0"/>
  </r>
  <r>
    <n v="87"/>
    <n v="565.5"/>
    <n v="304.5"/>
    <n v="261"/>
    <x v="0"/>
    <n v="2"/>
    <x v="2"/>
    <x v="1"/>
  </r>
  <r>
    <n v="170"/>
    <n v="510"/>
    <n v="255"/>
    <n v="255"/>
    <x v="0"/>
    <n v="3"/>
    <x v="1"/>
    <x v="1"/>
  </r>
  <r>
    <n v="91"/>
    <n v="636.09"/>
    <n v="318.5"/>
    <n v="317.59000000000003"/>
    <x v="0"/>
    <n v="1"/>
    <x v="0"/>
    <x v="1"/>
  </r>
  <r>
    <n v="124"/>
    <n v="744"/>
    <n v="372"/>
    <n v="372"/>
    <x v="0"/>
    <n v="3"/>
    <x v="3"/>
    <x v="1"/>
  </r>
  <r>
    <n v="163"/>
    <n v="1059.5"/>
    <n v="570.5"/>
    <n v="489"/>
    <x v="0"/>
    <n v="2"/>
    <x v="1"/>
    <x v="0"/>
  </r>
  <r>
    <n v="81"/>
    <n v="486"/>
    <n v="243"/>
    <n v="243"/>
    <x v="0"/>
    <n v="1"/>
    <x v="0"/>
    <x v="0"/>
  </r>
  <r>
    <n v="124"/>
    <n v="866.76"/>
    <n v="434"/>
    <n v="432.76"/>
    <x v="0"/>
    <n v="3"/>
    <x v="0"/>
    <x v="0"/>
  </r>
  <r>
    <n v="40"/>
    <n v="360"/>
    <n v="240"/>
    <n v="120"/>
    <x v="0"/>
    <n v="3"/>
    <x v="0"/>
    <x v="1"/>
  </r>
  <r>
    <n v="198"/>
    <n v="1287"/>
    <n v="693"/>
    <n v="594"/>
    <x v="0"/>
    <n v="3"/>
    <x v="4"/>
    <x v="0"/>
  </r>
  <r>
    <n v="170"/>
    <n v="1530"/>
    <n v="1020"/>
    <n v="510"/>
    <x v="0"/>
    <n v="3"/>
    <x v="1"/>
    <x v="0"/>
  </r>
  <r>
    <n v="127"/>
    <n v="381"/>
    <n v="190.5"/>
    <n v="190.5"/>
    <x v="0"/>
    <n v="1"/>
    <x v="0"/>
    <x v="1"/>
  </r>
  <r>
    <n v="86"/>
    <n v="559"/>
    <n v="301"/>
    <n v="258"/>
    <x v="0"/>
    <n v="2"/>
    <x v="1"/>
    <x v="1"/>
  </r>
  <r>
    <n v="109"/>
    <n v="327"/>
    <n v="163.5"/>
    <n v="163.5"/>
    <x v="0"/>
    <n v="1"/>
    <x v="0"/>
    <x v="2"/>
  </r>
  <r>
    <n v="194"/>
    <n v="1261"/>
    <n v="679"/>
    <n v="582"/>
    <x v="0"/>
    <n v="1"/>
    <x v="3"/>
    <x v="0"/>
  </r>
  <r>
    <n v="29"/>
    <n v="188.5"/>
    <n v="101.5"/>
    <n v="87"/>
    <x v="0"/>
    <n v="2"/>
    <x v="0"/>
    <x v="0"/>
  </r>
  <r>
    <n v="60"/>
    <n v="540"/>
    <n v="360"/>
    <n v="180"/>
    <x v="0"/>
    <n v="3"/>
    <x v="0"/>
    <x v="0"/>
  </r>
  <r>
    <n v="47"/>
    <n v="94"/>
    <n v="47"/>
    <n v="47"/>
    <x v="0"/>
    <n v="1"/>
    <x v="5"/>
    <x v="1"/>
  </r>
  <r>
    <n v="114"/>
    <n v="1138.8600000000001"/>
    <n v="570"/>
    <n v="568.86000000000013"/>
    <x v="0"/>
    <n v="2"/>
    <x v="1"/>
    <x v="0"/>
  </r>
  <r>
    <n v="33"/>
    <n v="230.67000000000002"/>
    <n v="115.5"/>
    <n v="115.17000000000002"/>
    <x v="0"/>
    <n v="2"/>
    <x v="4"/>
    <x v="0"/>
  </r>
  <r>
    <n v="31"/>
    <n v="201.5"/>
    <n v="108.5"/>
    <n v="93"/>
    <x v="0"/>
    <n v="2"/>
    <x v="5"/>
    <x v="0"/>
  </r>
  <r>
    <n v="12"/>
    <n v="78"/>
    <n v="42"/>
    <n v="36"/>
    <x v="0"/>
    <n v="3"/>
    <x v="4"/>
    <x v="2"/>
  </r>
  <r>
    <n v="50"/>
    <n v="450"/>
    <n v="300"/>
    <n v="150"/>
    <x v="0"/>
    <n v="3"/>
    <x v="4"/>
    <x v="0"/>
  </r>
  <r>
    <n v="115"/>
    <n v="458.85"/>
    <n v="230"/>
    <n v="228.85000000000002"/>
    <x v="0"/>
    <n v="2"/>
    <x v="3"/>
    <x v="2"/>
  </r>
  <r>
    <n v="64"/>
    <n v="384"/>
    <n v="192"/>
    <n v="192"/>
    <x v="0"/>
    <n v="1"/>
    <x v="2"/>
    <x v="1"/>
  </r>
  <r>
    <n v="126"/>
    <n v="819"/>
    <n v="441"/>
    <n v="378"/>
    <x v="0"/>
    <n v="3"/>
    <x v="0"/>
    <x v="1"/>
  </r>
  <r>
    <n v="177"/>
    <n v="2566.5"/>
    <n v="1416"/>
    <n v="1150.5"/>
    <x v="0"/>
    <n v="2"/>
    <x v="2"/>
    <x v="0"/>
  </r>
  <r>
    <n v="64"/>
    <n v="447.36"/>
    <n v="224"/>
    <n v="223.36"/>
    <x v="0"/>
    <n v="2"/>
    <x v="2"/>
    <x v="1"/>
  </r>
  <r>
    <n v="44"/>
    <n v="88"/>
    <n v="44"/>
    <n v="44"/>
    <x v="0"/>
    <n v="1"/>
    <x v="0"/>
    <x v="1"/>
  </r>
  <r>
    <n v="194"/>
    <n v="1938.06"/>
    <n v="970"/>
    <n v="968.06"/>
    <x v="0"/>
    <n v="2"/>
    <x v="2"/>
    <x v="1"/>
  </r>
  <r>
    <n v="49"/>
    <n v="342.51"/>
    <n v="171.5"/>
    <n v="171.01"/>
    <x v="0"/>
    <n v="2"/>
    <x v="0"/>
    <x v="1"/>
  </r>
  <r>
    <n v="209"/>
    <n v="3030.5"/>
    <n v="1672"/>
    <n v="1358.5"/>
    <x v="0"/>
    <n v="1"/>
    <x v="2"/>
    <x v="0"/>
  </r>
  <r>
    <n v="105"/>
    <n v="630"/>
    <n v="315"/>
    <n v="315"/>
    <x v="0"/>
    <n v="3"/>
    <x v="3"/>
    <x v="0"/>
  </r>
  <r>
    <n v="130"/>
    <n v="260"/>
    <n v="130"/>
    <n v="130"/>
    <x v="0"/>
    <n v="1"/>
    <x v="0"/>
    <x v="0"/>
  </r>
  <r>
    <n v="48"/>
    <n v="432"/>
    <n v="288"/>
    <n v="144"/>
    <x v="0"/>
    <n v="3"/>
    <x v="3"/>
    <x v="0"/>
  </r>
  <r>
    <n v="160"/>
    <n v="2320"/>
    <n v="1280"/>
    <n v="1040"/>
    <x v="0"/>
    <n v="3"/>
    <x v="2"/>
    <x v="2"/>
  </r>
  <r>
    <n v="179"/>
    <n v="2595.5"/>
    <n v="1432"/>
    <n v="1163.5"/>
    <x v="0"/>
    <n v="1"/>
    <x v="3"/>
    <x v="1"/>
  </r>
  <r>
    <n v="180"/>
    <n v="1258.2"/>
    <n v="630"/>
    <n v="628.20000000000005"/>
    <x v="0"/>
    <n v="1"/>
    <x v="4"/>
    <x v="0"/>
  </r>
  <r>
    <n v="171"/>
    <n v="2479.5"/>
    <n v="1368"/>
    <n v="1111.5"/>
    <x v="0"/>
    <n v="3"/>
    <x v="2"/>
    <x v="1"/>
  </r>
  <r>
    <n v="107"/>
    <n v="695.5"/>
    <n v="374.5"/>
    <n v="321"/>
    <x v="0"/>
    <n v="2"/>
    <x v="0"/>
    <x v="0"/>
  </r>
  <r>
    <n v="189"/>
    <n v="1321.1100000000001"/>
    <n v="661.5"/>
    <n v="659.61000000000013"/>
    <x v="0"/>
    <n v="2"/>
    <x v="4"/>
    <x v="0"/>
  </r>
  <r>
    <n v="161"/>
    <n v="483"/>
    <n v="241.5"/>
    <n v="241.5"/>
    <x v="0"/>
    <n v="1"/>
    <x v="0"/>
    <x v="1"/>
  </r>
  <r>
    <n v="150"/>
    <n v="2175"/>
    <n v="1200"/>
    <n v="975"/>
    <x v="0"/>
    <n v="3"/>
    <x v="4"/>
    <x v="1"/>
  </r>
  <r>
    <n v="85"/>
    <n v="594.15"/>
    <n v="297.5"/>
    <n v="296.64999999999998"/>
    <x v="0"/>
    <n v="2"/>
    <x v="3"/>
    <x v="1"/>
  </r>
  <r>
    <n v="85"/>
    <n v="849.15"/>
    <n v="425"/>
    <n v="424.15"/>
    <x v="0"/>
    <n v="3"/>
    <x v="3"/>
    <x v="1"/>
  </r>
  <r>
    <n v="58"/>
    <n v="261"/>
    <n v="145"/>
    <n v="116"/>
    <x v="0"/>
    <n v="2"/>
    <x v="3"/>
    <x v="1"/>
  </r>
  <r>
    <n v="93"/>
    <n v="279"/>
    <n v="139.5"/>
    <n v="139.5"/>
    <x v="0"/>
    <n v="1"/>
    <x v="0"/>
    <x v="0"/>
  </r>
  <r>
    <n v="154"/>
    <n v="1001"/>
    <n v="539"/>
    <n v="462"/>
    <x v="0"/>
    <n v="1"/>
    <x v="3"/>
    <x v="1"/>
  </r>
  <r>
    <n v="194"/>
    <n v="774.06000000000006"/>
    <n v="388"/>
    <n v="386.06000000000006"/>
    <x v="0"/>
    <n v="3"/>
    <x v="3"/>
    <x v="1"/>
  </r>
  <r>
    <n v="40"/>
    <n v="279.60000000000002"/>
    <n v="140"/>
    <n v="139.60000000000002"/>
    <x v="0"/>
    <n v="1"/>
    <x v="1"/>
    <x v="1"/>
  </r>
  <r>
    <n v="193"/>
    <n v="579"/>
    <n v="289.5"/>
    <n v="289.5"/>
    <x v="0"/>
    <n v="2"/>
    <x v="1"/>
    <x v="1"/>
  </r>
  <r>
    <n v="79"/>
    <n v="711"/>
    <n v="474"/>
    <n v="237"/>
    <x v="0"/>
    <n v="3"/>
    <x v="0"/>
    <x v="1"/>
  </r>
  <r>
    <n v="118"/>
    <n v="767"/>
    <n v="413"/>
    <n v="354"/>
    <x v="0"/>
    <n v="1"/>
    <x v="0"/>
    <x v="0"/>
  </r>
  <r>
    <n v="182"/>
    <n v="1183"/>
    <n v="637"/>
    <n v="546"/>
    <x v="0"/>
    <n v="1"/>
    <x v="0"/>
    <x v="0"/>
  </r>
  <r>
    <n v="199"/>
    <n v="794.01"/>
    <n v="398"/>
    <n v="396.01"/>
    <x v="0"/>
    <n v="3"/>
    <x v="3"/>
    <x v="0"/>
  </r>
  <r>
    <n v="83"/>
    <n v="829.17000000000007"/>
    <n v="415"/>
    <n v="414.17000000000007"/>
    <x v="0"/>
    <n v="1"/>
    <x v="1"/>
    <x v="1"/>
  </r>
  <r>
    <n v="115"/>
    <n v="230"/>
    <n v="115"/>
    <n v="115"/>
    <x v="0"/>
    <n v="3"/>
    <x v="5"/>
    <x v="0"/>
  </r>
  <r>
    <n v="137"/>
    <n v="822"/>
    <n v="411"/>
    <n v="411"/>
    <x v="0"/>
    <n v="2"/>
    <x v="0"/>
    <x v="0"/>
  </r>
  <r>
    <n v="37"/>
    <n v="74"/>
    <n v="37"/>
    <n v="37"/>
    <x v="0"/>
    <n v="1"/>
    <x v="2"/>
    <x v="0"/>
  </r>
  <r>
    <n v="140"/>
    <n v="840"/>
    <n v="420"/>
    <n v="420"/>
    <x v="0"/>
    <n v="2"/>
    <x v="1"/>
    <x v="2"/>
  </r>
  <r>
    <n v="49"/>
    <n v="195.51000000000002"/>
    <n v="98"/>
    <n v="97.510000000000019"/>
    <x v="0"/>
    <n v="1"/>
    <x v="0"/>
    <x v="1"/>
  </r>
  <r>
    <n v="74"/>
    <n v="517.26"/>
    <n v="259"/>
    <n v="258.26"/>
    <x v="0"/>
    <n v="3"/>
    <x v="2"/>
    <x v="0"/>
  </r>
  <r>
    <n v="23"/>
    <n v="103.5"/>
    <n v="57.5"/>
    <n v="46"/>
    <x v="0"/>
    <n v="2"/>
    <x v="4"/>
    <x v="1"/>
  </r>
  <r>
    <n v="116"/>
    <n v="232"/>
    <n v="116"/>
    <n v="116"/>
    <x v="0"/>
    <n v="3"/>
    <x v="3"/>
    <x v="0"/>
  </r>
  <r>
    <n v="190"/>
    <n v="2755"/>
    <n v="1520"/>
    <n v="1235"/>
    <x v="0"/>
    <n v="3"/>
    <x v="0"/>
    <x v="1"/>
  </r>
  <r>
    <n v="151"/>
    <n v="1055.49"/>
    <n v="528.5"/>
    <n v="526.99"/>
    <x v="0"/>
    <n v="2"/>
    <x v="0"/>
    <x v="0"/>
  </r>
  <r>
    <n v="133"/>
    <n v="598.5"/>
    <n v="332.5"/>
    <n v="266"/>
    <x v="0"/>
    <n v="3"/>
    <x v="5"/>
    <x v="1"/>
  </r>
  <r>
    <n v="182"/>
    <n v="364"/>
    <n v="182"/>
    <n v="182"/>
    <x v="0"/>
    <n v="1"/>
    <x v="4"/>
    <x v="0"/>
  </r>
  <r>
    <n v="203"/>
    <n v="1418.97"/>
    <n v="710.5"/>
    <n v="708.47"/>
    <x v="0"/>
    <n v="1"/>
    <x v="3"/>
    <x v="0"/>
  </r>
  <r>
    <n v="170"/>
    <n v="678.30000000000007"/>
    <n v="340"/>
    <n v="338.30000000000007"/>
    <x v="1"/>
    <n v="12"/>
    <x v="1"/>
    <x v="0"/>
  </r>
  <r>
    <n v="190"/>
    <n v="1140"/>
    <n v="570"/>
    <n v="570"/>
    <x v="0"/>
    <n v="2"/>
    <x v="4"/>
    <x v="0"/>
  </r>
  <r>
    <n v="211"/>
    <n v="1474.89"/>
    <n v="738.5"/>
    <n v="736.3900000000001"/>
    <x v="0"/>
    <n v="1"/>
    <x v="3"/>
    <x v="1"/>
  </r>
  <r>
    <n v="179"/>
    <n v="1074"/>
    <n v="537"/>
    <n v="537"/>
    <x v="0"/>
    <n v="2"/>
    <x v="3"/>
    <x v="0"/>
  </r>
  <r>
    <n v="142"/>
    <n v="639"/>
    <n v="355"/>
    <n v="284"/>
    <x v="0"/>
    <n v="1"/>
    <x v="3"/>
    <x v="1"/>
  </r>
  <r>
    <n v="19"/>
    <n v="57"/>
    <n v="28.5"/>
    <n v="28.5"/>
    <x v="0"/>
    <n v="3"/>
    <x v="5"/>
    <x v="1"/>
  </r>
  <r>
    <n v="108"/>
    <n v="702"/>
    <n v="378"/>
    <n v="324"/>
    <x v="0"/>
    <n v="1"/>
    <x v="2"/>
    <x v="0"/>
  </r>
  <r>
    <n v="62"/>
    <n v="619.38"/>
    <n v="310"/>
    <n v="309.38"/>
    <x v="0"/>
    <n v="1"/>
    <x v="5"/>
    <x v="0"/>
  </r>
  <r>
    <n v="50"/>
    <n v="300"/>
    <n v="150"/>
    <n v="150"/>
    <x v="0"/>
    <n v="2"/>
    <x v="2"/>
    <x v="0"/>
  </r>
  <r>
    <n v="156"/>
    <n v="1404"/>
    <n v="936"/>
    <n v="468"/>
    <x v="0"/>
    <n v="3"/>
    <x v="0"/>
    <x v="1"/>
  </r>
  <r>
    <n v="171"/>
    <n v="682.29000000000008"/>
    <n v="342"/>
    <n v="340.29000000000008"/>
    <x v="0"/>
    <n v="2"/>
    <x v="1"/>
    <x v="0"/>
  </r>
  <r>
    <n v="164"/>
    <n v="1066"/>
    <n v="574"/>
    <n v="492"/>
    <x v="0"/>
    <n v="1"/>
    <x v="3"/>
    <x v="0"/>
  </r>
  <r>
    <n v="34"/>
    <n v="306"/>
    <n v="204"/>
    <n v="102"/>
    <x v="0"/>
    <n v="3"/>
    <x v="4"/>
    <x v="0"/>
  </r>
  <r>
    <n v="189"/>
    <n v="567"/>
    <n v="283.5"/>
    <n v="283.5"/>
    <x v="0"/>
    <n v="1"/>
    <x v="0"/>
    <x v="0"/>
  </r>
  <r>
    <n v="145"/>
    <n v="435"/>
    <n v="217.5"/>
    <n v="217.5"/>
    <x v="0"/>
    <n v="1"/>
    <x v="0"/>
    <x v="1"/>
  </r>
  <r>
    <n v="92"/>
    <n v="919.08"/>
    <n v="460"/>
    <n v="459.08000000000004"/>
    <x v="0"/>
    <n v="1"/>
    <x v="3"/>
    <x v="0"/>
  </r>
  <r>
    <n v="45"/>
    <n v="135"/>
    <n v="67.5"/>
    <n v="67.5"/>
    <x v="1"/>
    <n v="12"/>
    <x v="4"/>
    <x v="1"/>
  </r>
  <r>
    <n v="81"/>
    <n v="729"/>
    <n v="486"/>
    <n v="243"/>
    <x v="0"/>
    <n v="1"/>
    <x v="0"/>
    <x v="1"/>
  </r>
  <r>
    <n v="185"/>
    <n v="1202.5"/>
    <n v="647.5"/>
    <n v="555"/>
    <x v="0"/>
    <n v="2"/>
    <x v="0"/>
    <x v="2"/>
  </r>
  <r>
    <n v="161"/>
    <n v="724.5"/>
    <n v="402.5"/>
    <n v="322"/>
    <x v="0"/>
    <n v="1"/>
    <x v="0"/>
    <x v="1"/>
  </r>
  <r>
    <n v="12"/>
    <n v="72"/>
    <n v="36"/>
    <n v="36"/>
    <x v="1"/>
    <n v="12"/>
    <x v="0"/>
    <x v="1"/>
  </r>
  <r>
    <n v="25"/>
    <n v="249.75"/>
    <n v="125"/>
    <n v="124.75"/>
    <x v="1"/>
    <n v="11"/>
    <x v="5"/>
    <x v="2"/>
  </r>
  <r>
    <n v="184"/>
    <n v="552"/>
    <n v="276"/>
    <n v="276"/>
    <x v="1"/>
    <n v="12"/>
    <x v="4"/>
    <x v="1"/>
  </r>
  <r>
    <n v="9"/>
    <n v="58.5"/>
    <n v="31.5"/>
    <n v="27"/>
    <x v="1"/>
    <n v="9"/>
    <x v="3"/>
    <x v="0"/>
  </r>
  <r>
    <n v="37"/>
    <n v="240.5"/>
    <n v="129.5"/>
    <n v="111"/>
    <x v="1"/>
    <n v="12"/>
    <x v="0"/>
    <x v="0"/>
  </r>
  <r>
    <n v="69"/>
    <n v="275.31"/>
    <n v="138"/>
    <n v="137.31"/>
    <x v="1"/>
    <n v="10"/>
    <x v="0"/>
    <x v="1"/>
  </r>
  <r>
    <n v="132"/>
    <n v="594"/>
    <n v="330"/>
    <n v="264"/>
    <x v="1"/>
    <n v="11"/>
    <x v="5"/>
    <x v="0"/>
  </r>
  <r>
    <n v="141"/>
    <n v="634.5"/>
    <n v="352.5"/>
    <n v="282"/>
    <x v="1"/>
    <n v="9"/>
    <x v="3"/>
    <x v="0"/>
  </r>
  <r>
    <n v="44"/>
    <n v="396"/>
    <n v="264"/>
    <n v="132"/>
    <x v="1"/>
    <n v="12"/>
    <x v="4"/>
    <x v="0"/>
  </r>
  <r>
    <n v="210"/>
    <n v="837.90000000000009"/>
    <n v="420"/>
    <n v="417.90000000000009"/>
    <x v="1"/>
    <n v="12"/>
    <x v="4"/>
    <x v="0"/>
  </r>
  <r>
    <n v="152"/>
    <n v="606.48"/>
    <n v="304"/>
    <n v="302.48"/>
    <x v="1"/>
    <n v="9"/>
    <x v="5"/>
    <x v="1"/>
  </r>
  <r>
    <n v="67"/>
    <n v="971.5"/>
    <n v="536"/>
    <n v="435.5"/>
    <x v="1"/>
    <n v="9"/>
    <x v="0"/>
    <x v="1"/>
  </r>
  <r>
    <n v="41"/>
    <n v="163.59"/>
    <n v="82"/>
    <n v="81.59"/>
    <x v="1"/>
    <n v="12"/>
    <x v="5"/>
    <x v="0"/>
  </r>
  <r>
    <n v="61"/>
    <n v="122"/>
    <n v="61"/>
    <n v="61"/>
    <x v="1"/>
    <n v="11"/>
    <x v="3"/>
    <x v="1"/>
  </r>
  <r>
    <n v="92"/>
    <n v="276"/>
    <n v="138"/>
    <n v="138"/>
    <x v="1"/>
    <n v="9"/>
    <x v="1"/>
    <x v="2"/>
  </r>
  <r>
    <n v="119"/>
    <n v="535.5"/>
    <n v="297.5"/>
    <n v="238"/>
    <x v="1"/>
    <n v="10"/>
    <x v="0"/>
    <x v="0"/>
  </r>
  <r>
    <n v="119"/>
    <n v="1071"/>
    <n v="714"/>
    <n v="357"/>
    <x v="1"/>
    <n v="11"/>
    <x v="2"/>
    <x v="0"/>
  </r>
  <r>
    <n v="66"/>
    <n v="396"/>
    <n v="198"/>
    <n v="198"/>
    <x v="1"/>
    <n v="11"/>
    <x v="3"/>
    <x v="2"/>
  </r>
  <r>
    <n v="9"/>
    <n v="27"/>
    <n v="13.5"/>
    <n v="13.5"/>
    <x v="1"/>
    <n v="9"/>
    <x v="3"/>
    <x v="1"/>
  </r>
  <r>
    <n v="96"/>
    <n v="432"/>
    <n v="240"/>
    <n v="192"/>
    <x v="1"/>
    <n v="9"/>
    <x v="2"/>
    <x v="0"/>
  </r>
  <r>
    <n v="104"/>
    <n v="414.96000000000004"/>
    <n v="208"/>
    <n v="206.96000000000004"/>
    <x v="1"/>
    <n v="12"/>
    <x v="0"/>
    <x v="0"/>
  </r>
  <r>
    <n v="180"/>
    <n v="360"/>
    <n v="180"/>
    <n v="180"/>
    <x v="1"/>
    <n v="9"/>
    <x v="2"/>
    <x v="0"/>
  </r>
  <r>
    <n v="7"/>
    <n v="31.5"/>
    <n v="17.5"/>
    <n v="14"/>
    <x v="1"/>
    <n v="10"/>
    <x v="0"/>
    <x v="0"/>
  </r>
  <r>
    <n v="109"/>
    <n v="761.91"/>
    <n v="381.5"/>
    <n v="380.40999999999997"/>
    <x v="1"/>
    <n v="11"/>
    <x v="0"/>
    <x v="2"/>
  </r>
  <r>
    <n v="146"/>
    <n v="292"/>
    <n v="146"/>
    <n v="146"/>
    <x v="1"/>
    <n v="9"/>
    <x v="3"/>
    <x v="1"/>
  </r>
  <r>
    <n v="141"/>
    <n v="985.59"/>
    <n v="493.5"/>
    <n v="492.09000000000003"/>
    <x v="1"/>
    <n v="10"/>
    <x v="3"/>
    <x v="1"/>
  </r>
  <r>
    <n v="201"/>
    <n v="801.99"/>
    <n v="402"/>
    <n v="399.99"/>
    <x v="1"/>
    <n v="11"/>
    <x v="2"/>
    <x v="0"/>
  </r>
  <r>
    <n v="132"/>
    <n v="1914"/>
    <n v="1056"/>
    <n v="858"/>
    <x v="1"/>
    <n v="10"/>
    <x v="2"/>
    <x v="0"/>
  </r>
  <r>
    <n v="148"/>
    <n v="1034.52"/>
    <n v="518"/>
    <n v="516.52"/>
    <x v="1"/>
    <n v="12"/>
    <x v="5"/>
    <x v="1"/>
  </r>
  <r>
    <n v="184"/>
    <n v="1196"/>
    <n v="644"/>
    <n v="552"/>
    <x v="1"/>
    <n v="10"/>
    <x v="3"/>
    <x v="1"/>
  </r>
  <r>
    <n v="197"/>
    <n v="1280.5"/>
    <n v="689.5"/>
    <n v="591"/>
    <x v="1"/>
    <n v="11"/>
    <x v="2"/>
    <x v="0"/>
  </r>
  <r>
    <n v="72"/>
    <n v="468"/>
    <n v="252"/>
    <n v="216"/>
    <x v="1"/>
    <n v="11"/>
    <x v="0"/>
    <x v="0"/>
  </r>
  <r>
    <n v="46"/>
    <n v="667"/>
    <n v="368"/>
    <n v="299"/>
    <x v="1"/>
    <n v="9"/>
    <x v="0"/>
    <x v="0"/>
  </r>
  <r>
    <n v="104"/>
    <n v="208"/>
    <n v="104"/>
    <n v="104"/>
    <x v="1"/>
    <n v="11"/>
    <x v="0"/>
    <x v="0"/>
  </r>
  <r>
    <n v="197"/>
    <n v="591"/>
    <n v="295.5"/>
    <n v="295.5"/>
    <x v="1"/>
    <n v="11"/>
    <x v="3"/>
    <x v="0"/>
  </r>
  <r>
    <n v="3"/>
    <n v="13.5"/>
    <n v="7.5"/>
    <n v="6"/>
    <x v="1"/>
    <n v="9"/>
    <x v="3"/>
    <x v="0"/>
  </r>
  <r>
    <n v="202"/>
    <n v="1818"/>
    <n v="1212"/>
    <n v="606"/>
    <x v="1"/>
    <n v="11"/>
    <x v="0"/>
    <x v="1"/>
  </r>
  <r>
    <n v="127"/>
    <n v="887.73"/>
    <n v="444.5"/>
    <n v="443.23"/>
    <x v="1"/>
    <n v="11"/>
    <x v="2"/>
    <x v="0"/>
  </r>
  <r>
    <n v="178"/>
    <n v="356"/>
    <n v="178"/>
    <n v="178"/>
    <x v="1"/>
    <n v="12"/>
    <x v="3"/>
    <x v="0"/>
  </r>
  <r>
    <n v="54"/>
    <n v="215.46"/>
    <n v="108"/>
    <n v="107.46000000000001"/>
    <x v="1"/>
    <n v="12"/>
    <x v="0"/>
    <x v="0"/>
  </r>
  <r>
    <n v="169"/>
    <n v="507"/>
    <n v="253.5"/>
    <n v="253.5"/>
    <x v="1"/>
    <n v="9"/>
    <x v="0"/>
    <x v="0"/>
  </r>
  <r>
    <n v="128"/>
    <n v="832"/>
    <n v="448"/>
    <n v="384"/>
    <x v="1"/>
    <n v="9"/>
    <x v="2"/>
    <x v="0"/>
  </r>
  <r>
    <n v="2"/>
    <n v="9"/>
    <n v="5"/>
    <n v="4"/>
    <x v="1"/>
    <n v="9"/>
    <x v="3"/>
    <x v="1"/>
  </r>
  <r>
    <n v="149"/>
    <n v="594.51"/>
    <n v="298"/>
    <n v="296.51"/>
    <x v="1"/>
    <n v="11"/>
    <x v="5"/>
    <x v="1"/>
  </r>
  <r>
    <n v="56"/>
    <n v="364"/>
    <n v="196"/>
    <n v="168"/>
    <x v="1"/>
    <n v="12"/>
    <x v="0"/>
    <x v="1"/>
  </r>
  <r>
    <n v="155"/>
    <n v="930"/>
    <n v="465"/>
    <n v="465"/>
    <x v="1"/>
    <n v="10"/>
    <x v="4"/>
    <x v="0"/>
  </r>
  <r>
    <n v="162"/>
    <n v="324"/>
    <n v="162"/>
    <n v="162"/>
    <x v="1"/>
    <n v="12"/>
    <x v="4"/>
    <x v="1"/>
  </r>
  <r>
    <n v="102"/>
    <n v="918"/>
    <n v="612"/>
    <n v="306"/>
    <x v="1"/>
    <n v="10"/>
    <x v="1"/>
    <x v="2"/>
  </r>
  <r>
    <n v="66"/>
    <n v="461.34000000000003"/>
    <n v="231"/>
    <n v="230.34000000000003"/>
    <x v="1"/>
    <n v="10"/>
    <x v="2"/>
    <x v="1"/>
  </r>
  <r>
    <n v="82"/>
    <n v="1189"/>
    <n v="656"/>
    <n v="533"/>
    <x v="1"/>
    <n v="10"/>
    <x v="4"/>
    <x v="0"/>
  </r>
  <r>
    <n v="180"/>
    <n v="540"/>
    <n v="270"/>
    <n v="270"/>
    <x v="1"/>
    <n v="10"/>
    <x v="1"/>
    <x v="0"/>
  </r>
  <r>
    <n v="39"/>
    <n v="389.61"/>
    <n v="195"/>
    <n v="194.61"/>
    <x v="1"/>
    <n v="12"/>
    <x v="2"/>
    <x v="1"/>
  </r>
  <r>
    <n v="6"/>
    <n v="27"/>
    <n v="15"/>
    <n v="12"/>
    <x v="1"/>
    <n v="10"/>
    <x v="6"/>
    <x v="1"/>
  </r>
  <r>
    <n v="131"/>
    <n v="851.5"/>
    <n v="458.5"/>
    <n v="393"/>
    <x v="1"/>
    <n v="12"/>
    <x v="1"/>
    <x v="1"/>
  </r>
  <r>
    <n v="134"/>
    <n v="268"/>
    <n v="134"/>
    <n v="134"/>
    <x v="1"/>
    <n v="11"/>
    <x v="4"/>
    <x v="1"/>
  </r>
  <r>
    <n v="212"/>
    <n v="1272"/>
    <n v="636"/>
    <n v="636"/>
    <x v="1"/>
    <n v="11"/>
    <x v="2"/>
    <x v="0"/>
  </r>
  <r>
    <n v="106"/>
    <n v="1537"/>
    <n v="848"/>
    <n v="689"/>
    <x v="1"/>
    <n v="10"/>
    <x v="3"/>
    <x v="2"/>
  </r>
  <r>
    <n v="204"/>
    <n v="813.96"/>
    <n v="408"/>
    <n v="405.96000000000004"/>
    <x v="1"/>
    <n v="9"/>
    <x v="4"/>
    <x v="0"/>
  </r>
  <r>
    <n v="120"/>
    <n v="360"/>
    <n v="180"/>
    <n v="180"/>
    <x v="1"/>
    <n v="9"/>
    <x v="4"/>
    <x v="1"/>
  </r>
  <r>
    <n v="196"/>
    <n v="1274"/>
    <n v="686"/>
    <n v="588"/>
    <x v="1"/>
    <n v="12"/>
    <x v="4"/>
    <x v="1"/>
  </r>
  <r>
    <n v="145"/>
    <n v="1305"/>
    <n v="870"/>
    <n v="435"/>
    <x v="1"/>
    <n v="10"/>
    <x v="2"/>
    <x v="1"/>
  </r>
  <r>
    <n v="159"/>
    <n v="1111.4100000000001"/>
    <n v="556.5"/>
    <n v="554.91000000000008"/>
    <x v="1"/>
    <n v="11"/>
    <x v="4"/>
    <x v="2"/>
  </r>
  <r>
    <n v="196"/>
    <n v="1764"/>
    <n v="1176"/>
    <n v="588"/>
    <x v="1"/>
    <n v="12"/>
    <x v="4"/>
    <x v="0"/>
  </r>
  <r>
    <n v="120"/>
    <n v="720"/>
    <n v="360"/>
    <n v="360"/>
    <x v="1"/>
    <n v="12"/>
    <x v="3"/>
    <x v="0"/>
  </r>
  <r>
    <n v="118"/>
    <n v="236"/>
    <n v="118"/>
    <n v="118"/>
    <x v="1"/>
    <n v="12"/>
    <x v="5"/>
    <x v="0"/>
  </r>
  <r>
    <n v="152"/>
    <n v="2204"/>
    <n v="1216"/>
    <n v="988"/>
    <x v="1"/>
    <n v="12"/>
    <x v="0"/>
    <x v="0"/>
  </r>
  <r>
    <n v="151"/>
    <n v="1359"/>
    <n v="906"/>
    <n v="453"/>
    <x v="1"/>
    <n v="10"/>
    <x v="0"/>
    <x v="0"/>
  </r>
  <r>
    <n v="74"/>
    <n v="517.26"/>
    <n v="259"/>
    <n v="258.26"/>
    <x v="1"/>
    <n v="12"/>
    <x v="4"/>
    <x v="0"/>
  </r>
  <r>
    <n v="47"/>
    <n v="469.53000000000003"/>
    <n v="235"/>
    <n v="234.53000000000003"/>
    <x v="1"/>
    <n v="10"/>
    <x v="0"/>
    <x v="1"/>
  </r>
  <r>
    <n v="189"/>
    <n v="754.11"/>
    <n v="378"/>
    <n v="376.11"/>
    <x v="1"/>
    <n v="10"/>
    <x v="0"/>
    <x v="0"/>
  </r>
  <r>
    <n v="138"/>
    <n v="550.62"/>
    <n v="276"/>
    <n v="274.62"/>
    <x v="1"/>
    <n v="9"/>
    <x v="2"/>
    <x v="1"/>
  </r>
  <r>
    <n v="115"/>
    <n v="747.5"/>
    <n v="402.5"/>
    <n v="345"/>
    <x v="1"/>
    <n v="10"/>
    <x v="2"/>
    <x v="1"/>
  </r>
  <r>
    <n v="208"/>
    <n v="2077.92"/>
    <n v="1040"/>
    <n v="1037.92"/>
    <x v="1"/>
    <n v="12"/>
    <x v="3"/>
    <x v="0"/>
  </r>
  <r>
    <n v="166"/>
    <n v="498"/>
    <n v="249"/>
    <n v="249"/>
    <x v="1"/>
    <n v="11"/>
    <x v="5"/>
    <x v="2"/>
  </r>
  <r>
    <n v="17"/>
    <n v="118.83"/>
    <n v="59.5"/>
    <n v="59.33"/>
    <x v="1"/>
    <n v="10"/>
    <x v="2"/>
    <x v="0"/>
  </r>
  <r>
    <n v="195"/>
    <n v="877.5"/>
    <n v="487.5"/>
    <n v="390"/>
    <x v="1"/>
    <n v="10"/>
    <x v="1"/>
    <x v="0"/>
  </r>
  <r>
    <n v="162"/>
    <n v="1458"/>
    <n v="972"/>
    <n v="486"/>
    <x v="1"/>
    <n v="12"/>
    <x v="0"/>
    <x v="1"/>
  </r>
  <r>
    <n v="45"/>
    <n v="652.5"/>
    <n v="360"/>
    <n v="292.5"/>
    <x v="1"/>
    <n v="10"/>
    <x v="2"/>
    <x v="1"/>
  </r>
  <r>
    <n v="163"/>
    <n v="1059.5"/>
    <n v="570.5"/>
    <n v="489"/>
    <x v="1"/>
    <n v="9"/>
    <x v="1"/>
    <x v="0"/>
  </r>
  <r>
    <n v="131"/>
    <n v="393"/>
    <n v="196.5"/>
    <n v="196.5"/>
    <x v="1"/>
    <n v="11"/>
    <x v="3"/>
    <x v="0"/>
  </r>
  <r>
    <n v="54"/>
    <n v="243"/>
    <n v="135"/>
    <n v="108"/>
    <x v="1"/>
    <n v="9"/>
    <x v="5"/>
    <x v="0"/>
  </r>
  <r>
    <n v="117"/>
    <n v="1696.5"/>
    <n v="936"/>
    <n v="760.5"/>
    <x v="1"/>
    <n v="12"/>
    <x v="1"/>
    <x v="0"/>
  </r>
  <r>
    <n v="128"/>
    <n v="1152"/>
    <n v="768"/>
    <n v="384"/>
    <x v="1"/>
    <n v="12"/>
    <x v="0"/>
    <x v="0"/>
  </r>
  <r>
    <n v="170"/>
    <n v="1105"/>
    <n v="595"/>
    <n v="510"/>
    <x v="1"/>
    <n v="11"/>
    <x v="3"/>
    <x v="0"/>
  </r>
  <r>
    <n v="183"/>
    <n v="1189.5"/>
    <n v="640.5"/>
    <n v="549"/>
    <x v="1"/>
    <n v="11"/>
    <x v="3"/>
    <x v="0"/>
  </r>
  <r>
    <n v="139"/>
    <n v="834"/>
    <n v="417"/>
    <n v="417"/>
    <x v="1"/>
    <n v="11"/>
    <x v="0"/>
    <x v="0"/>
  </r>
  <r>
    <n v="113"/>
    <n v="508.5"/>
    <n v="282.5"/>
    <n v="226"/>
    <x v="1"/>
    <n v="12"/>
    <x v="3"/>
    <x v="0"/>
  </r>
  <r>
    <n v="170"/>
    <n v="510"/>
    <n v="255"/>
    <n v="255"/>
    <x v="1"/>
    <n v="11"/>
    <x v="4"/>
    <x v="0"/>
  </r>
  <r>
    <n v="19"/>
    <n v="114"/>
    <n v="57"/>
    <n v="57"/>
    <x v="1"/>
    <n v="9"/>
    <x v="4"/>
    <x v="0"/>
  </r>
  <r>
    <n v="93"/>
    <n v="371.07"/>
    <n v="186"/>
    <n v="185.07"/>
    <x v="1"/>
    <n v="12"/>
    <x v="0"/>
    <x v="1"/>
  </r>
  <r>
    <n v="10"/>
    <n v="65"/>
    <n v="35"/>
    <n v="30"/>
    <x v="1"/>
    <n v="12"/>
    <x v="5"/>
    <x v="0"/>
  </r>
  <r>
    <n v="81"/>
    <n v="526.5"/>
    <n v="283.5"/>
    <n v="243"/>
    <x v="1"/>
    <n v="11"/>
    <x v="3"/>
    <x v="1"/>
  </r>
  <r>
    <n v="164"/>
    <n v="492"/>
    <n v="246"/>
    <n v="246"/>
    <x v="1"/>
    <n v="9"/>
    <x v="0"/>
    <x v="0"/>
  </r>
  <r>
    <n v="106"/>
    <n v="318"/>
    <n v="159"/>
    <n v="159"/>
    <x v="1"/>
    <n v="10"/>
    <x v="2"/>
    <x v="0"/>
  </r>
  <r>
    <n v="26"/>
    <n v="103.74000000000001"/>
    <n v="52"/>
    <n v="51.740000000000009"/>
    <x v="1"/>
    <n v="10"/>
    <x v="3"/>
    <x v="0"/>
  </r>
  <r>
    <n v="183"/>
    <n v="1098"/>
    <n v="549"/>
    <n v="549"/>
    <x v="1"/>
    <n v="11"/>
    <x v="0"/>
    <x v="1"/>
  </r>
  <r>
    <n v="81"/>
    <n v="162"/>
    <n v="81"/>
    <n v="81"/>
    <x v="1"/>
    <n v="10"/>
    <x v="5"/>
    <x v="1"/>
  </r>
  <r>
    <n v="45"/>
    <n v="405"/>
    <n v="270"/>
    <n v="135"/>
    <x v="1"/>
    <n v="12"/>
    <x v="0"/>
    <x v="0"/>
  </r>
  <r>
    <n v="148"/>
    <n v="296"/>
    <n v="148"/>
    <n v="148"/>
    <x v="1"/>
    <n v="12"/>
    <x v="2"/>
    <x v="1"/>
  </r>
  <r>
    <n v="78"/>
    <n v="779.22"/>
    <n v="390"/>
    <n v="389.22"/>
    <x v="1"/>
    <n v="9"/>
    <x v="0"/>
    <x v="0"/>
  </r>
  <r>
    <n v="133"/>
    <n v="864.5"/>
    <n v="465.5"/>
    <n v="399"/>
    <x v="1"/>
    <n v="12"/>
    <x v="4"/>
    <x v="0"/>
  </r>
  <r>
    <n v="17"/>
    <n v="110.5"/>
    <n v="59.5"/>
    <n v="51"/>
    <x v="1"/>
    <n v="9"/>
    <x v="0"/>
    <x v="1"/>
  </r>
  <r>
    <n v="145"/>
    <n v="942.5"/>
    <n v="507.5"/>
    <n v="435"/>
    <x v="1"/>
    <n v="12"/>
    <x v="4"/>
    <x v="0"/>
  </r>
  <r>
    <n v="141"/>
    <n v="423"/>
    <n v="211.5"/>
    <n v="211.5"/>
    <x v="1"/>
    <n v="10"/>
    <x v="0"/>
    <x v="2"/>
  </r>
  <r>
    <n v="44"/>
    <n v="286"/>
    <n v="154"/>
    <n v="132"/>
    <x v="1"/>
    <n v="10"/>
    <x v="4"/>
    <x v="0"/>
  </r>
  <r>
    <n v="167"/>
    <n v="1167.33"/>
    <n v="584.5"/>
    <n v="582.82999999999993"/>
    <x v="1"/>
    <n v="11"/>
    <x v="0"/>
    <x v="0"/>
  </r>
  <r>
    <n v="143"/>
    <n v="1428.57"/>
    <n v="715"/>
    <n v="713.56999999999994"/>
    <x v="1"/>
    <n v="9"/>
    <x v="1"/>
    <x v="0"/>
  </r>
  <r>
    <n v="208"/>
    <n v="1248"/>
    <n v="624"/>
    <n v="624"/>
    <x v="1"/>
    <n v="9"/>
    <x v="3"/>
    <x v="2"/>
  </r>
  <r>
    <n v="124"/>
    <n v="372"/>
    <n v="186"/>
    <n v="186"/>
    <x v="1"/>
    <n v="12"/>
    <x v="1"/>
    <x v="0"/>
  </r>
  <r>
    <n v="148"/>
    <n v="444"/>
    <n v="222"/>
    <n v="222"/>
    <x v="1"/>
    <n v="11"/>
    <x v="1"/>
    <x v="1"/>
  </r>
  <r>
    <n v="114"/>
    <n v="454.86"/>
    <n v="228"/>
    <n v="226.86"/>
    <x v="1"/>
    <n v="11"/>
    <x v="0"/>
    <x v="2"/>
  </r>
  <r>
    <n v="192"/>
    <n v="864"/>
    <n v="480"/>
    <n v="384"/>
    <x v="1"/>
    <n v="9"/>
    <x v="5"/>
    <x v="0"/>
  </r>
  <r>
    <n v="142"/>
    <n v="426"/>
    <n v="213"/>
    <n v="213"/>
    <x v="1"/>
    <n v="12"/>
    <x v="2"/>
    <x v="1"/>
  </r>
  <r>
    <n v="156"/>
    <n v="702"/>
    <n v="390"/>
    <n v="312"/>
    <x v="1"/>
    <n v="12"/>
    <x v="0"/>
    <x v="1"/>
  </r>
  <r>
    <n v="123"/>
    <n v="738"/>
    <n v="369"/>
    <n v="369"/>
    <x v="1"/>
    <n v="11"/>
    <x v="3"/>
    <x v="2"/>
  </r>
  <r>
    <n v="70"/>
    <n v="140"/>
    <n v="70"/>
    <n v="70"/>
    <x v="1"/>
    <n v="12"/>
    <x v="4"/>
    <x v="0"/>
  </r>
  <r>
    <n v="161"/>
    <n v="483"/>
    <n v="241.5"/>
    <n v="241.5"/>
    <x v="1"/>
    <n v="11"/>
    <x v="0"/>
    <x v="0"/>
  </r>
  <r>
    <n v="16"/>
    <n v="144"/>
    <n v="96"/>
    <n v="48"/>
    <x v="1"/>
    <n v="12"/>
    <x v="4"/>
    <x v="0"/>
  </r>
  <r>
    <n v="163"/>
    <n v="650.37"/>
    <n v="326"/>
    <n v="324.37"/>
    <x v="1"/>
    <n v="11"/>
    <x v="0"/>
    <x v="0"/>
  </r>
  <r>
    <n v="52"/>
    <n v="104"/>
    <n v="52"/>
    <n v="52"/>
    <x v="1"/>
    <n v="11"/>
    <x v="3"/>
    <x v="0"/>
  </r>
  <r>
    <n v="39"/>
    <n v="389.61"/>
    <n v="195"/>
    <n v="194.61"/>
    <x v="1"/>
    <n v="12"/>
    <x v="0"/>
    <x v="1"/>
  </r>
  <r>
    <n v="67"/>
    <n v="971.5"/>
    <n v="536"/>
    <n v="435.5"/>
    <x v="1"/>
    <n v="9"/>
    <x v="5"/>
    <x v="1"/>
  </r>
  <r>
    <n v="30"/>
    <n v="195"/>
    <n v="105"/>
    <n v="90"/>
    <x v="1"/>
    <n v="10"/>
    <x v="4"/>
    <x v="0"/>
  </r>
  <r>
    <n v="32"/>
    <n v="223.68"/>
    <n v="112"/>
    <n v="111.68"/>
    <x v="1"/>
    <n v="12"/>
    <x v="4"/>
    <x v="0"/>
  </r>
  <r>
    <n v="48"/>
    <n v="696"/>
    <n v="384"/>
    <n v="312"/>
    <x v="1"/>
    <n v="11"/>
    <x v="5"/>
    <x v="1"/>
  </r>
  <r>
    <n v="61"/>
    <n v="183"/>
    <n v="91.5"/>
    <n v="91.5"/>
    <x v="1"/>
    <n v="11"/>
    <x v="3"/>
    <x v="1"/>
  </r>
  <r>
    <n v="35"/>
    <n v="70"/>
    <n v="35"/>
    <n v="35"/>
    <x v="1"/>
    <n v="10"/>
    <x v="3"/>
    <x v="0"/>
  </r>
  <r>
    <n v="81"/>
    <n v="809.19"/>
    <n v="405"/>
    <n v="404.19000000000005"/>
    <x v="1"/>
    <n v="9"/>
    <x v="5"/>
    <x v="2"/>
  </r>
  <r>
    <n v="58"/>
    <n v="522"/>
    <n v="348"/>
    <n v="174"/>
    <x v="1"/>
    <n v="9"/>
    <x v="0"/>
    <x v="0"/>
  </r>
  <r>
    <n v="71"/>
    <n v="426"/>
    <n v="213"/>
    <n v="213"/>
    <x v="1"/>
    <n v="9"/>
    <x v="4"/>
    <x v="1"/>
  </r>
  <r>
    <n v="55"/>
    <n v="110"/>
    <n v="55"/>
    <n v="55"/>
    <x v="1"/>
    <n v="9"/>
    <x v="1"/>
    <x v="1"/>
  </r>
  <r>
    <n v="34"/>
    <n v="204"/>
    <n v="102"/>
    <n v="102"/>
    <x v="1"/>
    <n v="9"/>
    <x v="4"/>
    <x v="1"/>
  </r>
  <r>
    <n v="161"/>
    <n v="483"/>
    <n v="241.5"/>
    <n v="241.5"/>
    <x v="1"/>
    <n v="9"/>
    <x v="3"/>
    <x v="1"/>
  </r>
  <r>
    <n v="171"/>
    <n v="1111.5"/>
    <n v="598.5"/>
    <n v="513"/>
    <x v="1"/>
    <n v="10"/>
    <x v="3"/>
    <x v="1"/>
  </r>
  <r>
    <n v="188"/>
    <n v="1222"/>
    <n v="658"/>
    <n v="564"/>
    <x v="1"/>
    <n v="12"/>
    <x v="0"/>
    <x v="0"/>
  </r>
  <r>
    <n v="58"/>
    <n v="174"/>
    <n v="87"/>
    <n v="87"/>
    <x v="1"/>
    <n v="12"/>
    <x v="2"/>
    <x v="2"/>
  </r>
  <r>
    <n v="161"/>
    <n v="642.39"/>
    <n v="322"/>
    <n v="320.39"/>
    <x v="1"/>
    <n v="9"/>
    <x v="2"/>
    <x v="1"/>
  </r>
  <r>
    <n v="127"/>
    <n v="506.73"/>
    <n v="254"/>
    <n v="252.73000000000002"/>
    <x v="1"/>
    <n v="9"/>
    <x v="3"/>
    <x v="1"/>
  </r>
  <r>
    <n v="94"/>
    <n v="657.06000000000006"/>
    <n v="329"/>
    <n v="328.06000000000006"/>
    <x v="1"/>
    <n v="9"/>
    <x v="0"/>
    <x v="2"/>
  </r>
  <r>
    <n v="4"/>
    <n v="26"/>
    <n v="14"/>
    <n v="12"/>
    <x v="1"/>
    <n v="12"/>
    <x v="3"/>
    <x v="1"/>
  </r>
  <r>
    <n v="83"/>
    <n v="331.17"/>
    <n v="166"/>
    <n v="165.17000000000002"/>
    <x v="1"/>
    <n v="12"/>
    <x v="3"/>
    <x v="0"/>
  </r>
  <r>
    <n v="22"/>
    <n v="87.78"/>
    <n v="44"/>
    <n v="43.78"/>
    <x v="1"/>
    <n v="9"/>
    <x v="0"/>
    <x v="0"/>
  </r>
  <r>
    <n v="62"/>
    <n v="619.38"/>
    <n v="310"/>
    <n v="309.38"/>
    <x v="1"/>
    <n v="9"/>
    <x v="0"/>
    <x v="2"/>
  </r>
  <r>
    <n v="140"/>
    <n v="1260"/>
    <n v="840"/>
    <n v="420"/>
    <x v="1"/>
    <n v="11"/>
    <x v="4"/>
    <x v="1"/>
  </r>
  <r>
    <n v="203"/>
    <n v="1319.5"/>
    <n v="710.5"/>
    <n v="609"/>
    <x v="1"/>
    <n v="12"/>
    <x v="3"/>
    <x v="0"/>
  </r>
  <r>
    <n v="94"/>
    <n v="846"/>
    <n v="564"/>
    <n v="282"/>
    <x v="1"/>
    <n v="10"/>
    <x v="3"/>
    <x v="1"/>
  </r>
  <r>
    <n v="57"/>
    <n v="513"/>
    <n v="342"/>
    <n v="171"/>
    <x v="1"/>
    <n v="10"/>
    <x v="0"/>
    <x v="0"/>
  </r>
  <r>
    <n v="139"/>
    <n v="554.61"/>
    <n v="278"/>
    <n v="276.61"/>
    <x v="1"/>
    <n v="9"/>
    <x v="3"/>
    <x v="2"/>
  </r>
  <r>
    <n v="92"/>
    <n v="414"/>
    <n v="230"/>
    <n v="184"/>
    <x v="1"/>
    <n v="11"/>
    <x v="2"/>
    <x v="0"/>
  </r>
  <r>
    <n v="23"/>
    <n v="103.5"/>
    <n v="57.5"/>
    <n v="46"/>
    <x v="1"/>
    <n v="10"/>
    <x v="0"/>
    <x v="1"/>
  </r>
  <r>
    <n v="60"/>
    <n v="180"/>
    <n v="90"/>
    <n v="90"/>
    <x v="1"/>
    <n v="10"/>
    <x v="3"/>
    <x v="1"/>
  </r>
  <r>
    <n v="133"/>
    <n v="266"/>
    <n v="133"/>
    <n v="133"/>
    <x v="1"/>
    <n v="10"/>
    <x v="1"/>
    <x v="1"/>
  </r>
  <r>
    <n v="68"/>
    <n v="679.32"/>
    <n v="340"/>
    <n v="339.32000000000005"/>
    <x v="1"/>
    <n v="11"/>
    <x v="2"/>
    <x v="1"/>
  </r>
  <r>
    <n v="38"/>
    <n v="171"/>
    <n v="95"/>
    <n v="76"/>
    <x v="1"/>
    <n v="9"/>
    <x v="0"/>
    <x v="1"/>
  </r>
  <r>
    <n v="70"/>
    <n v="630"/>
    <n v="420"/>
    <n v="210"/>
    <x v="1"/>
    <n v="12"/>
    <x v="3"/>
    <x v="1"/>
  </r>
  <r>
    <n v="63"/>
    <n v="126"/>
    <n v="63"/>
    <n v="63"/>
    <x v="1"/>
    <n v="12"/>
    <x v="3"/>
    <x v="1"/>
  </r>
  <r>
    <n v="208"/>
    <n v="829.92000000000007"/>
    <n v="416"/>
    <n v="413.92000000000007"/>
    <x v="1"/>
    <n v="11"/>
    <x v="3"/>
    <x v="2"/>
  </r>
  <r>
    <n v="37"/>
    <n v="258.63"/>
    <n v="129.5"/>
    <n v="129.13"/>
    <x v="1"/>
    <n v="10"/>
    <x v="6"/>
    <x v="0"/>
  </r>
  <r>
    <n v="52"/>
    <n v="754"/>
    <n v="416"/>
    <n v="338"/>
    <x v="1"/>
    <n v="9"/>
    <x v="0"/>
    <x v="1"/>
  </r>
  <r>
    <n v="138"/>
    <n v="897"/>
    <n v="483"/>
    <n v="414"/>
    <x v="1"/>
    <n v="12"/>
    <x v="0"/>
    <x v="1"/>
  </r>
  <r>
    <n v="182"/>
    <n v="2639"/>
    <n v="1456"/>
    <n v="1183"/>
    <x v="1"/>
    <n v="9"/>
    <x v="0"/>
    <x v="1"/>
  </r>
  <r>
    <n v="84"/>
    <n v="252"/>
    <n v="126"/>
    <n v="126"/>
    <x v="1"/>
    <n v="9"/>
    <x v="1"/>
    <x v="0"/>
  </r>
  <r>
    <n v="172"/>
    <n v="1032"/>
    <n v="516"/>
    <n v="516"/>
    <x v="1"/>
    <n v="12"/>
    <x v="0"/>
    <x v="1"/>
  </r>
  <r>
    <n v="208"/>
    <n v="829.92000000000007"/>
    <n v="416"/>
    <n v="413.92000000000007"/>
    <x v="1"/>
    <n v="9"/>
    <x v="4"/>
    <x v="0"/>
  </r>
  <r>
    <n v="44"/>
    <n v="396"/>
    <n v="264"/>
    <n v="132"/>
    <x v="1"/>
    <n v="10"/>
    <x v="3"/>
    <x v="0"/>
  </r>
  <r>
    <n v="210"/>
    <n v="630"/>
    <n v="315"/>
    <n v="315"/>
    <x v="1"/>
    <n v="9"/>
    <x v="0"/>
    <x v="1"/>
  </r>
  <r>
    <n v="156"/>
    <n v="1090.44"/>
    <n v="546"/>
    <n v="544.44000000000005"/>
    <x v="1"/>
    <n v="10"/>
    <x v="0"/>
    <x v="1"/>
  </r>
  <r>
    <n v="181"/>
    <n v="814.5"/>
    <n v="452.5"/>
    <n v="362"/>
    <x v="1"/>
    <n v="11"/>
    <x v="2"/>
    <x v="1"/>
  </r>
  <r>
    <n v="98"/>
    <n v="294"/>
    <n v="147"/>
    <n v="147"/>
    <x v="1"/>
    <n v="11"/>
    <x v="3"/>
    <x v="0"/>
  </r>
  <r>
    <n v="118"/>
    <n v="767"/>
    <n v="413"/>
    <n v="354"/>
    <x v="1"/>
    <n v="11"/>
    <x v="3"/>
    <x v="1"/>
  </r>
  <r>
    <n v="161"/>
    <n v="966"/>
    <n v="483"/>
    <n v="483"/>
    <x v="1"/>
    <n v="10"/>
    <x v="3"/>
    <x v="2"/>
  </r>
  <r>
    <n v="196"/>
    <n v="1176"/>
    <n v="588"/>
    <n v="588"/>
    <x v="1"/>
    <n v="9"/>
    <x v="4"/>
    <x v="1"/>
  </r>
  <r>
    <n v="35"/>
    <n v="244.65"/>
    <n v="122.5"/>
    <n v="122.15"/>
    <x v="1"/>
    <n v="12"/>
    <x v="0"/>
    <x v="0"/>
  </r>
  <r>
    <n v="47"/>
    <n v="282"/>
    <n v="141"/>
    <n v="141"/>
    <x v="1"/>
    <n v="12"/>
    <x v="1"/>
    <x v="1"/>
  </r>
  <r>
    <n v="91"/>
    <n v="909.09"/>
    <n v="455"/>
    <n v="454.09000000000003"/>
    <x v="1"/>
    <n v="12"/>
    <x v="0"/>
    <x v="0"/>
  </r>
  <r>
    <n v="173"/>
    <n v="690.27"/>
    <n v="346"/>
    <n v="344.27"/>
    <x v="1"/>
    <n v="11"/>
    <x v="3"/>
    <x v="1"/>
  </r>
  <r>
    <n v="43"/>
    <n v="279.5"/>
    <n v="150.5"/>
    <n v="129"/>
    <x v="1"/>
    <n v="10"/>
    <x v="3"/>
    <x v="0"/>
  </r>
  <r>
    <n v="115"/>
    <n v="345"/>
    <n v="172.5"/>
    <n v="172.5"/>
    <x v="1"/>
    <n v="11"/>
    <x v="4"/>
    <x v="1"/>
  </r>
  <r>
    <n v="102"/>
    <n v="918"/>
    <n v="612"/>
    <n v="306"/>
    <x v="1"/>
    <n v="9"/>
    <x v="3"/>
    <x v="0"/>
  </r>
  <r>
    <n v="155"/>
    <n v="1083.45"/>
    <n v="542.5"/>
    <n v="540.95000000000005"/>
    <x v="1"/>
    <n v="11"/>
    <x v="3"/>
    <x v="0"/>
  </r>
  <r>
    <n v="35"/>
    <n v="227.5"/>
    <n v="122.5"/>
    <n v="105"/>
    <x v="1"/>
    <n v="12"/>
    <x v="1"/>
    <x v="1"/>
  </r>
  <r>
    <n v="170"/>
    <n v="678.30000000000007"/>
    <n v="340"/>
    <n v="338.30000000000007"/>
    <x v="1"/>
    <n v="11"/>
    <x v="5"/>
    <x v="0"/>
  </r>
  <r>
    <n v="42"/>
    <n v="84"/>
    <n v="42"/>
    <n v="42"/>
    <x v="1"/>
    <n v="12"/>
    <x v="1"/>
    <x v="1"/>
  </r>
  <r>
    <n v="82"/>
    <n v="327.18"/>
    <n v="164"/>
    <n v="163.18"/>
    <x v="1"/>
    <n v="10"/>
    <x v="0"/>
    <x v="0"/>
  </r>
  <r>
    <n v="3"/>
    <n v="27"/>
    <n v="18"/>
    <n v="9"/>
    <x v="1"/>
    <n v="11"/>
    <x v="3"/>
    <x v="0"/>
  </r>
  <r>
    <n v="68"/>
    <n v="442"/>
    <n v="238"/>
    <n v="204"/>
    <x v="1"/>
    <n v="11"/>
    <x v="1"/>
    <x v="1"/>
  </r>
  <r>
    <n v="58"/>
    <n v="579.41999999999996"/>
    <n v="290"/>
    <n v="289.41999999999996"/>
    <x v="1"/>
    <n v="10"/>
    <x v="5"/>
    <x v="0"/>
  </r>
  <r>
    <n v="178"/>
    <n v="1157"/>
    <n v="623"/>
    <n v="534"/>
    <x v="1"/>
    <n v="9"/>
    <x v="2"/>
    <x v="0"/>
  </r>
  <r>
    <n v="156"/>
    <n v="936"/>
    <n v="468"/>
    <n v="468"/>
    <x v="1"/>
    <n v="12"/>
    <x v="3"/>
    <x v="0"/>
  </r>
  <r>
    <n v="147"/>
    <n v="661.5"/>
    <n v="367.5"/>
    <n v="294"/>
    <x v="1"/>
    <n v="12"/>
    <x v="5"/>
    <x v="1"/>
  </r>
  <r>
    <n v="74"/>
    <n v="148"/>
    <n v="74"/>
    <n v="74"/>
    <x v="1"/>
    <n v="11"/>
    <x v="3"/>
    <x v="1"/>
  </r>
  <r>
    <n v="189"/>
    <n v="378"/>
    <n v="189"/>
    <n v="189"/>
    <x v="1"/>
    <n v="11"/>
    <x v="0"/>
    <x v="2"/>
  </r>
  <r>
    <n v="104"/>
    <n v="414.96000000000004"/>
    <n v="208"/>
    <n v="206.96000000000004"/>
    <x v="1"/>
    <n v="12"/>
    <x v="6"/>
    <x v="1"/>
  </r>
  <r>
    <n v="56"/>
    <n v="559.44000000000005"/>
    <n v="280"/>
    <n v="279.44000000000005"/>
    <x v="1"/>
    <n v="12"/>
    <x v="0"/>
    <x v="0"/>
  </r>
  <r>
    <n v="33"/>
    <n v="214.5"/>
    <n v="115.5"/>
    <n v="99"/>
    <x v="1"/>
    <n v="10"/>
    <x v="0"/>
    <x v="2"/>
  </r>
  <r>
    <n v="204"/>
    <n v="1425.96"/>
    <n v="714"/>
    <n v="711.96"/>
    <x v="1"/>
    <n v="10"/>
    <x v="4"/>
    <x v="1"/>
  </r>
  <r>
    <n v="5"/>
    <n v="10"/>
    <n v="5"/>
    <n v="5"/>
    <x v="1"/>
    <n v="12"/>
    <x v="3"/>
    <x v="1"/>
  </r>
  <r>
    <n v="199"/>
    <n v="794.01"/>
    <n v="398"/>
    <n v="396.01"/>
    <x v="1"/>
    <n v="12"/>
    <x v="2"/>
    <x v="2"/>
  </r>
  <r>
    <n v="129"/>
    <n v="258"/>
    <n v="129"/>
    <n v="129"/>
    <x v="1"/>
    <n v="12"/>
    <x v="1"/>
    <x v="0"/>
  </r>
  <r>
    <n v="14"/>
    <n v="42"/>
    <n v="21"/>
    <n v="21"/>
    <x v="1"/>
    <n v="8"/>
    <x v="0"/>
    <x v="0"/>
  </r>
  <r>
    <n v="91"/>
    <n v="591.5"/>
    <n v="318.5"/>
    <n v="273"/>
    <x v="1"/>
    <n v="7"/>
    <x v="4"/>
    <x v="0"/>
  </r>
  <r>
    <n v="43"/>
    <n v="623.5"/>
    <n v="344"/>
    <n v="279.5"/>
    <x v="1"/>
    <n v="2"/>
    <x v="5"/>
    <x v="0"/>
  </r>
  <r>
    <n v="140"/>
    <n v="1260"/>
    <n v="840"/>
    <n v="420"/>
    <x v="1"/>
    <n v="4"/>
    <x v="3"/>
    <x v="1"/>
  </r>
  <r>
    <n v="38"/>
    <n v="76"/>
    <n v="38"/>
    <n v="38"/>
    <x v="1"/>
    <n v="4"/>
    <x v="3"/>
    <x v="0"/>
  </r>
  <r>
    <n v="57"/>
    <n v="227.43"/>
    <n v="114"/>
    <n v="113.43"/>
    <x v="1"/>
    <n v="2"/>
    <x v="3"/>
    <x v="1"/>
  </r>
  <r>
    <n v="34"/>
    <n v="237.66"/>
    <n v="119"/>
    <n v="118.66"/>
    <x v="1"/>
    <n v="5"/>
    <x v="4"/>
    <x v="0"/>
  </r>
  <r>
    <n v="4"/>
    <n v="15.96"/>
    <n v="8"/>
    <n v="7.9600000000000009"/>
    <x v="1"/>
    <n v="1"/>
    <x v="0"/>
    <x v="0"/>
  </r>
  <r>
    <n v="208"/>
    <n v="1352"/>
    <n v="728"/>
    <n v="624"/>
    <x v="1"/>
    <n v="6"/>
    <x v="3"/>
    <x v="1"/>
  </r>
  <r>
    <n v="132"/>
    <n v="396"/>
    <n v="198"/>
    <n v="198"/>
    <x v="1"/>
    <n v="5"/>
    <x v="2"/>
    <x v="1"/>
  </r>
  <r>
    <n v="94"/>
    <n v="564"/>
    <n v="282"/>
    <n v="282"/>
    <x v="1"/>
    <n v="2"/>
    <x v="2"/>
    <x v="1"/>
  </r>
  <r>
    <n v="38"/>
    <n v="551"/>
    <n v="304"/>
    <n v="247"/>
    <x v="1"/>
    <n v="3"/>
    <x v="4"/>
    <x v="0"/>
  </r>
  <r>
    <n v="159"/>
    <n v="1588.41"/>
    <n v="795"/>
    <n v="793.41000000000008"/>
    <x v="1"/>
    <n v="3"/>
    <x v="4"/>
    <x v="0"/>
  </r>
  <r>
    <n v="15"/>
    <n v="30"/>
    <n v="15"/>
    <n v="15"/>
    <x v="1"/>
    <n v="1"/>
    <x v="5"/>
    <x v="0"/>
  </r>
  <r>
    <n v="147"/>
    <n v="1027.53"/>
    <n v="514.5"/>
    <n v="513.03"/>
    <x v="1"/>
    <n v="7"/>
    <x v="2"/>
    <x v="0"/>
  </r>
  <r>
    <n v="4"/>
    <n v="15.96"/>
    <n v="8"/>
    <n v="7.9600000000000009"/>
    <x v="1"/>
    <n v="1"/>
    <x v="6"/>
    <x v="0"/>
  </r>
  <r>
    <n v="200"/>
    <n v="1300"/>
    <n v="700"/>
    <n v="600"/>
    <x v="1"/>
    <n v="3"/>
    <x v="0"/>
    <x v="2"/>
  </r>
  <r>
    <n v="61"/>
    <n v="609.39"/>
    <n v="305"/>
    <n v="304.39"/>
    <x v="1"/>
    <n v="7"/>
    <x v="3"/>
    <x v="1"/>
  </r>
  <r>
    <n v="63"/>
    <n v="567"/>
    <n v="378"/>
    <n v="189"/>
    <x v="1"/>
    <n v="5"/>
    <x v="3"/>
    <x v="0"/>
  </r>
  <r>
    <n v="129"/>
    <n v="838.5"/>
    <n v="451.5"/>
    <n v="387"/>
    <x v="1"/>
    <n v="5"/>
    <x v="0"/>
    <x v="1"/>
  </r>
  <r>
    <n v="48"/>
    <n v="191.52"/>
    <n v="96"/>
    <n v="95.52000000000001"/>
    <x v="1"/>
    <n v="8"/>
    <x v="3"/>
    <x v="0"/>
  </r>
  <r>
    <n v="192"/>
    <n v="576"/>
    <n v="288"/>
    <n v="288"/>
    <x v="1"/>
    <n v="1"/>
    <x v="1"/>
    <x v="1"/>
  </r>
  <r>
    <n v="150"/>
    <n v="450"/>
    <n v="225"/>
    <n v="225"/>
    <x v="1"/>
    <n v="1"/>
    <x v="3"/>
    <x v="1"/>
  </r>
  <r>
    <n v="125"/>
    <n v="873.75"/>
    <n v="437.5"/>
    <n v="436.25"/>
    <x v="1"/>
    <n v="8"/>
    <x v="2"/>
    <x v="1"/>
  </r>
  <r>
    <n v="135"/>
    <n v="943.65"/>
    <n v="472.5"/>
    <n v="471.15"/>
    <x v="1"/>
    <n v="8"/>
    <x v="4"/>
    <x v="0"/>
  </r>
  <r>
    <n v="128"/>
    <n v="510.72"/>
    <n v="256"/>
    <n v="254.72000000000003"/>
    <x v="1"/>
    <n v="5"/>
    <x v="1"/>
    <x v="0"/>
  </r>
  <r>
    <n v="5"/>
    <n v="30"/>
    <n v="15"/>
    <n v="15"/>
    <x v="1"/>
    <n v="7"/>
    <x v="5"/>
    <x v="0"/>
  </r>
  <r>
    <n v="43"/>
    <n v="171.57000000000002"/>
    <n v="86"/>
    <n v="85.570000000000022"/>
    <x v="1"/>
    <n v="5"/>
    <x v="4"/>
    <x v="0"/>
  </r>
  <r>
    <n v="44"/>
    <n v="264"/>
    <n v="132"/>
    <n v="132"/>
    <x v="1"/>
    <n v="8"/>
    <x v="5"/>
    <x v="1"/>
  </r>
  <r>
    <n v="124"/>
    <n v="494.76000000000005"/>
    <n v="248"/>
    <n v="246.76000000000005"/>
    <x v="1"/>
    <n v="1"/>
    <x v="1"/>
    <x v="0"/>
  </r>
  <r>
    <n v="42"/>
    <n v="167.58"/>
    <n v="84"/>
    <n v="83.580000000000013"/>
    <x v="1"/>
    <n v="1"/>
    <x v="0"/>
    <x v="0"/>
  </r>
  <r>
    <n v="187"/>
    <n v="1215.5"/>
    <n v="654.5"/>
    <n v="561"/>
    <x v="1"/>
    <n v="6"/>
    <x v="0"/>
    <x v="0"/>
  </r>
  <r>
    <n v="147"/>
    <n v="1468.53"/>
    <n v="735"/>
    <n v="733.53"/>
    <x v="1"/>
    <n v="6"/>
    <x v="0"/>
    <x v="1"/>
  </r>
  <r>
    <n v="53"/>
    <n v="238.5"/>
    <n v="132.5"/>
    <n v="106"/>
    <x v="1"/>
    <n v="4"/>
    <x v="3"/>
    <x v="1"/>
  </r>
  <r>
    <n v="71"/>
    <n v="142"/>
    <n v="71"/>
    <n v="71"/>
    <x v="1"/>
    <n v="4"/>
    <x v="5"/>
    <x v="0"/>
  </r>
  <r>
    <n v="50"/>
    <n v="325"/>
    <n v="175"/>
    <n v="150"/>
    <x v="1"/>
    <n v="5"/>
    <x v="4"/>
    <x v="1"/>
  </r>
  <r>
    <n v="54"/>
    <n v="377.46000000000004"/>
    <n v="189"/>
    <n v="188.46000000000004"/>
    <x v="1"/>
    <n v="4"/>
    <x v="3"/>
    <x v="0"/>
  </r>
  <r>
    <n v="164"/>
    <n v="984"/>
    <n v="492"/>
    <n v="492"/>
    <x v="1"/>
    <n v="5"/>
    <x v="3"/>
    <x v="0"/>
  </r>
  <r>
    <n v="77"/>
    <n v="769.23"/>
    <n v="385"/>
    <n v="384.23"/>
    <x v="1"/>
    <n v="3"/>
    <x v="0"/>
    <x v="0"/>
  </r>
  <r>
    <n v="175"/>
    <n v="1575"/>
    <n v="1050"/>
    <n v="525"/>
    <x v="1"/>
    <n v="8"/>
    <x v="0"/>
    <x v="0"/>
  </r>
  <r>
    <n v="177"/>
    <n v="796.5"/>
    <n v="442.5"/>
    <n v="354"/>
    <x v="1"/>
    <n v="6"/>
    <x v="0"/>
    <x v="1"/>
  </r>
  <r>
    <n v="143"/>
    <n v="1428.57"/>
    <n v="715"/>
    <n v="713.56999999999994"/>
    <x v="1"/>
    <n v="2"/>
    <x v="4"/>
    <x v="0"/>
  </r>
  <r>
    <n v="183"/>
    <n v="823.5"/>
    <n v="457.5"/>
    <n v="366"/>
    <x v="1"/>
    <n v="2"/>
    <x v="3"/>
    <x v="1"/>
  </r>
  <r>
    <n v="25"/>
    <n v="162.5"/>
    <n v="87.5"/>
    <n v="75"/>
    <x v="1"/>
    <n v="7"/>
    <x v="4"/>
    <x v="0"/>
  </r>
  <r>
    <n v="169"/>
    <n v="1181.31"/>
    <n v="591.5"/>
    <n v="589.80999999999995"/>
    <x v="1"/>
    <n v="6"/>
    <x v="2"/>
    <x v="1"/>
  </r>
  <r>
    <n v="98"/>
    <n v="588"/>
    <n v="294"/>
    <n v="294"/>
    <x v="1"/>
    <n v="7"/>
    <x v="0"/>
    <x v="1"/>
  </r>
  <r>
    <n v="102"/>
    <n v="918"/>
    <n v="612"/>
    <n v="306"/>
    <x v="1"/>
    <n v="1"/>
    <x v="4"/>
    <x v="0"/>
  </r>
  <r>
    <n v="29"/>
    <n v="58"/>
    <n v="29"/>
    <n v="29"/>
    <x v="1"/>
    <n v="8"/>
    <x v="0"/>
    <x v="1"/>
  </r>
  <r>
    <n v="42"/>
    <n v="293.58"/>
    <n v="147"/>
    <n v="146.57999999999998"/>
    <x v="1"/>
    <n v="5"/>
    <x v="0"/>
    <x v="0"/>
  </r>
  <r>
    <n v="182"/>
    <n v="726.18000000000006"/>
    <n v="364"/>
    <n v="362.18000000000006"/>
    <x v="1"/>
    <n v="3"/>
    <x v="3"/>
    <x v="1"/>
  </r>
  <r>
    <n v="39"/>
    <n v="175.5"/>
    <n v="97.5"/>
    <n v="78"/>
    <x v="1"/>
    <n v="8"/>
    <x v="1"/>
    <x v="0"/>
  </r>
  <r>
    <n v="166"/>
    <n v="996"/>
    <n v="498"/>
    <n v="498"/>
    <x v="1"/>
    <n v="7"/>
    <x v="4"/>
    <x v="1"/>
  </r>
  <r>
    <n v="20"/>
    <n v="139.80000000000001"/>
    <n v="70"/>
    <n v="69.800000000000011"/>
    <x v="1"/>
    <n v="7"/>
    <x v="0"/>
    <x v="0"/>
  </r>
  <r>
    <n v="5"/>
    <n v="34.950000000000003"/>
    <n v="17.5"/>
    <n v="17.450000000000003"/>
    <x v="1"/>
    <n v="6"/>
    <x v="2"/>
    <x v="0"/>
  </r>
  <r>
    <n v="179"/>
    <n v="2595.5"/>
    <n v="1432"/>
    <n v="1163.5"/>
    <x v="1"/>
    <n v="1"/>
    <x v="2"/>
    <x v="1"/>
  </r>
  <r>
    <n v="169"/>
    <n v="1688.31"/>
    <n v="845"/>
    <n v="843.31"/>
    <x v="1"/>
    <n v="2"/>
    <x v="3"/>
    <x v="1"/>
  </r>
  <r>
    <n v="153"/>
    <n v="459"/>
    <n v="229.5"/>
    <n v="229.5"/>
    <x v="1"/>
    <n v="6"/>
    <x v="3"/>
    <x v="0"/>
  </r>
  <r>
    <n v="199"/>
    <n v="2885.5"/>
    <n v="1592"/>
    <n v="1293.5"/>
    <x v="1"/>
    <n v="5"/>
    <x v="0"/>
    <x v="1"/>
  </r>
  <r>
    <n v="41"/>
    <n v="266.5"/>
    <n v="143.5"/>
    <n v="123"/>
    <x v="1"/>
    <n v="2"/>
    <x v="1"/>
    <x v="1"/>
  </r>
  <r>
    <n v="197"/>
    <n v="1773"/>
    <n v="1182"/>
    <n v="591"/>
    <x v="1"/>
    <n v="4"/>
    <x v="0"/>
    <x v="1"/>
  </r>
  <r>
    <n v="99"/>
    <n v="395.01000000000005"/>
    <n v="198"/>
    <n v="197.01000000000005"/>
    <x v="1"/>
    <n v="3"/>
    <x v="0"/>
    <x v="0"/>
  </r>
  <r>
    <n v="91"/>
    <n v="819"/>
    <n v="546"/>
    <n v="273"/>
    <x v="1"/>
    <n v="3"/>
    <x v="0"/>
    <x v="0"/>
  </r>
  <r>
    <n v="125"/>
    <n v="498.75"/>
    <n v="250"/>
    <n v="248.75"/>
    <x v="1"/>
    <n v="2"/>
    <x v="4"/>
    <x v="0"/>
  </r>
  <r>
    <n v="18"/>
    <n v="54"/>
    <n v="27"/>
    <n v="27"/>
    <x v="1"/>
    <n v="8"/>
    <x v="4"/>
    <x v="0"/>
  </r>
  <r>
    <n v="159"/>
    <n v="477"/>
    <n v="238.5"/>
    <n v="238.5"/>
    <x v="1"/>
    <n v="3"/>
    <x v="3"/>
    <x v="0"/>
  </r>
  <r>
    <n v="104"/>
    <n v="624"/>
    <n v="312"/>
    <n v="312"/>
    <x v="1"/>
    <n v="8"/>
    <x v="0"/>
    <x v="1"/>
  </r>
  <r>
    <n v="125"/>
    <n v="498.75"/>
    <n v="250"/>
    <n v="248.75"/>
    <x v="1"/>
    <n v="4"/>
    <x v="3"/>
    <x v="0"/>
  </r>
  <r>
    <n v="25"/>
    <n v="112.5"/>
    <n v="62.5"/>
    <n v="50"/>
    <x v="1"/>
    <n v="6"/>
    <x v="1"/>
    <x v="1"/>
  </r>
  <r>
    <n v="183"/>
    <n v="549"/>
    <n v="274.5"/>
    <n v="274.5"/>
    <x v="1"/>
    <n v="1"/>
    <x v="0"/>
    <x v="0"/>
  </r>
  <r>
    <n v="197"/>
    <n v="786.03000000000009"/>
    <n v="394"/>
    <n v="392.03000000000009"/>
    <x v="1"/>
    <n v="4"/>
    <x v="3"/>
    <x v="0"/>
  </r>
  <r>
    <n v="84"/>
    <n v="839.16"/>
    <n v="420"/>
    <n v="419.15999999999997"/>
    <x v="1"/>
    <n v="2"/>
    <x v="0"/>
    <x v="0"/>
  </r>
  <r>
    <n v="198"/>
    <n v="1188"/>
    <n v="594"/>
    <n v="594"/>
    <x v="1"/>
    <n v="1"/>
    <x v="2"/>
    <x v="1"/>
  </r>
  <r>
    <n v="206"/>
    <n v="1236"/>
    <n v="618"/>
    <n v="618"/>
    <x v="1"/>
    <n v="7"/>
    <x v="2"/>
    <x v="0"/>
  </r>
  <r>
    <n v="42"/>
    <n v="609"/>
    <n v="336"/>
    <n v="273"/>
    <x v="1"/>
    <n v="8"/>
    <x v="0"/>
    <x v="1"/>
  </r>
  <r>
    <n v="47"/>
    <n v="328.53000000000003"/>
    <n v="164.5"/>
    <n v="164.03000000000003"/>
    <x v="1"/>
    <n v="2"/>
    <x v="1"/>
    <x v="1"/>
  </r>
  <r>
    <n v="108"/>
    <n v="754.92000000000007"/>
    <n v="378"/>
    <n v="376.92000000000007"/>
    <x v="1"/>
    <n v="4"/>
    <x v="3"/>
    <x v="1"/>
  </r>
  <r>
    <n v="174"/>
    <n v="1216.26"/>
    <n v="609"/>
    <n v="607.26"/>
    <x v="1"/>
    <n v="1"/>
    <x v="5"/>
    <x v="0"/>
  </r>
  <r>
    <n v="68"/>
    <n v="306"/>
    <n v="170"/>
    <n v="136"/>
    <x v="1"/>
    <n v="7"/>
    <x v="1"/>
    <x v="1"/>
  </r>
  <r>
    <n v="108"/>
    <n v="1566"/>
    <n v="864"/>
    <n v="702"/>
    <x v="1"/>
    <n v="4"/>
    <x v="1"/>
    <x v="0"/>
  </r>
  <r>
    <n v="10"/>
    <n v="39.900000000000006"/>
    <n v="20"/>
    <n v="19.900000000000006"/>
    <x v="1"/>
    <n v="8"/>
    <x v="3"/>
    <x v="1"/>
  </r>
  <r>
    <n v="58"/>
    <n v="231.42000000000002"/>
    <n v="116"/>
    <n v="115.42000000000002"/>
    <x v="1"/>
    <n v="4"/>
    <x v="6"/>
    <x v="1"/>
  </r>
  <r>
    <n v="203"/>
    <n v="809.97"/>
    <n v="406"/>
    <n v="403.97"/>
    <x v="1"/>
    <n v="2"/>
    <x v="4"/>
    <x v="0"/>
  </r>
  <r>
    <n v="201"/>
    <n v="603"/>
    <n v="301.5"/>
    <n v="301.5"/>
    <x v="1"/>
    <n v="5"/>
    <x v="2"/>
    <x v="0"/>
  </r>
  <r>
    <n v="13"/>
    <n v="90.87"/>
    <n v="45.5"/>
    <n v="45.370000000000005"/>
    <x v="1"/>
    <n v="5"/>
    <x v="1"/>
    <x v="0"/>
  </r>
  <r>
    <n v="168"/>
    <n v="756"/>
    <n v="420"/>
    <n v="336"/>
    <x v="1"/>
    <n v="5"/>
    <x v="0"/>
    <x v="1"/>
  </r>
  <r>
    <n v="89"/>
    <n v="801"/>
    <n v="534"/>
    <n v="267"/>
    <x v="1"/>
    <n v="5"/>
    <x v="0"/>
    <x v="1"/>
  </r>
  <r>
    <n v="64"/>
    <n v="416"/>
    <n v="224"/>
    <n v="192"/>
    <x v="1"/>
    <n v="6"/>
    <x v="0"/>
    <x v="1"/>
  </r>
  <r>
    <n v="12"/>
    <n v="24"/>
    <n v="12"/>
    <n v="12"/>
    <x v="1"/>
    <n v="7"/>
    <x v="3"/>
    <x v="2"/>
  </r>
  <r>
    <n v="58"/>
    <n v="231.42000000000002"/>
    <n v="116"/>
    <n v="115.42000000000002"/>
    <x v="1"/>
    <n v="3"/>
    <x v="4"/>
    <x v="1"/>
  </r>
  <r>
    <n v="142"/>
    <n v="426"/>
    <n v="213"/>
    <n v="213"/>
    <x v="1"/>
    <n v="3"/>
    <x v="3"/>
    <x v="0"/>
  </r>
  <r>
    <n v="46"/>
    <n v="92"/>
    <n v="46"/>
    <n v="46"/>
    <x v="1"/>
    <n v="4"/>
    <x v="0"/>
    <x v="1"/>
  </r>
  <r>
    <n v="210"/>
    <n v="1260"/>
    <n v="630"/>
    <n v="630"/>
    <x v="1"/>
    <n v="7"/>
    <x v="3"/>
    <x v="0"/>
  </r>
  <r>
    <n v="130"/>
    <n v="260"/>
    <n v="130"/>
    <n v="130"/>
    <x v="1"/>
    <n v="1"/>
    <x v="2"/>
    <x v="0"/>
  </r>
  <r>
    <n v="173"/>
    <n v="1557"/>
    <n v="1038"/>
    <n v="519"/>
    <x v="1"/>
    <n v="1"/>
    <x v="0"/>
    <x v="2"/>
  </r>
  <r>
    <n v="54"/>
    <n v="243"/>
    <n v="135"/>
    <n v="108"/>
    <x v="1"/>
    <n v="8"/>
    <x v="5"/>
    <x v="0"/>
  </r>
  <r>
    <n v="44"/>
    <n v="198"/>
    <n v="110"/>
    <n v="88"/>
    <x v="1"/>
    <n v="1"/>
    <x v="5"/>
    <x v="0"/>
  </r>
  <r>
    <n v="71"/>
    <n v="461.5"/>
    <n v="248.5"/>
    <n v="213"/>
    <x v="1"/>
    <n v="3"/>
    <x v="0"/>
    <x v="2"/>
  </r>
  <r>
    <n v="132"/>
    <n v="526.68000000000006"/>
    <n v="264"/>
    <n v="262.68000000000006"/>
    <x v="1"/>
    <n v="5"/>
    <x v="3"/>
    <x v="0"/>
  </r>
  <r>
    <n v="38"/>
    <n v="247"/>
    <n v="133"/>
    <n v="114"/>
    <x v="1"/>
    <n v="7"/>
    <x v="4"/>
    <x v="1"/>
  </r>
  <r>
    <n v="40"/>
    <n v="180"/>
    <n v="100"/>
    <n v="80"/>
    <x v="1"/>
    <n v="3"/>
    <x v="2"/>
    <x v="1"/>
  </r>
  <r>
    <n v="58"/>
    <n v="522"/>
    <n v="348"/>
    <n v="174"/>
    <x v="1"/>
    <n v="8"/>
    <x v="2"/>
    <x v="0"/>
  </r>
  <r>
    <n v="185"/>
    <n v="1293.1500000000001"/>
    <n v="647.5"/>
    <n v="645.65000000000009"/>
    <x v="1"/>
    <n v="5"/>
    <x v="0"/>
    <x v="1"/>
  </r>
  <r>
    <n v="61"/>
    <n v="243.39000000000001"/>
    <n v="122"/>
    <n v="121.39000000000001"/>
    <x v="1"/>
    <n v="6"/>
    <x v="5"/>
    <x v="0"/>
  </r>
  <r>
    <n v="84"/>
    <n v="168"/>
    <n v="84"/>
    <n v="84"/>
    <x v="1"/>
    <n v="6"/>
    <x v="3"/>
    <x v="1"/>
  </r>
  <r>
    <n v="119"/>
    <n v="474.81"/>
    <n v="238"/>
    <n v="236.81"/>
    <x v="1"/>
    <n v="1"/>
    <x v="2"/>
    <x v="0"/>
  </r>
  <r>
    <n v="54"/>
    <n v="783"/>
    <n v="432"/>
    <n v="351"/>
    <x v="1"/>
    <n v="3"/>
    <x v="0"/>
    <x v="1"/>
  </r>
  <r>
    <n v="191"/>
    <n v="573"/>
    <n v="286.5"/>
    <n v="286.5"/>
    <x v="1"/>
    <n v="1"/>
    <x v="0"/>
    <x v="0"/>
  </r>
  <r>
    <n v="181"/>
    <n v="1176.5"/>
    <n v="633.5"/>
    <n v="543"/>
    <x v="1"/>
    <n v="7"/>
    <x v="0"/>
    <x v="0"/>
  </r>
  <r>
    <n v="99"/>
    <n v="395.01000000000005"/>
    <n v="198"/>
    <n v="197.01000000000005"/>
    <x v="1"/>
    <n v="5"/>
    <x v="4"/>
    <x v="1"/>
  </r>
  <r>
    <n v="120"/>
    <n v="720"/>
    <n v="360"/>
    <n v="360"/>
    <x v="1"/>
    <n v="7"/>
    <x v="3"/>
    <x v="0"/>
  </r>
  <r>
    <n v="38"/>
    <n v="228"/>
    <n v="114"/>
    <n v="114"/>
    <x v="1"/>
    <n v="7"/>
    <x v="2"/>
    <x v="0"/>
  </r>
  <r>
    <n v="2"/>
    <n v="19.98"/>
    <n v="10"/>
    <n v="9.98"/>
    <x v="1"/>
    <n v="8"/>
    <x v="5"/>
    <x v="0"/>
  </r>
  <r>
    <n v="99"/>
    <n v="297"/>
    <n v="148.5"/>
    <n v="148.5"/>
    <x v="1"/>
    <n v="7"/>
    <x v="0"/>
    <x v="1"/>
  </r>
  <r>
    <n v="136"/>
    <n v="1358.64"/>
    <n v="680"/>
    <n v="678.6400000000001"/>
    <x v="1"/>
    <n v="1"/>
    <x v="0"/>
    <x v="0"/>
  </r>
  <r>
    <n v="163"/>
    <n v="650.37"/>
    <n v="326"/>
    <n v="324.37"/>
    <x v="1"/>
    <n v="7"/>
    <x v="4"/>
    <x v="0"/>
  </r>
  <r>
    <n v="97"/>
    <n v="387.03000000000003"/>
    <n v="194"/>
    <n v="193.03000000000003"/>
    <x v="1"/>
    <n v="2"/>
    <x v="0"/>
    <x v="1"/>
  </r>
  <r>
    <n v="209"/>
    <n v="1358.5"/>
    <n v="731.5"/>
    <n v="627"/>
    <x v="1"/>
    <n v="4"/>
    <x v="0"/>
    <x v="1"/>
  </r>
  <r>
    <n v="33"/>
    <n v="214.5"/>
    <n v="115.5"/>
    <n v="99"/>
    <x v="1"/>
    <n v="3"/>
    <x v="0"/>
    <x v="1"/>
  </r>
  <r>
    <n v="80"/>
    <n v="240"/>
    <n v="120"/>
    <n v="120"/>
    <x v="1"/>
    <n v="6"/>
    <x v="0"/>
    <x v="1"/>
  </r>
  <r>
    <n v="190"/>
    <n v="1235"/>
    <n v="665"/>
    <n v="570"/>
    <x v="1"/>
    <n v="8"/>
    <x v="2"/>
    <x v="1"/>
  </r>
  <r>
    <n v="168"/>
    <n v="336"/>
    <n v="168"/>
    <n v="168"/>
    <x v="1"/>
    <n v="1"/>
    <x v="1"/>
    <x v="0"/>
  </r>
  <r>
    <n v="12"/>
    <n v="54"/>
    <n v="30"/>
    <n v="24"/>
    <x v="1"/>
    <n v="3"/>
    <x v="5"/>
    <x v="0"/>
  </r>
  <r>
    <n v="31"/>
    <n v="216.69"/>
    <n v="108.5"/>
    <n v="108.19"/>
    <x v="1"/>
    <n v="4"/>
    <x v="3"/>
    <x v="2"/>
  </r>
  <r>
    <n v="51"/>
    <n v="153"/>
    <n v="76.5"/>
    <n v="76.5"/>
    <x v="1"/>
    <n v="4"/>
    <x v="0"/>
    <x v="1"/>
  </r>
  <r>
    <n v="135"/>
    <n v="1957.5"/>
    <n v="1080"/>
    <n v="877.5"/>
    <x v="1"/>
    <n v="2"/>
    <x v="0"/>
    <x v="0"/>
  </r>
  <r>
    <n v="80"/>
    <n v="480"/>
    <n v="240"/>
    <n v="240"/>
    <x v="1"/>
    <n v="6"/>
    <x v="1"/>
    <x v="0"/>
  </r>
  <r>
    <n v="15"/>
    <n v="97.5"/>
    <n v="52.5"/>
    <n v="45"/>
    <x v="1"/>
    <n v="3"/>
    <x v="1"/>
    <x v="0"/>
  </r>
  <r>
    <n v="81"/>
    <n v="323.19"/>
    <n v="162"/>
    <n v="161.19"/>
    <x v="1"/>
    <n v="5"/>
    <x v="5"/>
    <x v="1"/>
  </r>
  <r>
    <n v="185"/>
    <n v="738.15000000000009"/>
    <n v="370"/>
    <n v="368.15000000000009"/>
    <x v="1"/>
    <n v="2"/>
    <x v="4"/>
    <x v="1"/>
  </r>
  <r>
    <n v="3"/>
    <n v="6"/>
    <n v="3"/>
    <n v="3"/>
    <x v="1"/>
    <n v="8"/>
    <x v="5"/>
    <x v="1"/>
  </r>
  <r>
    <n v="185"/>
    <n v="1202.5"/>
    <n v="647.5"/>
    <n v="555"/>
    <x v="1"/>
    <n v="2"/>
    <x v="0"/>
    <x v="1"/>
  </r>
  <r>
    <n v="127"/>
    <n v="887.73"/>
    <n v="444.5"/>
    <n v="443.23"/>
    <x v="1"/>
    <n v="1"/>
    <x v="3"/>
    <x v="1"/>
  </r>
  <r>
    <n v="15"/>
    <n v="135"/>
    <n v="90"/>
    <n v="45"/>
    <x v="1"/>
    <n v="4"/>
    <x v="3"/>
    <x v="0"/>
  </r>
  <r>
    <n v="133"/>
    <n v="929.67000000000007"/>
    <n v="465.5"/>
    <n v="464.17000000000007"/>
    <x v="1"/>
    <n v="1"/>
    <x v="0"/>
    <x v="0"/>
  </r>
  <r>
    <n v="138"/>
    <n v="621"/>
    <n v="345"/>
    <n v="276"/>
    <x v="1"/>
    <n v="2"/>
    <x v="4"/>
    <x v="1"/>
  </r>
  <r>
    <n v="132"/>
    <n v="264"/>
    <n v="132"/>
    <n v="132"/>
    <x v="1"/>
    <n v="1"/>
    <x v="3"/>
    <x v="1"/>
  </r>
  <r>
    <n v="13"/>
    <n v="129.87"/>
    <n v="65"/>
    <n v="64.87"/>
    <x v="1"/>
    <n v="7"/>
    <x v="4"/>
    <x v="1"/>
  </r>
  <r>
    <n v="136"/>
    <n v="542.64"/>
    <n v="272"/>
    <n v="270.64"/>
    <x v="1"/>
    <n v="7"/>
    <x v="3"/>
    <x v="1"/>
  </r>
  <r>
    <n v="25"/>
    <n v="99.75"/>
    <n v="50"/>
    <n v="49.75"/>
    <x v="1"/>
    <n v="4"/>
    <x v="0"/>
    <x v="1"/>
  </r>
  <r>
    <n v="200"/>
    <n v="1800"/>
    <n v="1200"/>
    <n v="600"/>
    <x v="1"/>
    <n v="4"/>
    <x v="0"/>
    <x v="1"/>
  </r>
  <r>
    <n v="148"/>
    <n v="590.52"/>
    <n v="296"/>
    <n v="294.52"/>
    <x v="1"/>
    <n v="7"/>
    <x v="5"/>
    <x v="0"/>
  </r>
  <r>
    <n v="175"/>
    <n v="787.5"/>
    <n v="437.5"/>
    <n v="350"/>
    <x v="1"/>
    <n v="4"/>
    <x v="0"/>
    <x v="0"/>
  </r>
  <r>
    <n v="44"/>
    <n v="286"/>
    <n v="154"/>
    <n v="132"/>
    <x v="1"/>
    <n v="1"/>
    <x v="0"/>
    <x v="2"/>
  </r>
  <r>
    <n v="39"/>
    <n v="389.61"/>
    <n v="195"/>
    <n v="194.61"/>
    <x v="1"/>
    <n v="7"/>
    <x v="0"/>
    <x v="1"/>
  </r>
  <r>
    <n v="80"/>
    <n v="1160"/>
    <n v="640"/>
    <n v="520"/>
    <x v="1"/>
    <n v="6"/>
    <x v="3"/>
    <x v="1"/>
  </r>
  <r>
    <n v="198"/>
    <n v="790.0200000000001"/>
    <n v="396"/>
    <n v="394.0200000000001"/>
    <x v="1"/>
    <n v="5"/>
    <x v="3"/>
    <x v="1"/>
  </r>
  <r>
    <n v="203"/>
    <n v="1319.5"/>
    <n v="710.5"/>
    <n v="609"/>
    <x v="1"/>
    <n v="5"/>
    <x v="0"/>
    <x v="0"/>
  </r>
  <r>
    <n v="210"/>
    <n v="420"/>
    <n v="210"/>
    <n v="210"/>
    <x v="1"/>
    <n v="1"/>
    <x v="4"/>
    <x v="2"/>
  </r>
  <r>
    <n v="94"/>
    <n v="375.06"/>
    <n v="188"/>
    <n v="187.06"/>
    <x v="1"/>
    <n v="1"/>
    <x v="5"/>
    <x v="0"/>
  </r>
  <r>
    <n v="142"/>
    <n v="992.58"/>
    <n v="497"/>
    <n v="495.58000000000004"/>
    <x v="1"/>
    <n v="6"/>
    <x v="5"/>
    <x v="0"/>
  </r>
  <r>
    <n v="94"/>
    <n v="423"/>
    <n v="235"/>
    <n v="188"/>
    <x v="1"/>
    <n v="6"/>
    <x v="3"/>
    <x v="1"/>
  </r>
  <r>
    <n v="129"/>
    <n v="387"/>
    <n v="193.5"/>
    <n v="193.5"/>
    <x v="1"/>
    <n v="7"/>
    <x v="1"/>
    <x v="1"/>
  </r>
  <r>
    <n v="15"/>
    <n v="67.5"/>
    <n v="37.5"/>
    <n v="30"/>
    <x v="1"/>
    <n v="3"/>
    <x v="3"/>
    <x v="0"/>
  </r>
  <r>
    <n v="155"/>
    <n v="1548.45"/>
    <n v="775"/>
    <n v="773.45"/>
    <x v="1"/>
    <n v="5"/>
    <x v="1"/>
    <x v="0"/>
  </r>
  <r>
    <n v="120"/>
    <n v="1198.8"/>
    <n v="600"/>
    <n v="598.79999999999995"/>
    <x v="1"/>
    <n v="2"/>
    <x v="3"/>
    <x v="0"/>
  </r>
  <r>
    <n v="171"/>
    <n v="513"/>
    <n v="256.5"/>
    <n v="256.5"/>
    <x v="1"/>
    <n v="5"/>
    <x v="0"/>
    <x v="2"/>
  </r>
  <r>
    <n v="11"/>
    <n v="43.89"/>
    <n v="22"/>
    <n v="21.89"/>
    <x v="1"/>
    <n v="3"/>
    <x v="3"/>
    <x v="2"/>
  </r>
  <r>
    <n v="159"/>
    <n v="1588.41"/>
    <n v="795"/>
    <n v="793.41000000000008"/>
    <x v="1"/>
    <n v="7"/>
    <x v="4"/>
    <x v="1"/>
  </r>
  <r>
    <n v="66"/>
    <n v="396"/>
    <n v="198"/>
    <n v="198"/>
    <x v="1"/>
    <n v="6"/>
    <x v="0"/>
    <x v="0"/>
  </r>
  <r>
    <n v="143"/>
    <n v="1287"/>
    <n v="858"/>
    <n v="429"/>
    <x v="1"/>
    <n v="6"/>
    <x v="5"/>
    <x v="1"/>
  </r>
  <r>
    <n v="26"/>
    <n v="169"/>
    <n v="91"/>
    <n v="78"/>
    <x v="1"/>
    <n v="5"/>
    <x v="2"/>
    <x v="1"/>
  </r>
  <r>
    <n v="190"/>
    <n v="1328.1000000000001"/>
    <n v="665"/>
    <n v="663.10000000000014"/>
    <x v="1"/>
    <n v="5"/>
    <x v="2"/>
    <x v="0"/>
  </r>
  <r>
    <n v="3"/>
    <n v="20.97"/>
    <n v="10.5"/>
    <n v="10.469999999999999"/>
    <x v="1"/>
    <n v="1"/>
    <x v="0"/>
    <x v="0"/>
  </r>
  <r>
    <n v="106"/>
    <n v="422.94"/>
    <n v="212"/>
    <n v="210.94"/>
    <x v="1"/>
    <n v="1"/>
    <x v="3"/>
    <x v="1"/>
  </r>
  <r>
    <n v="181"/>
    <n v="1086"/>
    <n v="543"/>
    <n v="543"/>
    <x v="1"/>
    <n v="3"/>
    <x v="3"/>
    <x v="0"/>
  </r>
  <r>
    <n v="141"/>
    <n v="423"/>
    <n v="211.5"/>
    <n v="211.5"/>
    <x v="1"/>
    <n v="1"/>
    <x v="2"/>
    <x v="1"/>
  </r>
  <r>
    <n v="64"/>
    <n v="192"/>
    <n v="96"/>
    <n v="96"/>
    <x v="1"/>
    <n v="3"/>
    <x v="0"/>
    <x v="0"/>
  </r>
  <r>
    <n v="204"/>
    <n v="1836"/>
    <n v="1224"/>
    <n v="612"/>
    <x v="1"/>
    <n v="7"/>
    <x v="3"/>
    <x v="1"/>
  </r>
  <r>
    <n v="1"/>
    <n v="3.99"/>
    <n v="2"/>
    <n v="1.9900000000000002"/>
    <x v="1"/>
    <n v="5"/>
    <x v="0"/>
    <x v="0"/>
  </r>
  <r>
    <n v="21"/>
    <n v="126"/>
    <n v="63"/>
    <n v="63"/>
    <x v="1"/>
    <n v="4"/>
    <x v="0"/>
    <x v="0"/>
  </r>
  <r>
    <n v="84"/>
    <n v="168"/>
    <n v="84"/>
    <n v="84"/>
    <x v="1"/>
    <n v="7"/>
    <x v="4"/>
    <x v="0"/>
  </r>
  <r>
    <n v="33"/>
    <n v="131.67000000000002"/>
    <n v="66"/>
    <n v="65.670000000000016"/>
    <x v="1"/>
    <n v="8"/>
    <x v="1"/>
    <x v="2"/>
  </r>
  <r>
    <n v="177"/>
    <n v="1062"/>
    <n v="531"/>
    <n v="531"/>
    <x v="1"/>
    <n v="5"/>
    <x v="1"/>
    <x v="1"/>
  </r>
  <r>
    <n v="162"/>
    <n v="729"/>
    <n v="405"/>
    <n v="324"/>
    <x v="1"/>
    <n v="3"/>
    <x v="2"/>
    <x v="0"/>
  </r>
  <r>
    <n v="204"/>
    <n v="1425.96"/>
    <n v="714"/>
    <n v="711.96"/>
    <x v="1"/>
    <n v="8"/>
    <x v="1"/>
    <x v="0"/>
  </r>
  <r>
    <n v="138"/>
    <n v="964.62"/>
    <n v="483"/>
    <n v="481.62"/>
    <x v="1"/>
    <n v="7"/>
    <x v="0"/>
    <x v="0"/>
  </r>
  <r>
    <n v="195"/>
    <n v="1755"/>
    <n v="1170"/>
    <n v="585"/>
    <x v="1"/>
    <n v="2"/>
    <x v="2"/>
    <x v="1"/>
  </r>
  <r>
    <n v="110"/>
    <n v="330"/>
    <n v="165"/>
    <n v="165"/>
    <x v="1"/>
    <n v="7"/>
    <x v="5"/>
    <x v="2"/>
  </r>
  <r>
    <n v="59"/>
    <n v="383.5"/>
    <n v="206.5"/>
    <n v="177"/>
    <x v="1"/>
    <n v="5"/>
    <x v="2"/>
    <x v="1"/>
  </r>
  <r>
    <n v="201"/>
    <n v="801.99"/>
    <n v="402"/>
    <n v="399.99"/>
    <x v="1"/>
    <n v="6"/>
    <x v="4"/>
    <x v="1"/>
  </r>
  <r>
    <n v="44"/>
    <n v="175.56"/>
    <n v="88"/>
    <n v="87.56"/>
    <x v="1"/>
    <n v="5"/>
    <x v="4"/>
    <x v="2"/>
  </r>
  <r>
    <n v="36"/>
    <n v="143.64000000000001"/>
    <n v="72"/>
    <n v="71.640000000000015"/>
    <x v="1"/>
    <n v="8"/>
    <x v="3"/>
    <x v="1"/>
  </r>
  <r>
    <n v="11"/>
    <n v="66"/>
    <n v="33"/>
    <n v="33"/>
    <x v="1"/>
    <n v="4"/>
    <x v="0"/>
    <x v="1"/>
  </r>
  <r>
    <n v="88"/>
    <n v="351.12"/>
    <n v="176"/>
    <n v="175.12"/>
    <x v="1"/>
    <n v="2"/>
    <x v="3"/>
    <x v="1"/>
  </r>
  <r>
    <n v="16"/>
    <n v="63.84"/>
    <n v="32"/>
    <n v="31.840000000000003"/>
    <x v="1"/>
    <n v="8"/>
    <x v="5"/>
    <x v="0"/>
  </r>
  <r>
    <n v="138"/>
    <n v="621"/>
    <n v="345"/>
    <n v="276"/>
    <x v="1"/>
    <n v="7"/>
    <x v="3"/>
    <x v="1"/>
  </r>
  <r>
    <n v="92"/>
    <n v="919.08"/>
    <n v="460"/>
    <n v="459.08000000000004"/>
    <x v="1"/>
    <n v="6"/>
    <x v="3"/>
    <x v="1"/>
  </r>
  <r>
    <n v="74"/>
    <n v="295.26"/>
    <n v="148"/>
    <n v="147.26"/>
    <x v="1"/>
    <n v="7"/>
    <x v="3"/>
    <x v="1"/>
  </r>
  <r>
    <n v="144"/>
    <n v="288"/>
    <n v="144"/>
    <n v="144"/>
    <x v="1"/>
    <n v="5"/>
    <x v="0"/>
    <x v="1"/>
  </r>
  <r>
    <n v="151"/>
    <n v="302"/>
    <n v="151"/>
    <n v="151"/>
    <x v="1"/>
    <n v="3"/>
    <x v="3"/>
    <x v="2"/>
  </r>
  <r>
    <n v="11"/>
    <n v="49.5"/>
    <n v="27.5"/>
    <n v="22"/>
    <x v="1"/>
    <n v="3"/>
    <x v="2"/>
    <x v="1"/>
  </r>
  <r>
    <n v="15"/>
    <n v="97.5"/>
    <n v="52.5"/>
    <n v="45"/>
    <x v="1"/>
    <n v="4"/>
    <x v="3"/>
    <x v="0"/>
  </r>
  <r>
    <n v="170"/>
    <n v="678.30000000000007"/>
    <n v="340"/>
    <n v="338.30000000000007"/>
    <x v="1"/>
    <n v="6"/>
    <x v="0"/>
    <x v="1"/>
  </r>
  <r>
    <n v="77"/>
    <n v="462"/>
    <n v="231"/>
    <n v="231"/>
    <x v="1"/>
    <n v="5"/>
    <x v="2"/>
    <x v="1"/>
  </r>
  <r>
    <n v="6"/>
    <n v="54"/>
    <n v="36"/>
    <n v="18"/>
    <x v="1"/>
    <n v="7"/>
    <x v="1"/>
    <x v="1"/>
  </r>
  <r>
    <n v="189"/>
    <n v="1134"/>
    <n v="567"/>
    <n v="567"/>
    <x v="1"/>
    <n v="1"/>
    <x v="4"/>
    <x v="0"/>
  </r>
  <r>
    <n v="43"/>
    <n v="279.5"/>
    <n v="150.5"/>
    <n v="129"/>
    <x v="1"/>
    <n v="5"/>
    <x v="5"/>
    <x v="1"/>
  </r>
  <r>
    <n v="17"/>
    <n v="153"/>
    <n v="102"/>
    <n v="51"/>
    <x v="1"/>
    <n v="2"/>
    <x v="3"/>
    <x v="1"/>
  </r>
  <r>
    <n v="80"/>
    <n v="559.20000000000005"/>
    <n v="280"/>
    <n v="279.20000000000005"/>
    <x v="1"/>
    <n v="1"/>
    <x v="3"/>
    <x v="1"/>
  </r>
  <r>
    <n v="138"/>
    <n v="897"/>
    <n v="483"/>
    <n v="414"/>
    <x v="1"/>
    <n v="8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ED7BE-7F41-4DB5-B4D3-AB8B798FD800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3:J11" firstHeaderRow="0" firstDataRow="1" firstDataCol="1" rowPageCount="1" colPageCount="1"/>
  <pivotFields count="8"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9">
        <item x="4"/>
        <item x="5"/>
        <item x="1"/>
        <item x="3"/>
        <item x="2"/>
        <item x="6"/>
        <item x="0"/>
        <item h="1" x="7"/>
        <item t="default"/>
      </items>
    </pivotField>
    <pivotField compact="0" outline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Suma de UdsVendidas" fld="0" baseField="0" baseItem="0"/>
    <dataField name="Suma de COSTES" fld="2" baseField="0" baseItem="0"/>
    <dataField name="Suma de INGRESOS" fld="1" baseField="0" baseItem="0"/>
    <dataField name="Suma de BENEFICIOS" fld="3" baseField="0" baseItem="0"/>
  </dataFields>
  <formats count="6">
    <format dxfId="19">
      <pivotArea field="6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">
      <pivotArea field="6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">
      <pivotArea field="6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07C21-26C7-4A17-B41F-1CCAE0D893CF}" name="Tabla 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B31:F40" firstHeaderRow="1" firstDataRow="2" firstDataCol="1"/>
  <pivotFields count="8">
    <pivotField compact="0" outline="0" showAll="0"/>
    <pivotField compact="0" numFmtId="8" outline="0" showAll="0"/>
    <pivotField dataField="1" compact="0" numFmtId="8" outline="0" showAll="0"/>
    <pivotField compact="0" numFmtId="8" outline="0" showAll="0"/>
    <pivotField compact="0" outline="0" showAll="0"/>
    <pivotField compact="0" outline="0" showAll="0"/>
    <pivotField axis="axisRow" compact="0" outline="0" showAll="0" sortType="ascending">
      <items count="8">
        <item x="4"/>
        <item x="5"/>
        <item x="1"/>
        <item x="3"/>
        <item x="2"/>
        <item x="6"/>
        <item x="0"/>
        <item t="default"/>
      </items>
    </pivotField>
    <pivotField axis="axisCol" compact="0" outline="0" showAll="0" sortType="ascending">
      <items count="4">
        <item x="2"/>
        <item x="0"/>
        <item x="1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STES TOTALES POR REGIÓN Y CANAL DE VENTAS" fld="2" baseField="0" baseItem="0" numFmtId="8"/>
  </dataFields>
  <formats count="13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7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6" type="button" dataOnly="0" labelOnly="1" outline="0" axis="axisRow" fieldPosition="0"/>
    </format>
    <format dxfId="23">
      <pivotArea dataOnly="0" labelOnly="1" outline="0" fieldPosition="0">
        <references count="1">
          <reference field="6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7" count="0"/>
        </references>
      </pivotArea>
    </format>
    <format dxfId="20">
      <pivotArea dataOnly="0" labelOnly="1" grandCol="1" outline="0" fieldPosition="0"/>
    </format>
    <format dxfId="8">
      <pivotArea field="6" type="button" dataOnly="0" labelOnly="1" outline="0" axis="axisRow" fieldPosition="0"/>
    </format>
    <format dxfId="7">
      <pivotArea dataOnly="0" labelOnly="1" outline="0" fieldPosition="0">
        <references count="1">
          <reference field="7" count="0"/>
        </references>
      </pivotArea>
    </format>
    <format dxfId="6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AB2D9-1C55-4F18-8EC9-E619B96CEA20}" name="Tabla 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B1:F10" firstHeaderRow="1" firstDataRow="2" firstDataCol="1"/>
  <pivotFields count="8">
    <pivotField compact="0" outline="0" showAll="0"/>
    <pivotField dataField="1" compact="0" numFmtId="8" outline="0" showAll="0"/>
    <pivotField compact="0" numFmtId="8" outline="0" showAll="0"/>
    <pivotField compact="0" numFmtId="8" outline="0" showAll="0"/>
    <pivotField compact="0" outline="0" showAll="0"/>
    <pivotField compact="0" outline="0" showAll="0"/>
    <pivotField axis="axisRow" compact="0" outline="0" showAll="0" sortType="ascending">
      <items count="8">
        <item x="4"/>
        <item x="5"/>
        <item x="1"/>
        <item x="3"/>
        <item x="2"/>
        <item x="6"/>
        <item x="0"/>
        <item t="default"/>
      </items>
    </pivotField>
    <pivotField axis="axisCol" compact="0" outline="0" showAll="0" sortType="ascending">
      <items count="4">
        <item x="2"/>
        <item x="0"/>
        <item x="1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INGRESOS TOTALES POR REGIÓN Y CANAL DE VENTAS" fld="1" baseField="0" baseItem="0" numFmtId="8"/>
  </dataFields>
  <formats count="15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7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6" type="button" dataOnly="0" labelOnly="1" outline="0" axis="axisRow" fieldPosition="0"/>
    </format>
    <format dxfId="33">
      <pivotArea dataOnly="0" labelOnly="1" outline="0" fieldPosition="0">
        <references count="1">
          <reference field="6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7" count="0"/>
        </references>
      </pivotArea>
    </format>
    <format dxfId="30">
      <pivotArea dataOnly="0" labelOnly="1" grandCol="1" outline="0" fieldPosition="0"/>
    </format>
    <format dxfId="13">
      <pivotArea field="6" type="button" dataOnly="0" labelOnly="1" outline="0" axis="axisRow" fieldPosition="0"/>
    </format>
    <format dxfId="12">
      <pivotArea field="6" type="button" dataOnly="0" labelOnly="1" outline="0" axis="axisRow" fieldPosition="0"/>
    </format>
    <format dxfId="11">
      <pivotArea type="origin" dataOnly="0" labelOnly="1" outline="0" fieldPosition="0"/>
    </format>
    <format dxfId="10">
      <pivotArea dataOnly="0" labelOnly="1" outline="0" fieldPosition="0">
        <references count="1">
          <reference field="7" count="0"/>
        </references>
      </pivotArea>
    </format>
    <format dxfId="9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ED55F-3363-4067-9007-496E2840E567}" name="Tabla dinámica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B91:F100" firstHeaderRow="1" firstDataRow="2" firstDataCol="1"/>
  <pivotFields count="8"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compact="0" outline="0" showAll="0">
      <items count="8">
        <item x="4"/>
        <item x="5"/>
        <item x="1"/>
        <item x="3"/>
        <item x="2"/>
        <item x="6"/>
        <item x="0"/>
        <item t="default"/>
      </items>
    </pivotField>
    <pivotField axis="axisCol" compact="0" outline="0" showAll="0" sortType="ascending">
      <items count="4">
        <item x="2"/>
        <item x="0"/>
        <item x="1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UNIDADES VENDIDAS TOTALES POR REGIÓN Y CANAL DE VENTAS" fld="0" baseField="0" baseItem="0"/>
  </dataFields>
  <formats count="3">
    <format dxfId="2">
      <pivotArea field="6" type="button" dataOnly="0" labelOnly="1" outline="0" axis="axisRow" fieldPosition="0"/>
    </format>
    <format dxfId="1">
      <pivotArea dataOnly="0" labelOnly="1" outline="0" fieldPosition="0">
        <references count="1">
          <reference field="7" count="0"/>
        </references>
      </pivotArea>
    </format>
    <format dxfId="0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FA47E-47FE-4CBF-B65E-7DA661DF40F2}" name="Tabla 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B61:F70" firstHeaderRow="1" firstDataRow="2" firstDataCol="1"/>
  <pivotFields count="8"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outline="0" showAll="0"/>
    <pivotField compact="0" outline="0" showAll="0"/>
    <pivotField axis="axisRow" compact="0" outline="0" showAll="0" sortType="ascending">
      <items count="8">
        <item x="4"/>
        <item x="5"/>
        <item x="1"/>
        <item x="3"/>
        <item x="2"/>
        <item x="6"/>
        <item x="0"/>
        <item t="default"/>
      </items>
    </pivotField>
    <pivotField axis="axisCol" compact="0" outline="0" showAll="0" sortType="ascending">
      <items count="4">
        <item x="2"/>
        <item x="0"/>
        <item x="1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BENEFICIOS TOTALES POR REGIÓN Y CANAL DE VENTAS" fld="3" baseField="0" baseItem="0" numFmtId="8"/>
  </dataFields>
  <formats count="3">
    <format dxfId="5">
      <pivotArea field="6" type="button" dataOnly="0" labelOnly="1" outline="0" axis="axisRow" fieldPosition="0"/>
    </format>
    <format dxfId="4">
      <pivotArea dataOnly="0" labelOnly="1" outline="0" fieldPosition="0">
        <references count="1">
          <reference field="7" count="0"/>
        </references>
      </pivotArea>
    </format>
    <format dxfId="3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7D0A8-262C-4AF6-A820-9809D1B5ACB2}" name="Tabla 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11" firstHeaderRow="0" firstDataRow="1" firstDataCol="1" rowPageCount="1" colPageCount="1"/>
  <pivotFields count="8"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9">
        <item x="4"/>
        <item x="5"/>
        <item x="1"/>
        <item x="3"/>
        <item x="2"/>
        <item x="6"/>
        <item x="0"/>
        <item x="7"/>
        <item t="default"/>
      </items>
    </pivotField>
    <pivotField compact="0" outline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item="0" hier="-1"/>
  </pageFields>
  <dataFields count="4">
    <dataField name="Suma de UdsVendidas" fld="0" baseField="0" baseItem="0"/>
    <dataField name="Suma de COSTES" fld="2" baseField="0" baseItem="0"/>
    <dataField name="Suma de INGRESOS" fld="1" baseField="0" baseItem="0"/>
    <dataField name="Suma de BENEFICIO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656DD-8EA9-4782-82FC-445F7CD4B1E3}" name="Tabla 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0:E28" firstHeaderRow="0" firstDataRow="1" firstDataCol="1" rowPageCount="1" colPageCount="1"/>
  <pivotFields count="8"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>
      <items count="9">
        <item x="4"/>
        <item x="5"/>
        <item x="1"/>
        <item x="3"/>
        <item x="2"/>
        <item x="6"/>
        <item x="0"/>
        <item x="7"/>
        <item t="default"/>
      </items>
    </pivotField>
    <pivotField compact="0" outline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item="1" hier="-1"/>
  </pageFields>
  <dataFields count="4">
    <dataField name="Suma de COSTES" fld="2" baseField="0" baseItem="0"/>
    <dataField name="Suma de UdsVendidas" fld="0" baseField="0" baseItem="0"/>
    <dataField name="Suma de INGRESOS" fld="1" baseField="0" baseItem="0"/>
    <dataField name="Suma de BENEFICIO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E2" sqref="E2"/>
    </sheetView>
  </sheetViews>
  <sheetFormatPr baseColWidth="10" defaultColWidth="17.33203125" defaultRowHeight="15" customHeight="1" x14ac:dyDescent="0.25"/>
  <cols>
    <col min="1" max="1" width="9" customWidth="1"/>
    <col min="2" max="2" width="28.88671875" customWidth="1"/>
    <col min="3" max="3" width="21.88671875" customWidth="1"/>
    <col min="4" max="4" width="10.88671875" customWidth="1"/>
    <col min="5" max="5" width="12.109375" customWidth="1"/>
    <col min="6" max="6" width="12.5546875" customWidth="1"/>
    <col min="7" max="7" width="11.88671875" customWidth="1"/>
    <col min="8" max="8" width="17.44140625" customWidth="1"/>
    <col min="9" max="17" width="9.109375" customWidth="1"/>
    <col min="18" max="26" width="10" customWidth="1"/>
  </cols>
  <sheetData>
    <row r="1" spans="1:2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>
        <v>23262</v>
      </c>
      <c r="B2" s="4" t="s">
        <v>7</v>
      </c>
      <c r="C2" s="4" t="s">
        <v>8</v>
      </c>
      <c r="D2" s="4" t="s">
        <v>9</v>
      </c>
      <c r="E2" s="4" t="s">
        <v>10</v>
      </c>
      <c r="F2" s="4">
        <v>117</v>
      </c>
      <c r="G2" s="7">
        <v>42591</v>
      </c>
      <c r="H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>
        <v>23263</v>
      </c>
      <c r="B3" s="4" t="s">
        <v>11</v>
      </c>
      <c r="C3" s="4" t="s">
        <v>12</v>
      </c>
      <c r="D3" s="4" t="s">
        <v>13</v>
      </c>
      <c r="E3" s="4" t="s">
        <v>10</v>
      </c>
      <c r="F3" s="4">
        <v>73</v>
      </c>
      <c r="G3" s="7">
        <v>42557</v>
      </c>
      <c r="H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4">
        <v>23264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205</v>
      </c>
      <c r="G4" s="7">
        <v>42600</v>
      </c>
      <c r="H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4">
        <v>23265</v>
      </c>
      <c r="B5" s="4" t="s">
        <v>18</v>
      </c>
      <c r="C5" s="4" t="s">
        <v>19</v>
      </c>
      <c r="D5" s="4" t="s">
        <v>20</v>
      </c>
      <c r="E5" s="4" t="s">
        <v>17</v>
      </c>
      <c r="F5" s="4">
        <v>14</v>
      </c>
      <c r="G5" s="7">
        <v>42587</v>
      </c>
      <c r="H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5">
      <c r="A6" s="4">
        <v>23266</v>
      </c>
      <c r="B6" s="4" t="s">
        <v>21</v>
      </c>
      <c r="C6" s="4" t="s">
        <v>22</v>
      </c>
      <c r="D6" s="4" t="s">
        <v>23</v>
      </c>
      <c r="E6" s="4" t="s">
        <v>17</v>
      </c>
      <c r="F6" s="4">
        <v>170</v>
      </c>
      <c r="G6" s="7">
        <v>42593</v>
      </c>
      <c r="H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4">
        <v>23267</v>
      </c>
      <c r="B7" s="4" t="s">
        <v>24</v>
      </c>
      <c r="C7" s="4" t="s">
        <v>25</v>
      </c>
      <c r="D7" s="4" t="s">
        <v>26</v>
      </c>
      <c r="E7" s="4" t="s">
        <v>17</v>
      </c>
      <c r="F7" s="4">
        <v>129</v>
      </c>
      <c r="G7" s="7">
        <v>42562</v>
      </c>
      <c r="H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4">
        <v>23268</v>
      </c>
      <c r="B8" s="4" t="s">
        <v>27</v>
      </c>
      <c r="C8" s="4" t="s">
        <v>28</v>
      </c>
      <c r="D8" s="4" t="s">
        <v>29</v>
      </c>
      <c r="E8" s="4" t="s">
        <v>10</v>
      </c>
      <c r="F8" s="4">
        <v>82</v>
      </c>
      <c r="G8" s="7">
        <v>42563</v>
      </c>
      <c r="H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4">
        <v>23269</v>
      </c>
      <c r="B9" s="4" t="s">
        <v>30</v>
      </c>
      <c r="C9" s="4" t="s">
        <v>31</v>
      </c>
      <c r="D9" s="4" t="s">
        <v>26</v>
      </c>
      <c r="E9" s="4" t="s">
        <v>17</v>
      </c>
      <c r="F9" s="4">
        <v>116</v>
      </c>
      <c r="G9" s="7">
        <v>42524</v>
      </c>
      <c r="H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4">
        <v>23270</v>
      </c>
      <c r="B10" s="4" t="s">
        <v>32</v>
      </c>
      <c r="C10" s="4" t="s">
        <v>33</v>
      </c>
      <c r="D10" s="4" t="s">
        <v>34</v>
      </c>
      <c r="E10" s="4" t="s">
        <v>10</v>
      </c>
      <c r="F10" s="4">
        <v>67</v>
      </c>
      <c r="G10" s="7">
        <v>42528</v>
      </c>
      <c r="H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4">
        <v>23271</v>
      </c>
      <c r="B11" s="4" t="s">
        <v>35</v>
      </c>
      <c r="C11" s="4" t="s">
        <v>36</v>
      </c>
      <c r="D11" s="4" t="s">
        <v>34</v>
      </c>
      <c r="E11" s="4" t="s">
        <v>17</v>
      </c>
      <c r="F11" s="4">
        <v>125</v>
      </c>
      <c r="G11" s="7">
        <v>42578</v>
      </c>
      <c r="H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4">
        <v>23272</v>
      </c>
      <c r="B12" s="4" t="s">
        <v>37</v>
      </c>
      <c r="C12" s="4" t="s">
        <v>38</v>
      </c>
      <c r="D12" s="4" t="s">
        <v>13</v>
      </c>
      <c r="E12" s="4" t="s">
        <v>17</v>
      </c>
      <c r="F12" s="4">
        <v>71</v>
      </c>
      <c r="G12" s="7">
        <v>42582</v>
      </c>
      <c r="H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5">
      <c r="A13" s="4">
        <v>23273</v>
      </c>
      <c r="B13" s="4" t="s">
        <v>39</v>
      </c>
      <c r="C13" s="4" t="s">
        <v>40</v>
      </c>
      <c r="D13" s="4" t="s">
        <v>20</v>
      </c>
      <c r="E13" s="4" t="s">
        <v>10</v>
      </c>
      <c r="F13" s="4">
        <v>22</v>
      </c>
      <c r="G13" s="7">
        <v>42595</v>
      </c>
      <c r="H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5">
      <c r="A14" s="4">
        <v>23274</v>
      </c>
      <c r="B14" s="4" t="s">
        <v>41</v>
      </c>
      <c r="C14" s="4" t="s">
        <v>31</v>
      </c>
      <c r="D14" s="4" t="s">
        <v>26</v>
      </c>
      <c r="E14" s="4" t="s">
        <v>17</v>
      </c>
      <c r="F14" s="4">
        <v>153</v>
      </c>
      <c r="G14" s="7">
        <v>42604</v>
      </c>
      <c r="H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4">
        <v>23275</v>
      </c>
      <c r="B15" s="4" t="s">
        <v>42</v>
      </c>
      <c r="C15" s="4" t="s">
        <v>43</v>
      </c>
      <c r="D15" s="4" t="s">
        <v>16</v>
      </c>
      <c r="E15" s="4" t="s">
        <v>10</v>
      </c>
      <c r="F15" s="4">
        <v>141</v>
      </c>
      <c r="G15" s="7">
        <v>42555</v>
      </c>
      <c r="H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4">
        <v>23276</v>
      </c>
      <c r="B16" s="4" t="s">
        <v>44</v>
      </c>
      <c r="C16" s="4" t="s">
        <v>45</v>
      </c>
      <c r="D16" s="4" t="s">
        <v>46</v>
      </c>
      <c r="E16" s="4" t="s">
        <v>10</v>
      </c>
      <c r="F16" s="4">
        <v>65</v>
      </c>
      <c r="G16" s="7">
        <v>42583</v>
      </c>
      <c r="H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4">
        <v>23277</v>
      </c>
      <c r="B17" s="4" t="s">
        <v>47</v>
      </c>
      <c r="C17" s="4" t="s">
        <v>48</v>
      </c>
      <c r="D17" s="4" t="s">
        <v>9</v>
      </c>
      <c r="E17" s="4" t="s">
        <v>10</v>
      </c>
      <c r="F17" s="4">
        <v>157</v>
      </c>
      <c r="G17" s="7">
        <v>42563</v>
      </c>
      <c r="H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4">
        <v>23278</v>
      </c>
      <c r="B18" s="4" t="s">
        <v>49</v>
      </c>
      <c r="C18" s="4" t="s">
        <v>50</v>
      </c>
      <c r="D18" s="4" t="s">
        <v>51</v>
      </c>
      <c r="E18" s="4" t="s">
        <v>10</v>
      </c>
      <c r="F18" s="4">
        <v>197</v>
      </c>
      <c r="G18" s="7">
        <v>42606</v>
      </c>
      <c r="H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4">
        <v>23279</v>
      </c>
      <c r="B19" s="4" t="s">
        <v>52</v>
      </c>
      <c r="C19" s="4" t="s">
        <v>53</v>
      </c>
      <c r="D19" s="4" t="s">
        <v>26</v>
      </c>
      <c r="E19" s="4" t="s">
        <v>10</v>
      </c>
      <c r="F19" s="4">
        <v>10</v>
      </c>
      <c r="G19" s="7">
        <v>42542</v>
      </c>
      <c r="H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4">
        <v>23280</v>
      </c>
      <c r="B20" s="4" t="s">
        <v>54</v>
      </c>
      <c r="C20" s="4" t="s">
        <v>55</v>
      </c>
      <c r="D20" s="4" t="s">
        <v>34</v>
      </c>
      <c r="E20" s="4" t="s">
        <v>17</v>
      </c>
      <c r="F20" s="4">
        <v>30</v>
      </c>
      <c r="G20" s="7">
        <v>42524</v>
      </c>
      <c r="H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4">
        <v>23281</v>
      </c>
      <c r="B21" s="4" t="s">
        <v>56</v>
      </c>
      <c r="C21" s="4" t="s">
        <v>57</v>
      </c>
      <c r="D21" s="4" t="s">
        <v>58</v>
      </c>
      <c r="E21" s="4" t="s">
        <v>59</v>
      </c>
      <c r="F21" s="4">
        <v>134</v>
      </c>
      <c r="G21" s="7">
        <v>42564</v>
      </c>
      <c r="H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4">
        <v>23282</v>
      </c>
      <c r="B22" s="4" t="s">
        <v>60</v>
      </c>
      <c r="C22" s="4" t="s">
        <v>61</v>
      </c>
      <c r="D22" s="4" t="s">
        <v>29</v>
      </c>
      <c r="E22" s="4" t="s">
        <v>17</v>
      </c>
      <c r="F22" s="4">
        <v>100</v>
      </c>
      <c r="G22" s="7">
        <v>42603</v>
      </c>
      <c r="H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4">
        <v>23283</v>
      </c>
      <c r="B23" s="4" t="s">
        <v>62</v>
      </c>
      <c r="C23" s="4" t="s">
        <v>63</v>
      </c>
      <c r="D23" s="4" t="s">
        <v>51</v>
      </c>
      <c r="E23" s="4" t="s">
        <v>17</v>
      </c>
      <c r="F23" s="4">
        <v>142</v>
      </c>
      <c r="G23" s="7">
        <v>42545</v>
      </c>
      <c r="H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4">
        <v>23284</v>
      </c>
      <c r="B24" s="4" t="s">
        <v>64</v>
      </c>
      <c r="C24" s="4" t="s">
        <v>65</v>
      </c>
      <c r="D24" s="4" t="s">
        <v>23</v>
      </c>
      <c r="E24" s="4" t="s">
        <v>10</v>
      </c>
      <c r="F24" s="4">
        <v>135</v>
      </c>
      <c r="G24" s="7">
        <v>42538</v>
      </c>
      <c r="H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4">
        <v>23285</v>
      </c>
      <c r="B25" s="4" t="s">
        <v>66</v>
      </c>
      <c r="C25" s="4" t="s">
        <v>67</v>
      </c>
      <c r="D25" s="4" t="s">
        <v>58</v>
      </c>
      <c r="E25" s="4" t="s">
        <v>17</v>
      </c>
      <c r="F25" s="4">
        <v>9</v>
      </c>
      <c r="G25" s="7">
        <v>42575</v>
      </c>
      <c r="H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4">
        <v>23286</v>
      </c>
      <c r="B26" s="4" t="s">
        <v>68</v>
      </c>
      <c r="C26" s="4" t="s">
        <v>69</v>
      </c>
      <c r="D26" s="4" t="s">
        <v>16</v>
      </c>
      <c r="E26" s="4" t="s">
        <v>10</v>
      </c>
      <c r="F26" s="4">
        <v>69</v>
      </c>
      <c r="G26" s="7">
        <v>42590</v>
      </c>
      <c r="H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4">
        <v>23287</v>
      </c>
      <c r="B27" s="4" t="s">
        <v>70</v>
      </c>
      <c r="C27" s="4" t="s">
        <v>71</v>
      </c>
      <c r="D27" s="4" t="s">
        <v>23</v>
      </c>
      <c r="E27" s="4" t="s">
        <v>10</v>
      </c>
      <c r="F27" s="4">
        <v>189</v>
      </c>
      <c r="G27" s="7">
        <v>42538</v>
      </c>
      <c r="H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4">
        <v>23288</v>
      </c>
      <c r="B28" s="4" t="s">
        <v>72</v>
      </c>
      <c r="C28" s="4" t="s">
        <v>73</v>
      </c>
      <c r="D28" s="4" t="s">
        <v>20</v>
      </c>
      <c r="E28" s="4" t="s">
        <v>10</v>
      </c>
      <c r="F28" s="4">
        <v>141</v>
      </c>
      <c r="G28" s="7">
        <v>42535</v>
      </c>
      <c r="H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4">
        <v>23289</v>
      </c>
      <c r="B29" s="4" t="s">
        <v>74</v>
      </c>
      <c r="C29" s="4" t="s">
        <v>75</v>
      </c>
      <c r="D29" s="4" t="s">
        <v>51</v>
      </c>
      <c r="E29" s="4" t="s">
        <v>10</v>
      </c>
      <c r="F29" s="4">
        <v>166</v>
      </c>
      <c r="G29" s="7">
        <v>42584</v>
      </c>
      <c r="H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4">
        <v>23290</v>
      </c>
      <c r="B30" s="4" t="s">
        <v>76</v>
      </c>
      <c r="C30" s="4" t="s">
        <v>77</v>
      </c>
      <c r="D30" s="4" t="s">
        <v>16</v>
      </c>
      <c r="E30" s="4" t="s">
        <v>17</v>
      </c>
      <c r="F30" s="4">
        <v>170</v>
      </c>
      <c r="G30" s="7">
        <v>42593</v>
      </c>
      <c r="H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4">
        <v>23291</v>
      </c>
      <c r="B31" s="4" t="s">
        <v>78</v>
      </c>
      <c r="C31" s="4" t="s">
        <v>79</v>
      </c>
      <c r="D31" s="4" t="s">
        <v>16</v>
      </c>
      <c r="E31" s="4" t="s">
        <v>17</v>
      </c>
      <c r="F31" s="4">
        <v>199</v>
      </c>
      <c r="G31" s="7">
        <v>42600</v>
      </c>
      <c r="H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>
        <v>23292</v>
      </c>
      <c r="B32" s="4" t="s">
        <v>80</v>
      </c>
      <c r="C32" s="4" t="s">
        <v>81</v>
      </c>
      <c r="D32" s="4" t="s">
        <v>51</v>
      </c>
      <c r="E32" s="4" t="s">
        <v>10</v>
      </c>
      <c r="F32" s="4">
        <v>73</v>
      </c>
      <c r="G32" s="7">
        <v>42554</v>
      </c>
      <c r="H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>
        <v>23293</v>
      </c>
      <c r="B33" s="4" t="s">
        <v>82</v>
      </c>
      <c r="C33" s="4" t="s">
        <v>83</v>
      </c>
      <c r="D33" s="4" t="s">
        <v>9</v>
      </c>
      <c r="E33" s="4" t="s">
        <v>17</v>
      </c>
      <c r="F33" s="4">
        <v>117</v>
      </c>
      <c r="G33" s="7">
        <v>42551</v>
      </c>
      <c r="H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>
        <v>23294</v>
      </c>
      <c r="B34" s="4" t="s">
        <v>84</v>
      </c>
      <c r="C34" s="4" t="s">
        <v>57</v>
      </c>
      <c r="D34" s="4" t="s">
        <v>16</v>
      </c>
      <c r="E34" s="4" t="s">
        <v>17</v>
      </c>
      <c r="F34" s="4">
        <v>160</v>
      </c>
      <c r="G34" s="7">
        <v>42543</v>
      </c>
      <c r="H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>
        <v>23295</v>
      </c>
      <c r="B35" s="4" t="s">
        <v>85</v>
      </c>
      <c r="C35" s="4" t="s">
        <v>86</v>
      </c>
      <c r="D35" s="4" t="s">
        <v>9</v>
      </c>
      <c r="E35" s="4" t="s">
        <v>10</v>
      </c>
      <c r="F35" s="4">
        <v>45</v>
      </c>
      <c r="G35" s="7">
        <v>42530</v>
      </c>
      <c r="H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>
        <v>23296</v>
      </c>
      <c r="B36" s="4" t="s">
        <v>87</v>
      </c>
      <c r="C36" s="4" t="s">
        <v>88</v>
      </c>
      <c r="D36" s="4" t="s">
        <v>51</v>
      </c>
      <c r="E36" s="4" t="s">
        <v>17</v>
      </c>
      <c r="F36" s="4">
        <v>37</v>
      </c>
      <c r="G36" s="7">
        <v>42529</v>
      </c>
      <c r="H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>
        <v>23297</v>
      </c>
      <c r="B37" s="4" t="s">
        <v>89</v>
      </c>
      <c r="C37" s="4" t="s">
        <v>90</v>
      </c>
      <c r="D37" s="4" t="s">
        <v>16</v>
      </c>
      <c r="E37" s="4" t="s">
        <v>10</v>
      </c>
      <c r="F37" s="4">
        <v>135</v>
      </c>
      <c r="G37" s="7">
        <v>42594</v>
      </c>
      <c r="H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>
        <v>23298</v>
      </c>
      <c r="B38" s="4" t="s">
        <v>91</v>
      </c>
      <c r="C38" s="4" t="s">
        <v>92</v>
      </c>
      <c r="D38" s="4" t="s">
        <v>23</v>
      </c>
      <c r="E38" s="4" t="s">
        <v>59</v>
      </c>
      <c r="F38" s="4">
        <v>12</v>
      </c>
      <c r="G38" s="7">
        <v>42579</v>
      </c>
      <c r="H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>
        <v>23299</v>
      </c>
      <c r="B39" s="4" t="s">
        <v>93</v>
      </c>
      <c r="C39" s="4" t="s">
        <v>94</v>
      </c>
      <c r="D39" s="4" t="s">
        <v>23</v>
      </c>
      <c r="E39" s="4" t="s">
        <v>17</v>
      </c>
      <c r="F39" s="4">
        <v>104</v>
      </c>
      <c r="G39" s="7">
        <v>42548</v>
      </c>
      <c r="H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>
        <v>23300</v>
      </c>
      <c r="B40" s="4" t="s">
        <v>95</v>
      </c>
      <c r="C40" s="4" t="s">
        <v>65</v>
      </c>
      <c r="D40" s="4" t="s">
        <v>20</v>
      </c>
      <c r="E40" s="4" t="s">
        <v>10</v>
      </c>
      <c r="F40" s="4">
        <v>167</v>
      </c>
      <c r="G40" s="7">
        <v>42558</v>
      </c>
      <c r="H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>
        <v>23301</v>
      </c>
      <c r="B41" s="4" t="s">
        <v>96</v>
      </c>
      <c r="C41" s="4" t="s">
        <v>97</v>
      </c>
      <c r="D41" s="4" t="s">
        <v>34</v>
      </c>
      <c r="E41" s="4" t="s">
        <v>17</v>
      </c>
      <c r="F41" s="4">
        <v>108</v>
      </c>
      <c r="G41" s="7">
        <v>42570</v>
      </c>
      <c r="H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>
        <v>23302</v>
      </c>
      <c r="B42" s="4" t="s">
        <v>98</v>
      </c>
      <c r="C42" s="4" t="s">
        <v>12</v>
      </c>
      <c r="D42" s="4" t="s">
        <v>46</v>
      </c>
      <c r="E42" s="4" t="s">
        <v>17</v>
      </c>
      <c r="F42" s="4">
        <v>105</v>
      </c>
      <c r="G42" s="7">
        <v>42578</v>
      </c>
      <c r="H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>
        <v>23303</v>
      </c>
      <c r="B43" s="4" t="s">
        <v>99</v>
      </c>
      <c r="C43" s="4" t="s">
        <v>100</v>
      </c>
      <c r="D43" s="4" t="s">
        <v>51</v>
      </c>
      <c r="E43" s="4" t="s">
        <v>17</v>
      </c>
      <c r="F43" s="4">
        <v>176</v>
      </c>
      <c r="G43" s="7">
        <v>42599</v>
      </c>
      <c r="H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>
        <v>23304</v>
      </c>
      <c r="B44" s="4" t="s">
        <v>101</v>
      </c>
      <c r="C44" s="4" t="s">
        <v>86</v>
      </c>
      <c r="D44" s="4" t="s">
        <v>23</v>
      </c>
      <c r="E44" s="4" t="s">
        <v>10</v>
      </c>
      <c r="F44" s="4">
        <v>131</v>
      </c>
      <c r="G44" s="7">
        <v>42522</v>
      </c>
      <c r="H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>
        <v>23305</v>
      </c>
      <c r="B45" s="4" t="s">
        <v>102</v>
      </c>
      <c r="C45" s="4" t="s">
        <v>57</v>
      </c>
      <c r="D45" s="4" t="s">
        <v>16</v>
      </c>
      <c r="E45" s="4" t="s">
        <v>17</v>
      </c>
      <c r="F45" s="4">
        <v>188</v>
      </c>
      <c r="G45" s="7">
        <v>42608</v>
      </c>
      <c r="H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>
        <v>23306</v>
      </c>
      <c r="B46" s="4" t="s">
        <v>103</v>
      </c>
      <c r="C46" s="4" t="s">
        <v>104</v>
      </c>
      <c r="D46" s="4" t="s">
        <v>13</v>
      </c>
      <c r="E46" s="4" t="s">
        <v>59</v>
      </c>
      <c r="F46" s="4">
        <v>93</v>
      </c>
      <c r="G46" s="7">
        <v>42529</v>
      </c>
      <c r="H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>
        <v>23307</v>
      </c>
      <c r="B47" s="4" t="s">
        <v>105</v>
      </c>
      <c r="C47" s="4" t="s">
        <v>106</v>
      </c>
      <c r="D47" s="4" t="s">
        <v>29</v>
      </c>
      <c r="E47" s="4" t="s">
        <v>10</v>
      </c>
      <c r="F47" s="4">
        <v>113</v>
      </c>
      <c r="G47" s="7">
        <v>42555</v>
      </c>
      <c r="H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>
        <v>23308</v>
      </c>
      <c r="B48" s="4" t="s">
        <v>107</v>
      </c>
      <c r="C48" s="4" t="s">
        <v>108</v>
      </c>
      <c r="D48" s="4" t="s">
        <v>26</v>
      </c>
      <c r="E48" s="4" t="s">
        <v>10</v>
      </c>
      <c r="F48" s="4">
        <v>112</v>
      </c>
      <c r="G48" s="7">
        <v>42560</v>
      </c>
      <c r="H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>
        <v>23309</v>
      </c>
      <c r="B49" s="4" t="s">
        <v>109</v>
      </c>
      <c r="C49" s="4" t="s">
        <v>110</v>
      </c>
      <c r="D49" s="4" t="s">
        <v>23</v>
      </c>
      <c r="E49" s="4" t="s">
        <v>10</v>
      </c>
      <c r="F49" s="4">
        <v>201</v>
      </c>
      <c r="G49" s="7">
        <v>42544</v>
      </c>
      <c r="H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>
        <v>23310</v>
      </c>
      <c r="B50" s="4" t="s">
        <v>111</v>
      </c>
      <c r="C50" s="4" t="s">
        <v>112</v>
      </c>
      <c r="D50" s="4" t="s">
        <v>20</v>
      </c>
      <c r="E50" s="4" t="s">
        <v>17</v>
      </c>
      <c r="F50" s="4">
        <v>41</v>
      </c>
      <c r="G50" s="7">
        <v>42538</v>
      </c>
      <c r="H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>
        <v>23311</v>
      </c>
      <c r="B51" s="4" t="s">
        <v>113</v>
      </c>
      <c r="C51" s="4" t="s">
        <v>40</v>
      </c>
      <c r="D51" s="4" t="s">
        <v>51</v>
      </c>
      <c r="E51" s="4" t="s">
        <v>17</v>
      </c>
      <c r="F51" s="4">
        <v>18</v>
      </c>
      <c r="G51" s="7">
        <v>42533</v>
      </c>
      <c r="H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>
        <v>23312</v>
      </c>
      <c r="B52" s="4" t="s">
        <v>66</v>
      </c>
      <c r="C52" s="4" t="s">
        <v>114</v>
      </c>
      <c r="D52" s="4" t="s">
        <v>23</v>
      </c>
      <c r="E52" s="4" t="s">
        <v>10</v>
      </c>
      <c r="F52" s="4">
        <v>28</v>
      </c>
      <c r="G52" s="7">
        <v>42557</v>
      </c>
      <c r="H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>
        <v>23313</v>
      </c>
      <c r="B53" s="4" t="s">
        <v>115</v>
      </c>
      <c r="C53" s="4" t="s">
        <v>65</v>
      </c>
      <c r="D53" s="4" t="s">
        <v>9</v>
      </c>
      <c r="E53" s="4" t="s">
        <v>10</v>
      </c>
      <c r="F53" s="4">
        <v>137</v>
      </c>
      <c r="G53" s="7">
        <v>42566</v>
      </c>
      <c r="H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>
        <v>23314</v>
      </c>
      <c r="B54" s="4" t="s">
        <v>116</v>
      </c>
      <c r="C54" s="4" t="s">
        <v>12</v>
      </c>
      <c r="D54" s="4" t="s">
        <v>20</v>
      </c>
      <c r="E54" s="4" t="s">
        <v>17</v>
      </c>
      <c r="F54" s="4">
        <v>95</v>
      </c>
      <c r="G54" s="7">
        <v>42592</v>
      </c>
      <c r="H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>
        <v>23315</v>
      </c>
      <c r="B55" s="4" t="s">
        <v>117</v>
      </c>
      <c r="C55" s="4" t="s">
        <v>55</v>
      </c>
      <c r="D55" s="4" t="s">
        <v>23</v>
      </c>
      <c r="E55" s="4" t="s">
        <v>10</v>
      </c>
      <c r="F55" s="4">
        <v>109</v>
      </c>
      <c r="G55" s="7">
        <v>42563</v>
      </c>
      <c r="H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>
        <v>23316</v>
      </c>
      <c r="B56" s="4" t="s">
        <v>118</v>
      </c>
      <c r="C56" s="4" t="s">
        <v>119</v>
      </c>
      <c r="D56" s="4" t="s">
        <v>23</v>
      </c>
      <c r="E56" s="4" t="s">
        <v>59</v>
      </c>
      <c r="F56" s="4">
        <v>137</v>
      </c>
      <c r="G56" s="7">
        <v>42522</v>
      </c>
      <c r="H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>
        <v>23317</v>
      </c>
      <c r="B57" s="4" t="s">
        <v>120</v>
      </c>
      <c r="C57" s="4" t="s">
        <v>121</v>
      </c>
      <c r="D57" s="4" t="s">
        <v>23</v>
      </c>
      <c r="E57" s="4" t="s">
        <v>10</v>
      </c>
      <c r="F57" s="4">
        <v>196</v>
      </c>
      <c r="G57" s="7">
        <v>42568</v>
      </c>
      <c r="H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>
        <v>23318</v>
      </c>
      <c r="B58" s="4" t="s">
        <v>122</v>
      </c>
      <c r="C58" s="4" t="s">
        <v>123</v>
      </c>
      <c r="D58" s="4" t="s">
        <v>13</v>
      </c>
      <c r="E58" s="4" t="s">
        <v>17</v>
      </c>
      <c r="F58" s="4">
        <v>48</v>
      </c>
      <c r="G58" s="7">
        <v>42560</v>
      </c>
      <c r="H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>
        <v>23319</v>
      </c>
      <c r="B59" s="4" t="s">
        <v>124</v>
      </c>
      <c r="C59" s="4" t="s">
        <v>125</v>
      </c>
      <c r="D59" s="4" t="s">
        <v>9</v>
      </c>
      <c r="E59" s="4" t="s">
        <v>10</v>
      </c>
      <c r="F59" s="4">
        <v>4</v>
      </c>
      <c r="G59" s="7">
        <v>42585</v>
      </c>
      <c r="H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>
        <v>23320</v>
      </c>
      <c r="B60" s="4" t="s">
        <v>126</v>
      </c>
      <c r="C60" s="4" t="s">
        <v>127</v>
      </c>
      <c r="D60" s="4" t="s">
        <v>29</v>
      </c>
      <c r="E60" s="4" t="s">
        <v>59</v>
      </c>
      <c r="F60" s="4">
        <v>125</v>
      </c>
      <c r="G60" s="7">
        <v>42536</v>
      </c>
      <c r="H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>
        <v>23321</v>
      </c>
      <c r="B61" s="4" t="s">
        <v>128</v>
      </c>
      <c r="C61" s="4" t="s">
        <v>129</v>
      </c>
      <c r="D61" s="4" t="s">
        <v>9</v>
      </c>
      <c r="E61" s="4" t="s">
        <v>10</v>
      </c>
      <c r="F61" s="4">
        <v>211</v>
      </c>
      <c r="G61" s="7">
        <v>42595</v>
      </c>
      <c r="H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>
        <v>23322</v>
      </c>
      <c r="B62" s="4" t="s">
        <v>130</v>
      </c>
      <c r="C62" s="4" t="s">
        <v>131</v>
      </c>
      <c r="D62" s="4" t="s">
        <v>26</v>
      </c>
      <c r="E62" s="4" t="s">
        <v>10</v>
      </c>
      <c r="F62" s="4">
        <v>20</v>
      </c>
      <c r="G62" s="7">
        <v>42531</v>
      </c>
      <c r="H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>
        <v>23323</v>
      </c>
      <c r="B63" s="4" t="s">
        <v>132</v>
      </c>
      <c r="C63" s="4" t="s">
        <v>133</v>
      </c>
      <c r="D63" s="4" t="s">
        <v>26</v>
      </c>
      <c r="E63" s="4" t="s">
        <v>59</v>
      </c>
      <c r="F63" s="4">
        <v>135</v>
      </c>
      <c r="G63" s="7">
        <v>42611</v>
      </c>
      <c r="H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>
        <v>23324</v>
      </c>
      <c r="B64" s="4" t="s">
        <v>134</v>
      </c>
      <c r="C64" s="4" t="s">
        <v>55</v>
      </c>
      <c r="D64" s="4" t="s">
        <v>20</v>
      </c>
      <c r="E64" s="4" t="s">
        <v>17</v>
      </c>
      <c r="F64" s="4">
        <v>193</v>
      </c>
      <c r="G64" s="7">
        <v>42595</v>
      </c>
      <c r="H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>
        <v>23325</v>
      </c>
      <c r="B65" s="4" t="s">
        <v>135</v>
      </c>
      <c r="C65" s="4" t="s">
        <v>136</v>
      </c>
      <c r="D65" s="4" t="s">
        <v>29</v>
      </c>
      <c r="E65" s="4" t="s">
        <v>10</v>
      </c>
      <c r="F65" s="4">
        <v>184</v>
      </c>
      <c r="G65" s="7">
        <v>42543</v>
      </c>
      <c r="H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>
        <v>23326</v>
      </c>
      <c r="B66" s="4" t="s">
        <v>137</v>
      </c>
      <c r="C66" s="4" t="s">
        <v>138</v>
      </c>
      <c r="D66" s="4" t="s">
        <v>58</v>
      </c>
      <c r="E66" s="4" t="s">
        <v>10</v>
      </c>
      <c r="F66" s="4">
        <v>126</v>
      </c>
      <c r="G66" s="7">
        <v>42603</v>
      </c>
      <c r="H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>
        <v>23327</v>
      </c>
      <c r="B67" s="4" t="s">
        <v>139</v>
      </c>
      <c r="C67" s="4" t="s">
        <v>140</v>
      </c>
      <c r="D67" s="4" t="s">
        <v>13</v>
      </c>
      <c r="E67" s="4" t="s">
        <v>10</v>
      </c>
      <c r="F67" s="4">
        <v>176</v>
      </c>
      <c r="G67" s="7">
        <v>42582</v>
      </c>
      <c r="H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>
        <v>23328</v>
      </c>
      <c r="B68" s="4" t="s">
        <v>141</v>
      </c>
      <c r="C68" s="4" t="s">
        <v>142</v>
      </c>
      <c r="D68" s="4" t="s">
        <v>51</v>
      </c>
      <c r="E68" s="4" t="s">
        <v>59</v>
      </c>
      <c r="F68" s="4">
        <v>102</v>
      </c>
      <c r="G68" s="7">
        <v>42566</v>
      </c>
      <c r="H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>
        <v>23329</v>
      </c>
      <c r="B69" s="4" t="s">
        <v>143</v>
      </c>
      <c r="C69" s="4" t="s">
        <v>144</v>
      </c>
      <c r="D69" s="4" t="s">
        <v>23</v>
      </c>
      <c r="E69" s="4" t="s">
        <v>10</v>
      </c>
      <c r="F69" s="4">
        <v>203</v>
      </c>
      <c r="G69" s="7">
        <v>42574</v>
      </c>
      <c r="H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>
        <v>23330</v>
      </c>
      <c r="B70" s="4" t="s">
        <v>145</v>
      </c>
      <c r="C70" s="4" t="s">
        <v>146</v>
      </c>
      <c r="D70" s="4" t="s">
        <v>9</v>
      </c>
      <c r="E70" s="4" t="s">
        <v>10</v>
      </c>
      <c r="F70" s="4">
        <v>177</v>
      </c>
      <c r="G70" s="7">
        <v>42586</v>
      </c>
      <c r="H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>
        <v>23331</v>
      </c>
      <c r="B71" s="4" t="s">
        <v>147</v>
      </c>
      <c r="C71" s="4" t="s">
        <v>148</v>
      </c>
      <c r="D71" s="4" t="s">
        <v>9</v>
      </c>
      <c r="E71" s="4" t="s">
        <v>59</v>
      </c>
      <c r="F71" s="4">
        <v>51</v>
      </c>
      <c r="G71" s="7">
        <v>42586</v>
      </c>
      <c r="H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>
        <v>23332</v>
      </c>
      <c r="B72" s="4" t="s">
        <v>149</v>
      </c>
      <c r="C72" s="4" t="s">
        <v>131</v>
      </c>
      <c r="D72" s="4" t="s">
        <v>23</v>
      </c>
      <c r="E72" s="4" t="s">
        <v>17</v>
      </c>
      <c r="F72" s="4">
        <v>203</v>
      </c>
      <c r="G72" s="7">
        <v>42562</v>
      </c>
      <c r="H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>
        <v>23333</v>
      </c>
      <c r="B73" s="4" t="s">
        <v>150</v>
      </c>
      <c r="C73" s="4" t="s">
        <v>121</v>
      </c>
      <c r="D73" s="4" t="s">
        <v>23</v>
      </c>
      <c r="E73" s="4" t="s">
        <v>17</v>
      </c>
      <c r="F73" s="4">
        <v>106</v>
      </c>
      <c r="G73" s="7">
        <v>42587</v>
      </c>
      <c r="H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>
        <v>23334</v>
      </c>
      <c r="B74" s="4" t="s">
        <v>151</v>
      </c>
      <c r="C74" s="4" t="s">
        <v>152</v>
      </c>
      <c r="D74" s="4" t="s">
        <v>26</v>
      </c>
      <c r="E74" s="4" t="s">
        <v>10</v>
      </c>
      <c r="F74" s="4">
        <v>14</v>
      </c>
      <c r="G74" s="7">
        <v>42599</v>
      </c>
      <c r="H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>
        <v>23335</v>
      </c>
      <c r="B75" s="4" t="s">
        <v>153</v>
      </c>
      <c r="C75" s="4" t="s">
        <v>146</v>
      </c>
      <c r="D75" s="4" t="s">
        <v>16</v>
      </c>
      <c r="E75" s="4" t="s">
        <v>10</v>
      </c>
      <c r="F75" s="4">
        <v>116</v>
      </c>
      <c r="G75" s="7">
        <v>42595</v>
      </c>
      <c r="H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>
        <v>23336</v>
      </c>
      <c r="B76" s="4" t="s">
        <v>154</v>
      </c>
      <c r="C76" s="4" t="s">
        <v>155</v>
      </c>
      <c r="D76" s="4" t="s">
        <v>58</v>
      </c>
      <c r="E76" s="4" t="s">
        <v>17</v>
      </c>
      <c r="F76" s="4">
        <v>7</v>
      </c>
      <c r="G76" s="7">
        <v>42552</v>
      </c>
      <c r="H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>
        <v>23337</v>
      </c>
      <c r="B77" s="4" t="s">
        <v>156</v>
      </c>
      <c r="C77" s="4" t="s">
        <v>157</v>
      </c>
      <c r="D77" s="4" t="s">
        <v>34</v>
      </c>
      <c r="E77" s="4" t="s">
        <v>10</v>
      </c>
      <c r="F77" s="4">
        <v>82</v>
      </c>
      <c r="G77" s="7">
        <v>42558</v>
      </c>
      <c r="H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>
        <v>23338</v>
      </c>
      <c r="B78" s="4" t="s">
        <v>158</v>
      </c>
      <c r="C78" s="4" t="s">
        <v>92</v>
      </c>
      <c r="D78" s="4" t="s">
        <v>23</v>
      </c>
      <c r="E78" s="4" t="s">
        <v>10</v>
      </c>
      <c r="F78" s="4">
        <v>178</v>
      </c>
      <c r="G78" s="7">
        <v>42594</v>
      </c>
      <c r="H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>
        <v>23339</v>
      </c>
      <c r="B79" s="4" t="s">
        <v>159</v>
      </c>
      <c r="C79" s="4" t="s">
        <v>53</v>
      </c>
      <c r="D79" s="4" t="s">
        <v>29</v>
      </c>
      <c r="E79" s="4" t="s">
        <v>17</v>
      </c>
      <c r="F79" s="4">
        <v>41</v>
      </c>
      <c r="G79" s="7">
        <v>42562</v>
      </c>
      <c r="H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>
        <v>23340</v>
      </c>
      <c r="B80" s="4" t="s">
        <v>160</v>
      </c>
      <c r="C80" s="4" t="s">
        <v>161</v>
      </c>
      <c r="D80" s="4" t="s">
        <v>58</v>
      </c>
      <c r="E80" s="4" t="s">
        <v>17</v>
      </c>
      <c r="F80" s="4">
        <v>85</v>
      </c>
      <c r="G80" s="7">
        <v>42556</v>
      </c>
      <c r="H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>
        <v>23341</v>
      </c>
      <c r="B81" s="4" t="s">
        <v>162</v>
      </c>
      <c r="C81" s="4" t="s">
        <v>22</v>
      </c>
      <c r="D81" s="4" t="s">
        <v>26</v>
      </c>
      <c r="E81" s="4" t="s">
        <v>17</v>
      </c>
      <c r="F81" s="4">
        <v>77</v>
      </c>
      <c r="G81" s="7">
        <v>42548</v>
      </c>
      <c r="H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>
        <v>23342</v>
      </c>
      <c r="B82" s="4" t="s">
        <v>163</v>
      </c>
      <c r="C82" s="4" t="s">
        <v>164</v>
      </c>
      <c r="D82" s="4" t="s">
        <v>23</v>
      </c>
      <c r="E82" s="4" t="s">
        <v>10</v>
      </c>
      <c r="F82" s="4">
        <v>122</v>
      </c>
      <c r="G82" s="7">
        <v>42549</v>
      </c>
      <c r="H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>
        <v>23343</v>
      </c>
      <c r="B83" s="4" t="s">
        <v>165</v>
      </c>
      <c r="C83" s="4" t="s">
        <v>166</v>
      </c>
      <c r="D83" s="4" t="s">
        <v>20</v>
      </c>
      <c r="E83" s="4" t="s">
        <v>10</v>
      </c>
      <c r="F83" s="4">
        <v>42</v>
      </c>
      <c r="G83" s="7">
        <v>42605</v>
      </c>
      <c r="H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>
        <v>23344</v>
      </c>
      <c r="B84" s="4" t="s">
        <v>167</v>
      </c>
      <c r="C84" s="4" t="s">
        <v>168</v>
      </c>
      <c r="D84" s="4" t="s">
        <v>13</v>
      </c>
      <c r="E84" s="4" t="s">
        <v>10</v>
      </c>
      <c r="F84" s="4">
        <v>64</v>
      </c>
      <c r="G84" s="7">
        <v>42604</v>
      </c>
      <c r="H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>
        <v>23345</v>
      </c>
      <c r="B85" s="4" t="s">
        <v>169</v>
      </c>
      <c r="C85" s="4" t="s">
        <v>142</v>
      </c>
      <c r="D85" s="4" t="s">
        <v>51</v>
      </c>
      <c r="E85" s="4" t="s">
        <v>59</v>
      </c>
      <c r="F85" s="4">
        <v>208</v>
      </c>
      <c r="G85" s="7">
        <v>42611</v>
      </c>
      <c r="H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>
        <v>23346</v>
      </c>
      <c r="B86" s="4" t="s">
        <v>170</v>
      </c>
      <c r="C86" s="4" t="s">
        <v>57</v>
      </c>
      <c r="D86" s="4" t="s">
        <v>20</v>
      </c>
      <c r="E86" s="4" t="s">
        <v>17</v>
      </c>
      <c r="F86" s="4">
        <v>13</v>
      </c>
      <c r="G86" s="7">
        <v>42580</v>
      </c>
      <c r="H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>
        <v>23347</v>
      </c>
      <c r="B87" s="4" t="s">
        <v>171</v>
      </c>
      <c r="C87" s="4" t="s">
        <v>172</v>
      </c>
      <c r="D87" s="4" t="s">
        <v>16</v>
      </c>
      <c r="E87" s="4" t="s">
        <v>17</v>
      </c>
      <c r="F87" s="4">
        <v>147</v>
      </c>
      <c r="G87" s="7">
        <v>42549</v>
      </c>
      <c r="H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>
        <v>23348</v>
      </c>
      <c r="B88" s="4" t="s">
        <v>173</v>
      </c>
      <c r="C88" s="4" t="s">
        <v>174</v>
      </c>
      <c r="D88" s="4" t="s">
        <v>20</v>
      </c>
      <c r="E88" s="4" t="s">
        <v>17</v>
      </c>
      <c r="F88" s="4">
        <v>163</v>
      </c>
      <c r="G88" s="7">
        <v>42607</v>
      </c>
      <c r="H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>
        <v>23349</v>
      </c>
      <c r="B89" s="4" t="s">
        <v>175</v>
      </c>
      <c r="C89" s="4" t="s">
        <v>176</v>
      </c>
      <c r="D89" s="4" t="s">
        <v>13</v>
      </c>
      <c r="E89" s="4" t="s">
        <v>59</v>
      </c>
      <c r="F89" s="4">
        <v>126</v>
      </c>
      <c r="G89" s="7">
        <v>42573</v>
      </c>
      <c r="H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>
        <v>23350</v>
      </c>
      <c r="B90" s="4" t="s">
        <v>177</v>
      </c>
      <c r="C90" s="4" t="s">
        <v>178</v>
      </c>
      <c r="D90" s="4" t="s">
        <v>16</v>
      </c>
      <c r="E90" s="4" t="s">
        <v>10</v>
      </c>
      <c r="F90" s="4">
        <v>188</v>
      </c>
      <c r="G90" s="7">
        <v>42546</v>
      </c>
      <c r="H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>
        <v>23351</v>
      </c>
      <c r="B91" s="4" t="s">
        <v>179</v>
      </c>
      <c r="C91" s="4" t="s">
        <v>100</v>
      </c>
      <c r="D91" s="4" t="s">
        <v>23</v>
      </c>
      <c r="E91" s="4" t="s">
        <v>17</v>
      </c>
      <c r="F91" s="4">
        <v>151</v>
      </c>
      <c r="G91" s="7">
        <v>42585</v>
      </c>
      <c r="H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>
        <v>23352</v>
      </c>
      <c r="B92" s="4" t="s">
        <v>180</v>
      </c>
      <c r="C92" s="4" t="s">
        <v>181</v>
      </c>
      <c r="D92" s="4" t="s">
        <v>29</v>
      </c>
      <c r="E92" s="4" t="s">
        <v>10</v>
      </c>
      <c r="F92" s="4">
        <v>89</v>
      </c>
      <c r="G92" s="7">
        <v>42558</v>
      </c>
      <c r="H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>
        <v>23353</v>
      </c>
      <c r="B93" s="4" t="s">
        <v>182</v>
      </c>
      <c r="C93" s="4" t="s">
        <v>112</v>
      </c>
      <c r="D93" s="4" t="s">
        <v>51</v>
      </c>
      <c r="E93" s="4" t="s">
        <v>17</v>
      </c>
      <c r="F93" s="4">
        <v>168</v>
      </c>
      <c r="G93" s="7">
        <v>42531</v>
      </c>
      <c r="H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>
        <v>23354</v>
      </c>
      <c r="B94" s="4" t="s">
        <v>183</v>
      </c>
      <c r="C94" s="4" t="s">
        <v>67</v>
      </c>
      <c r="D94" s="4" t="s">
        <v>34</v>
      </c>
      <c r="E94" s="4" t="s">
        <v>59</v>
      </c>
      <c r="F94" s="4">
        <v>84</v>
      </c>
      <c r="G94" s="7">
        <v>42585</v>
      </c>
      <c r="H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>
        <v>23355</v>
      </c>
      <c r="B95" s="4" t="s">
        <v>184</v>
      </c>
      <c r="C95" s="4" t="s">
        <v>65</v>
      </c>
      <c r="D95" s="4" t="s">
        <v>23</v>
      </c>
      <c r="E95" s="4" t="s">
        <v>59</v>
      </c>
      <c r="F95" s="4">
        <v>16</v>
      </c>
      <c r="G95" s="7">
        <v>42548</v>
      </c>
      <c r="H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>
        <v>23356</v>
      </c>
      <c r="B96" s="4" t="s">
        <v>185</v>
      </c>
      <c r="C96" s="4" t="s">
        <v>152</v>
      </c>
      <c r="D96" s="4" t="s">
        <v>23</v>
      </c>
      <c r="E96" s="4" t="s">
        <v>17</v>
      </c>
      <c r="F96" s="4">
        <v>80</v>
      </c>
      <c r="G96" s="7">
        <v>42542</v>
      </c>
      <c r="H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>
        <v>23357</v>
      </c>
      <c r="B97" s="4" t="s">
        <v>186</v>
      </c>
      <c r="C97" s="4" t="s">
        <v>88</v>
      </c>
      <c r="D97" s="4" t="s">
        <v>29</v>
      </c>
      <c r="E97" s="4" t="s">
        <v>10</v>
      </c>
      <c r="F97" s="4">
        <v>50</v>
      </c>
      <c r="G97" s="7">
        <v>42568</v>
      </c>
      <c r="H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>
        <v>23358</v>
      </c>
      <c r="B98" s="4" t="s">
        <v>187</v>
      </c>
      <c r="C98" s="4" t="s">
        <v>188</v>
      </c>
      <c r="D98" s="4" t="s">
        <v>20</v>
      </c>
      <c r="E98" s="4" t="s">
        <v>10</v>
      </c>
      <c r="F98" s="4">
        <v>41</v>
      </c>
      <c r="G98" s="7">
        <v>42532</v>
      </c>
      <c r="H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>
        <v>23359</v>
      </c>
      <c r="B99" s="4" t="s">
        <v>189</v>
      </c>
      <c r="C99" s="4" t="s">
        <v>190</v>
      </c>
      <c r="D99" s="4" t="s">
        <v>9</v>
      </c>
      <c r="E99" s="4" t="s">
        <v>17</v>
      </c>
      <c r="F99" s="4">
        <v>19</v>
      </c>
      <c r="G99" s="7">
        <v>42562</v>
      </c>
      <c r="H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>
        <v>23360</v>
      </c>
      <c r="B100" s="4" t="s">
        <v>191</v>
      </c>
      <c r="C100" s="4" t="s">
        <v>25</v>
      </c>
      <c r="D100" s="4" t="s">
        <v>34</v>
      </c>
      <c r="E100" s="4" t="s">
        <v>10</v>
      </c>
      <c r="F100" s="4">
        <v>37</v>
      </c>
      <c r="G100" s="7">
        <v>42534</v>
      </c>
      <c r="H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>
        <v>23361</v>
      </c>
      <c r="B101" s="4" t="s">
        <v>192</v>
      </c>
      <c r="C101" s="4" t="s">
        <v>193</v>
      </c>
      <c r="D101" s="4" t="s">
        <v>34</v>
      </c>
      <c r="E101" s="4" t="s">
        <v>17</v>
      </c>
      <c r="F101" s="4">
        <v>184</v>
      </c>
      <c r="G101" s="7">
        <v>42558</v>
      </c>
      <c r="H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>
        <v>23362</v>
      </c>
      <c r="B102" s="4" t="s">
        <v>194</v>
      </c>
      <c r="C102" s="4" t="s">
        <v>71</v>
      </c>
      <c r="D102" s="4" t="s">
        <v>26</v>
      </c>
      <c r="E102" s="4" t="s">
        <v>17</v>
      </c>
      <c r="F102" s="4">
        <v>179</v>
      </c>
      <c r="G102" s="7">
        <v>42600</v>
      </c>
      <c r="H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>
        <v>23363</v>
      </c>
      <c r="B103" s="4" t="s">
        <v>195</v>
      </c>
      <c r="C103" s="4" t="s">
        <v>196</v>
      </c>
      <c r="D103" s="4" t="s">
        <v>9</v>
      </c>
      <c r="E103" s="4" t="s">
        <v>10</v>
      </c>
      <c r="F103" s="4">
        <v>190</v>
      </c>
      <c r="G103" s="7">
        <v>42571</v>
      </c>
      <c r="H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>
        <v>23364</v>
      </c>
      <c r="B104" s="4" t="s">
        <v>197</v>
      </c>
      <c r="C104" s="4" t="s">
        <v>198</v>
      </c>
      <c r="D104" s="4" t="s">
        <v>16</v>
      </c>
      <c r="E104" s="4" t="s">
        <v>17</v>
      </c>
      <c r="F104" s="4">
        <v>47</v>
      </c>
      <c r="G104" s="7">
        <v>42554</v>
      </c>
      <c r="H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>
        <v>23365</v>
      </c>
      <c r="B105" s="4" t="s">
        <v>199</v>
      </c>
      <c r="C105" s="4" t="s">
        <v>200</v>
      </c>
      <c r="D105" s="4" t="s">
        <v>58</v>
      </c>
      <c r="E105" s="4" t="s">
        <v>17</v>
      </c>
      <c r="F105" s="4">
        <v>165</v>
      </c>
      <c r="G105" s="7">
        <v>42560</v>
      </c>
      <c r="H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>
        <v>23366</v>
      </c>
      <c r="B106" s="4" t="s">
        <v>201</v>
      </c>
      <c r="C106" s="4" t="s">
        <v>88</v>
      </c>
      <c r="D106" s="4" t="s">
        <v>9</v>
      </c>
      <c r="E106" s="4" t="s">
        <v>17</v>
      </c>
      <c r="F106" s="4">
        <v>178</v>
      </c>
      <c r="G106" s="7">
        <v>42540</v>
      </c>
      <c r="H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>
        <v>23367</v>
      </c>
      <c r="B107" s="4" t="s">
        <v>202</v>
      </c>
      <c r="C107" s="4" t="s">
        <v>203</v>
      </c>
      <c r="D107" s="4" t="s">
        <v>23</v>
      </c>
      <c r="E107" s="4" t="s">
        <v>10</v>
      </c>
      <c r="F107" s="4">
        <v>10</v>
      </c>
      <c r="G107" s="7">
        <v>42545</v>
      </c>
      <c r="H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>
        <v>23368</v>
      </c>
      <c r="B108" s="4" t="s">
        <v>204</v>
      </c>
      <c r="C108" s="4" t="s">
        <v>152</v>
      </c>
      <c r="D108" s="4" t="s">
        <v>58</v>
      </c>
      <c r="E108" s="4" t="s">
        <v>10</v>
      </c>
      <c r="F108" s="4">
        <v>150</v>
      </c>
      <c r="G108" s="7">
        <v>42607</v>
      </c>
      <c r="H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>
        <v>23369</v>
      </c>
      <c r="B109" s="4" t="s">
        <v>205</v>
      </c>
      <c r="C109" s="4" t="s">
        <v>146</v>
      </c>
      <c r="D109" s="4" t="s">
        <v>46</v>
      </c>
      <c r="E109" s="4" t="s">
        <v>10</v>
      </c>
      <c r="F109" s="4">
        <v>77</v>
      </c>
      <c r="G109" s="7">
        <v>42553</v>
      </c>
      <c r="H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>
        <v>23370</v>
      </c>
      <c r="B110" s="4" t="s">
        <v>206</v>
      </c>
      <c r="C110" s="4" t="s">
        <v>136</v>
      </c>
      <c r="D110" s="4" t="s">
        <v>26</v>
      </c>
      <c r="E110" s="4" t="s">
        <v>10</v>
      </c>
      <c r="F110" s="4">
        <v>63</v>
      </c>
      <c r="G110" s="7">
        <v>42550</v>
      </c>
      <c r="H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>
        <v>23371</v>
      </c>
      <c r="B111" s="4" t="s">
        <v>207</v>
      </c>
      <c r="C111" s="4" t="s">
        <v>208</v>
      </c>
      <c r="D111" s="4" t="s">
        <v>34</v>
      </c>
      <c r="E111" s="4" t="s">
        <v>17</v>
      </c>
      <c r="F111" s="4">
        <v>204</v>
      </c>
      <c r="G111" s="7">
        <v>42597</v>
      </c>
      <c r="H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>
        <v>23372</v>
      </c>
      <c r="B112" s="4" t="s">
        <v>209</v>
      </c>
      <c r="C112" s="4" t="s">
        <v>152</v>
      </c>
      <c r="D112" s="4" t="s">
        <v>46</v>
      </c>
      <c r="E112" s="4" t="s">
        <v>17</v>
      </c>
      <c r="F112" s="4">
        <v>22</v>
      </c>
      <c r="G112" s="7">
        <v>42594</v>
      </c>
      <c r="H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>
        <v>23373</v>
      </c>
      <c r="B113" s="4" t="s">
        <v>210</v>
      </c>
      <c r="C113" s="4" t="s">
        <v>166</v>
      </c>
      <c r="D113" s="4" t="s">
        <v>13</v>
      </c>
      <c r="E113" s="4" t="s">
        <v>10</v>
      </c>
      <c r="F113" s="4">
        <v>95</v>
      </c>
      <c r="G113" s="7">
        <v>42575</v>
      </c>
      <c r="H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>
        <v>23374</v>
      </c>
      <c r="B114" s="4" t="s">
        <v>211</v>
      </c>
      <c r="C114" s="4" t="s">
        <v>212</v>
      </c>
      <c r="D114" s="4" t="s">
        <v>23</v>
      </c>
      <c r="E114" s="4" t="s">
        <v>17</v>
      </c>
      <c r="F114" s="4">
        <v>57</v>
      </c>
      <c r="G114" s="7">
        <v>42596</v>
      </c>
      <c r="H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>
        <v>23375</v>
      </c>
      <c r="B115" s="4" t="s">
        <v>213</v>
      </c>
      <c r="C115" s="4" t="s">
        <v>65</v>
      </c>
      <c r="D115" s="4" t="s">
        <v>34</v>
      </c>
      <c r="E115" s="4" t="s">
        <v>17</v>
      </c>
      <c r="F115" s="4">
        <v>5</v>
      </c>
      <c r="G115" s="7">
        <v>42551</v>
      </c>
      <c r="H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>
        <v>23376</v>
      </c>
      <c r="B116" s="4" t="s">
        <v>214</v>
      </c>
      <c r="C116" s="4" t="s">
        <v>94</v>
      </c>
      <c r="D116" s="4" t="s">
        <v>34</v>
      </c>
      <c r="E116" s="4" t="s">
        <v>17</v>
      </c>
      <c r="F116" s="4">
        <v>85</v>
      </c>
      <c r="G116" s="7">
        <v>42574</v>
      </c>
      <c r="H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>
        <v>23377</v>
      </c>
      <c r="B117" s="4" t="s">
        <v>215</v>
      </c>
      <c r="C117" s="4" t="s">
        <v>67</v>
      </c>
      <c r="D117" s="4" t="s">
        <v>46</v>
      </c>
      <c r="E117" s="4" t="s">
        <v>17</v>
      </c>
      <c r="F117" s="4">
        <v>43</v>
      </c>
      <c r="G117" s="7">
        <v>42536</v>
      </c>
      <c r="H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>
        <v>23378</v>
      </c>
      <c r="B118" s="4" t="s">
        <v>216</v>
      </c>
      <c r="C118" s="4" t="s">
        <v>217</v>
      </c>
      <c r="D118" s="4" t="s">
        <v>51</v>
      </c>
      <c r="E118" s="4" t="s">
        <v>17</v>
      </c>
      <c r="F118" s="4">
        <v>157</v>
      </c>
      <c r="G118" s="7">
        <v>42539</v>
      </c>
      <c r="H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>
        <v>23379</v>
      </c>
      <c r="B119" s="4" t="s">
        <v>218</v>
      </c>
      <c r="C119" s="4" t="s">
        <v>140</v>
      </c>
      <c r="D119" s="4" t="s">
        <v>23</v>
      </c>
      <c r="E119" s="4" t="s">
        <v>10</v>
      </c>
      <c r="F119" s="4">
        <v>65</v>
      </c>
      <c r="G119" s="7">
        <v>42609</v>
      </c>
      <c r="H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>
        <v>23380</v>
      </c>
      <c r="B120" s="4" t="s">
        <v>219</v>
      </c>
      <c r="C120" s="4" t="s">
        <v>220</v>
      </c>
      <c r="D120" s="4" t="s">
        <v>46</v>
      </c>
      <c r="E120" s="4" t="s">
        <v>10</v>
      </c>
      <c r="F120" s="4">
        <v>95</v>
      </c>
      <c r="G120" s="7">
        <v>42573</v>
      </c>
      <c r="H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>
        <v>23381</v>
      </c>
      <c r="B121" s="4" t="s">
        <v>221</v>
      </c>
      <c r="C121" s="4" t="s">
        <v>212</v>
      </c>
      <c r="D121" s="4" t="s">
        <v>34</v>
      </c>
      <c r="E121" s="4" t="s">
        <v>17</v>
      </c>
      <c r="F121" s="4">
        <v>159</v>
      </c>
      <c r="G121" s="7">
        <v>42573</v>
      </c>
      <c r="H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>
        <v>23382</v>
      </c>
      <c r="B122" s="4" t="s">
        <v>189</v>
      </c>
      <c r="C122" s="4" t="s">
        <v>198</v>
      </c>
      <c r="D122" s="4" t="s">
        <v>29</v>
      </c>
      <c r="E122" s="4" t="s">
        <v>10</v>
      </c>
      <c r="F122" s="4">
        <v>14</v>
      </c>
      <c r="G122" s="7">
        <v>42537</v>
      </c>
      <c r="H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>
        <v>23383</v>
      </c>
      <c r="B123" s="4" t="s">
        <v>222</v>
      </c>
      <c r="C123" s="4" t="s">
        <v>97</v>
      </c>
      <c r="D123" s="4" t="s">
        <v>34</v>
      </c>
      <c r="E123" s="4" t="s">
        <v>10</v>
      </c>
      <c r="F123" s="4">
        <v>39</v>
      </c>
      <c r="G123" s="7">
        <v>42569</v>
      </c>
      <c r="H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>
        <v>23384</v>
      </c>
      <c r="B124" s="4" t="s">
        <v>223</v>
      </c>
      <c r="C124" s="4" t="s">
        <v>164</v>
      </c>
      <c r="D124" s="4" t="s">
        <v>23</v>
      </c>
      <c r="E124" s="4" t="s">
        <v>17</v>
      </c>
      <c r="F124" s="4">
        <v>9</v>
      </c>
      <c r="G124" s="7">
        <v>42579</v>
      </c>
      <c r="H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>
        <v>23385</v>
      </c>
      <c r="B125" s="4" t="s">
        <v>224</v>
      </c>
      <c r="C125" s="4" t="s">
        <v>225</v>
      </c>
      <c r="D125" s="4" t="s">
        <v>26</v>
      </c>
      <c r="E125" s="4" t="s">
        <v>10</v>
      </c>
      <c r="F125" s="4">
        <v>50</v>
      </c>
      <c r="G125" s="7">
        <v>42529</v>
      </c>
      <c r="H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>
        <v>23386</v>
      </c>
      <c r="B126" s="4" t="s">
        <v>226</v>
      </c>
      <c r="C126" s="4" t="s">
        <v>97</v>
      </c>
      <c r="D126" s="4" t="s">
        <v>29</v>
      </c>
      <c r="E126" s="4" t="s">
        <v>17</v>
      </c>
      <c r="F126" s="4">
        <v>107</v>
      </c>
      <c r="G126" s="7">
        <v>42597</v>
      </c>
      <c r="H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>
        <v>23387</v>
      </c>
      <c r="B127" s="4" t="s">
        <v>227</v>
      </c>
      <c r="C127" s="4" t="s">
        <v>228</v>
      </c>
      <c r="D127" s="4" t="s">
        <v>20</v>
      </c>
      <c r="E127" s="4" t="s">
        <v>59</v>
      </c>
      <c r="F127" s="4">
        <v>118</v>
      </c>
      <c r="G127" s="7">
        <v>42539</v>
      </c>
      <c r="H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>
        <v>23388</v>
      </c>
      <c r="B128" s="4" t="s">
        <v>229</v>
      </c>
      <c r="C128" s="4" t="s">
        <v>230</v>
      </c>
      <c r="D128" s="4" t="s">
        <v>29</v>
      </c>
      <c r="E128" s="4" t="s">
        <v>10</v>
      </c>
      <c r="F128" s="4">
        <v>39</v>
      </c>
      <c r="G128" s="7">
        <v>42595</v>
      </c>
      <c r="H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>
        <v>23389</v>
      </c>
      <c r="B129" s="4" t="s">
        <v>231</v>
      </c>
      <c r="C129" s="4" t="s">
        <v>232</v>
      </c>
      <c r="D129" s="4" t="s">
        <v>9</v>
      </c>
      <c r="E129" s="4" t="s">
        <v>10</v>
      </c>
      <c r="F129" s="4">
        <v>126</v>
      </c>
      <c r="G129" s="7">
        <v>42584</v>
      </c>
      <c r="H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>
        <v>23390</v>
      </c>
      <c r="B130" s="4" t="s">
        <v>233</v>
      </c>
      <c r="C130" s="4" t="s">
        <v>69</v>
      </c>
      <c r="D130" s="4" t="s">
        <v>26</v>
      </c>
      <c r="E130" s="4" t="s">
        <v>17</v>
      </c>
      <c r="F130" s="4">
        <v>176</v>
      </c>
      <c r="G130" s="7">
        <v>42548</v>
      </c>
      <c r="H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>
        <v>23391</v>
      </c>
      <c r="B131" s="4" t="s">
        <v>234</v>
      </c>
      <c r="C131" s="4" t="s">
        <v>212</v>
      </c>
      <c r="D131" s="4" t="s">
        <v>29</v>
      </c>
      <c r="E131" s="4" t="s">
        <v>59</v>
      </c>
      <c r="F131" s="4">
        <v>111</v>
      </c>
      <c r="G131" s="7">
        <v>42596</v>
      </c>
      <c r="H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>
        <v>23392</v>
      </c>
      <c r="B132" s="4" t="s">
        <v>235</v>
      </c>
      <c r="C132" s="4" t="s">
        <v>236</v>
      </c>
      <c r="D132" s="4" t="s">
        <v>29</v>
      </c>
      <c r="E132" s="4" t="s">
        <v>17</v>
      </c>
      <c r="F132" s="4">
        <v>71</v>
      </c>
      <c r="G132" s="7">
        <v>42554</v>
      </c>
      <c r="H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>
        <v>23393</v>
      </c>
      <c r="B133" s="4" t="s">
        <v>237</v>
      </c>
      <c r="C133" s="4" t="s">
        <v>131</v>
      </c>
      <c r="D133" s="4" t="s">
        <v>51</v>
      </c>
      <c r="E133" s="4" t="s">
        <v>59</v>
      </c>
      <c r="F133" s="4">
        <v>113</v>
      </c>
      <c r="G133" s="7">
        <v>42605</v>
      </c>
      <c r="H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>
        <v>23394</v>
      </c>
      <c r="B134" s="4" t="s">
        <v>238</v>
      </c>
      <c r="C134" s="4" t="s">
        <v>50</v>
      </c>
      <c r="D134" s="4" t="s">
        <v>51</v>
      </c>
      <c r="E134" s="4" t="s">
        <v>17</v>
      </c>
      <c r="F134" s="4">
        <v>105</v>
      </c>
      <c r="G134" s="7">
        <v>42582</v>
      </c>
      <c r="H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>
        <v>23395</v>
      </c>
      <c r="B135" s="4" t="s">
        <v>239</v>
      </c>
      <c r="C135" s="4" t="s">
        <v>83</v>
      </c>
      <c r="D135" s="4" t="s">
        <v>13</v>
      </c>
      <c r="E135" s="4" t="s">
        <v>10</v>
      </c>
      <c r="F135" s="4">
        <v>169</v>
      </c>
      <c r="G135" s="7">
        <v>42578</v>
      </c>
      <c r="H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>
        <v>23396</v>
      </c>
      <c r="B136" s="4" t="s">
        <v>240</v>
      </c>
      <c r="C136" s="4" t="s">
        <v>157</v>
      </c>
      <c r="D136" s="4" t="s">
        <v>23</v>
      </c>
      <c r="E136" s="4" t="s">
        <v>10</v>
      </c>
      <c r="F136" s="4">
        <v>116</v>
      </c>
      <c r="G136" s="7">
        <v>42550</v>
      </c>
      <c r="H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>
        <v>23397</v>
      </c>
      <c r="B137" s="4" t="s">
        <v>241</v>
      </c>
      <c r="C137" s="4" t="s">
        <v>198</v>
      </c>
      <c r="D137" s="4" t="s">
        <v>9</v>
      </c>
      <c r="E137" s="4" t="s">
        <v>10</v>
      </c>
      <c r="F137" s="4">
        <v>208</v>
      </c>
      <c r="G137" s="7">
        <v>42561</v>
      </c>
      <c r="H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>
        <v>23398</v>
      </c>
      <c r="B138" s="4" t="s">
        <v>242</v>
      </c>
      <c r="C138" s="4" t="s">
        <v>92</v>
      </c>
      <c r="D138" s="4" t="s">
        <v>46</v>
      </c>
      <c r="E138" s="4" t="s">
        <v>10</v>
      </c>
      <c r="F138" s="4">
        <v>45</v>
      </c>
      <c r="G138" s="7">
        <v>42575</v>
      </c>
      <c r="H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>
        <v>23399</v>
      </c>
      <c r="B139" s="4" t="s">
        <v>243</v>
      </c>
      <c r="C139" s="4" t="s">
        <v>244</v>
      </c>
      <c r="D139" s="4" t="s">
        <v>58</v>
      </c>
      <c r="E139" s="4" t="s">
        <v>10</v>
      </c>
      <c r="F139" s="4">
        <v>193</v>
      </c>
      <c r="G139" s="7">
        <v>42540</v>
      </c>
      <c r="H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>
        <v>23400</v>
      </c>
      <c r="B140" s="4" t="s">
        <v>245</v>
      </c>
      <c r="C140" s="4" t="s">
        <v>246</v>
      </c>
      <c r="D140" s="4" t="s">
        <v>9</v>
      </c>
      <c r="E140" s="4" t="s">
        <v>10</v>
      </c>
      <c r="F140" s="4">
        <v>108</v>
      </c>
      <c r="G140" s="7">
        <v>42526</v>
      </c>
      <c r="H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>
        <v>23401</v>
      </c>
      <c r="B141" s="4" t="s">
        <v>247</v>
      </c>
      <c r="C141" s="4" t="s">
        <v>248</v>
      </c>
      <c r="D141" s="4" t="s">
        <v>20</v>
      </c>
      <c r="E141" s="4" t="s">
        <v>17</v>
      </c>
      <c r="F141" s="4">
        <v>205</v>
      </c>
      <c r="G141" s="7">
        <v>42580</v>
      </c>
      <c r="H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>
        <v>23402</v>
      </c>
      <c r="B142" s="4" t="s">
        <v>249</v>
      </c>
      <c r="C142" s="4" t="s">
        <v>250</v>
      </c>
      <c r="D142" s="4" t="s">
        <v>16</v>
      </c>
      <c r="E142" s="4" t="s">
        <v>10</v>
      </c>
      <c r="F142" s="4">
        <v>88</v>
      </c>
      <c r="G142" s="7">
        <v>42579</v>
      </c>
      <c r="H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>
        <v>23403</v>
      </c>
      <c r="B143" s="4" t="s">
        <v>251</v>
      </c>
      <c r="C143" s="4" t="s">
        <v>252</v>
      </c>
      <c r="D143" s="4" t="s">
        <v>34</v>
      </c>
      <c r="E143" s="4" t="s">
        <v>10</v>
      </c>
      <c r="F143" s="4">
        <v>46</v>
      </c>
      <c r="G143" s="7">
        <v>42549</v>
      </c>
      <c r="H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>
        <v>23404</v>
      </c>
      <c r="B144" s="4" t="s">
        <v>253</v>
      </c>
      <c r="C144" s="4" t="s">
        <v>79</v>
      </c>
      <c r="D144" s="4" t="s">
        <v>9</v>
      </c>
      <c r="E144" s="4" t="s">
        <v>17</v>
      </c>
      <c r="F144" s="4">
        <v>73</v>
      </c>
      <c r="G144" s="7">
        <v>42585</v>
      </c>
      <c r="H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>
        <v>23405</v>
      </c>
      <c r="B145" s="4" t="s">
        <v>254</v>
      </c>
      <c r="C145" s="4" t="s">
        <v>255</v>
      </c>
      <c r="D145" s="4" t="s">
        <v>16</v>
      </c>
      <c r="E145" s="4" t="s">
        <v>17</v>
      </c>
      <c r="F145" s="4">
        <v>207</v>
      </c>
      <c r="G145" s="7">
        <v>42587</v>
      </c>
      <c r="H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>
        <v>23406</v>
      </c>
      <c r="B146" s="4" t="s">
        <v>256</v>
      </c>
      <c r="C146" s="4" t="s">
        <v>257</v>
      </c>
      <c r="D146" s="4" t="s">
        <v>46</v>
      </c>
      <c r="E146" s="4" t="s">
        <v>17</v>
      </c>
      <c r="F146" s="4">
        <v>202</v>
      </c>
      <c r="G146" s="7">
        <v>42573</v>
      </c>
      <c r="H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>
        <v>23407</v>
      </c>
      <c r="B147" s="4" t="s">
        <v>258</v>
      </c>
      <c r="C147" s="4" t="s">
        <v>259</v>
      </c>
      <c r="D147" s="4" t="s">
        <v>29</v>
      </c>
      <c r="E147" s="4" t="s">
        <v>10</v>
      </c>
      <c r="F147" s="4">
        <v>209</v>
      </c>
      <c r="G147" s="7">
        <v>42532</v>
      </c>
      <c r="H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>
        <v>23408</v>
      </c>
      <c r="B148" s="4" t="s">
        <v>260</v>
      </c>
      <c r="C148" s="4" t="s">
        <v>40</v>
      </c>
      <c r="D148" s="4" t="s">
        <v>23</v>
      </c>
      <c r="E148" s="4" t="s">
        <v>17</v>
      </c>
      <c r="F148" s="4">
        <v>48</v>
      </c>
      <c r="G148" s="7">
        <v>42582</v>
      </c>
      <c r="H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>
        <v>23409</v>
      </c>
      <c r="B149" s="4" t="s">
        <v>261</v>
      </c>
      <c r="C149" s="4" t="s">
        <v>119</v>
      </c>
      <c r="D149" s="4" t="s">
        <v>16</v>
      </c>
      <c r="E149" s="4" t="s">
        <v>10</v>
      </c>
      <c r="F149" s="4">
        <v>52</v>
      </c>
      <c r="G149" s="7">
        <v>42543</v>
      </c>
      <c r="H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>
        <v>23410</v>
      </c>
      <c r="B150" s="4" t="s">
        <v>262</v>
      </c>
      <c r="C150" s="4" t="s">
        <v>263</v>
      </c>
      <c r="D150" s="4" t="s">
        <v>23</v>
      </c>
      <c r="E150" s="4" t="s">
        <v>10</v>
      </c>
      <c r="F150" s="4">
        <v>202</v>
      </c>
      <c r="G150" s="7">
        <v>42551</v>
      </c>
      <c r="H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>
        <v>23411</v>
      </c>
      <c r="B151" s="4" t="s">
        <v>264</v>
      </c>
      <c r="C151" s="4" t="s">
        <v>133</v>
      </c>
      <c r="D151" s="4" t="s">
        <v>23</v>
      </c>
      <c r="E151" s="4" t="s">
        <v>59</v>
      </c>
      <c r="F151" s="4">
        <v>138</v>
      </c>
      <c r="G151" s="7">
        <v>42588</v>
      </c>
      <c r="H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>
        <v>23412</v>
      </c>
      <c r="B152" s="4" t="s">
        <v>265</v>
      </c>
      <c r="C152" s="4" t="s">
        <v>257</v>
      </c>
      <c r="D152" s="4" t="s">
        <v>13</v>
      </c>
      <c r="E152" s="4" t="s">
        <v>10</v>
      </c>
      <c r="F152" s="4">
        <v>77</v>
      </c>
      <c r="G152" s="7">
        <v>42548</v>
      </c>
      <c r="H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>
        <v>23413</v>
      </c>
      <c r="B153" s="4" t="s">
        <v>266</v>
      </c>
      <c r="C153" s="4" t="s">
        <v>267</v>
      </c>
      <c r="D153" s="4" t="s">
        <v>29</v>
      </c>
      <c r="E153" s="4" t="s">
        <v>17</v>
      </c>
      <c r="F153" s="4">
        <v>168</v>
      </c>
      <c r="G153" s="7">
        <v>42606</v>
      </c>
      <c r="H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>
        <v>23414</v>
      </c>
      <c r="B154" s="4" t="s">
        <v>268</v>
      </c>
      <c r="C154" s="4" t="s">
        <v>129</v>
      </c>
      <c r="D154" s="4" t="s">
        <v>51</v>
      </c>
      <c r="E154" s="4" t="s">
        <v>10</v>
      </c>
      <c r="F154" s="4">
        <v>114</v>
      </c>
      <c r="G154" s="7">
        <v>42559</v>
      </c>
      <c r="H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>
        <v>23415</v>
      </c>
      <c r="B155" s="4" t="s">
        <v>269</v>
      </c>
      <c r="C155" s="4" t="s">
        <v>270</v>
      </c>
      <c r="D155" s="4" t="s">
        <v>46</v>
      </c>
      <c r="E155" s="4" t="s">
        <v>59</v>
      </c>
      <c r="F155" s="4">
        <v>170</v>
      </c>
      <c r="G155" s="7">
        <v>42584</v>
      </c>
      <c r="H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>
        <v>23416</v>
      </c>
      <c r="B156" s="4" t="s">
        <v>271</v>
      </c>
      <c r="C156" s="4" t="s">
        <v>272</v>
      </c>
      <c r="D156" s="4" t="s">
        <v>58</v>
      </c>
      <c r="E156" s="4" t="s">
        <v>10</v>
      </c>
      <c r="F156" s="4">
        <v>116</v>
      </c>
      <c r="G156" s="7">
        <v>42586</v>
      </c>
      <c r="H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>
        <v>23417</v>
      </c>
      <c r="B157" s="4" t="s">
        <v>273</v>
      </c>
      <c r="C157" s="4" t="s">
        <v>274</v>
      </c>
      <c r="D157" s="4" t="s">
        <v>46</v>
      </c>
      <c r="E157" s="4" t="s">
        <v>10</v>
      </c>
      <c r="F157" s="4">
        <v>100</v>
      </c>
      <c r="G157" s="7">
        <v>42542</v>
      </c>
      <c r="H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>
        <v>23418</v>
      </c>
      <c r="B158" s="4" t="s">
        <v>275</v>
      </c>
      <c r="C158" s="4" t="s">
        <v>276</v>
      </c>
      <c r="D158" s="4" t="s">
        <v>16</v>
      </c>
      <c r="E158" s="4" t="s">
        <v>10</v>
      </c>
      <c r="F158" s="4">
        <v>191</v>
      </c>
      <c r="G158" s="7">
        <v>42592</v>
      </c>
      <c r="H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>
        <v>23419</v>
      </c>
      <c r="B159" s="4" t="s">
        <v>277</v>
      </c>
      <c r="C159" s="4" t="s">
        <v>278</v>
      </c>
      <c r="D159" s="4" t="s">
        <v>9</v>
      </c>
      <c r="E159" s="4" t="s">
        <v>10</v>
      </c>
      <c r="F159" s="4">
        <v>193</v>
      </c>
      <c r="G159" s="7">
        <v>42609</v>
      </c>
      <c r="H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>
        <v>23420</v>
      </c>
      <c r="B160" s="4" t="s">
        <v>279</v>
      </c>
      <c r="C160" s="4" t="s">
        <v>83</v>
      </c>
      <c r="D160" s="4" t="s">
        <v>58</v>
      </c>
      <c r="E160" s="4" t="s">
        <v>17</v>
      </c>
      <c r="F160" s="4">
        <v>57</v>
      </c>
      <c r="G160" s="7">
        <v>42542</v>
      </c>
      <c r="H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>
        <v>23421</v>
      </c>
      <c r="B161" s="4" t="s">
        <v>280</v>
      </c>
      <c r="C161" s="4" t="s">
        <v>146</v>
      </c>
      <c r="D161" s="4" t="s">
        <v>16</v>
      </c>
      <c r="E161" s="4" t="s">
        <v>10</v>
      </c>
      <c r="F161" s="4">
        <v>142</v>
      </c>
      <c r="G161" s="7">
        <v>42586</v>
      </c>
      <c r="H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>
        <v>23422</v>
      </c>
      <c r="B162" s="4" t="s">
        <v>281</v>
      </c>
      <c r="C162" s="4" t="s">
        <v>90</v>
      </c>
      <c r="D162" s="4" t="s">
        <v>46</v>
      </c>
      <c r="E162" s="4" t="s">
        <v>59</v>
      </c>
      <c r="F162" s="4">
        <v>153</v>
      </c>
      <c r="G162" s="7">
        <v>42610</v>
      </c>
      <c r="H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>
        <v>23423</v>
      </c>
      <c r="B163" s="4" t="s">
        <v>282</v>
      </c>
      <c r="C163" s="4" t="s">
        <v>283</v>
      </c>
      <c r="D163" s="4" t="s">
        <v>23</v>
      </c>
      <c r="E163" s="4" t="s">
        <v>17</v>
      </c>
      <c r="F163" s="4">
        <v>29</v>
      </c>
      <c r="G163" s="7">
        <v>42578</v>
      </c>
      <c r="H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>
        <v>23424</v>
      </c>
      <c r="B164" s="4" t="s">
        <v>284</v>
      </c>
      <c r="C164" s="4" t="s">
        <v>285</v>
      </c>
      <c r="D164" s="4" t="s">
        <v>26</v>
      </c>
      <c r="E164" s="4" t="s">
        <v>17</v>
      </c>
      <c r="F164" s="4">
        <v>38</v>
      </c>
      <c r="G164" s="7">
        <v>42579</v>
      </c>
      <c r="H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>
        <v>23425</v>
      </c>
      <c r="B165" s="4" t="s">
        <v>286</v>
      </c>
      <c r="C165" s="4" t="s">
        <v>152</v>
      </c>
      <c r="D165" s="4" t="s">
        <v>58</v>
      </c>
      <c r="E165" s="4" t="s">
        <v>17</v>
      </c>
      <c r="F165" s="4">
        <v>3</v>
      </c>
      <c r="G165" s="7">
        <v>42579</v>
      </c>
      <c r="H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>
        <v>23426</v>
      </c>
      <c r="B166" s="4" t="s">
        <v>287</v>
      </c>
      <c r="C166" s="4" t="s">
        <v>288</v>
      </c>
      <c r="D166" s="4" t="s">
        <v>13</v>
      </c>
      <c r="E166" s="4" t="s">
        <v>17</v>
      </c>
      <c r="F166" s="4">
        <v>178</v>
      </c>
      <c r="G166" s="7">
        <v>42602</v>
      </c>
      <c r="H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>
        <v>23427</v>
      </c>
      <c r="B167" s="4" t="s">
        <v>289</v>
      </c>
      <c r="C167" s="4" t="s">
        <v>290</v>
      </c>
      <c r="D167" s="4" t="s">
        <v>51</v>
      </c>
      <c r="E167" s="4" t="s">
        <v>59</v>
      </c>
      <c r="F167" s="4">
        <v>53</v>
      </c>
      <c r="G167" s="7">
        <v>42576</v>
      </c>
      <c r="H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>
        <v>23428</v>
      </c>
      <c r="B168" s="4" t="s">
        <v>291</v>
      </c>
      <c r="C168" s="4" t="s">
        <v>71</v>
      </c>
      <c r="D168" s="4" t="s">
        <v>26</v>
      </c>
      <c r="E168" s="4" t="s">
        <v>10</v>
      </c>
      <c r="F168" s="4">
        <v>153</v>
      </c>
      <c r="G168" s="7">
        <v>42596</v>
      </c>
      <c r="H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>
        <v>23429</v>
      </c>
      <c r="B169" s="4" t="s">
        <v>292</v>
      </c>
      <c r="C169" s="4" t="s">
        <v>65</v>
      </c>
      <c r="D169" s="4" t="s">
        <v>20</v>
      </c>
      <c r="E169" s="4" t="s">
        <v>10</v>
      </c>
      <c r="F169" s="4">
        <v>144</v>
      </c>
      <c r="G169" s="7">
        <v>42537</v>
      </c>
      <c r="H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>
        <v>23430</v>
      </c>
      <c r="B170" s="4" t="s">
        <v>293</v>
      </c>
      <c r="C170" s="4" t="s">
        <v>110</v>
      </c>
      <c r="D170" s="4" t="s">
        <v>29</v>
      </c>
      <c r="E170" s="4" t="s">
        <v>59</v>
      </c>
      <c r="F170" s="4">
        <v>131</v>
      </c>
      <c r="G170" s="7">
        <v>42535</v>
      </c>
      <c r="H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>
        <v>23431</v>
      </c>
      <c r="B171" s="4" t="s">
        <v>294</v>
      </c>
      <c r="C171" s="4" t="s">
        <v>295</v>
      </c>
      <c r="D171" s="4" t="s">
        <v>23</v>
      </c>
      <c r="E171" s="4" t="s">
        <v>17</v>
      </c>
      <c r="F171" s="4">
        <v>7</v>
      </c>
      <c r="G171" s="7">
        <v>42532</v>
      </c>
      <c r="H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>
        <v>23432</v>
      </c>
      <c r="B172" s="4" t="s">
        <v>296</v>
      </c>
      <c r="C172" s="4" t="s">
        <v>297</v>
      </c>
      <c r="D172" s="4" t="s">
        <v>23</v>
      </c>
      <c r="E172" s="4" t="s">
        <v>59</v>
      </c>
      <c r="F172" s="4">
        <v>110</v>
      </c>
      <c r="G172" s="7">
        <v>42575</v>
      </c>
      <c r="H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>
        <v>23433</v>
      </c>
      <c r="B173" s="4" t="s">
        <v>298</v>
      </c>
      <c r="C173" s="4" t="s">
        <v>236</v>
      </c>
      <c r="D173" s="4" t="s">
        <v>23</v>
      </c>
      <c r="E173" s="4" t="s">
        <v>10</v>
      </c>
      <c r="F173" s="4">
        <v>209</v>
      </c>
      <c r="G173" s="7">
        <v>42586</v>
      </c>
      <c r="H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>
        <v>23434</v>
      </c>
      <c r="B174" s="4" t="s">
        <v>299</v>
      </c>
      <c r="C174" s="4" t="s">
        <v>164</v>
      </c>
      <c r="D174" s="4" t="s">
        <v>58</v>
      </c>
      <c r="E174" s="4" t="s">
        <v>17</v>
      </c>
      <c r="F174" s="4">
        <v>203</v>
      </c>
      <c r="G174" s="7">
        <v>42538</v>
      </c>
      <c r="H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>
        <v>23435</v>
      </c>
      <c r="B175" s="4" t="s">
        <v>300</v>
      </c>
      <c r="C175" s="4" t="s">
        <v>193</v>
      </c>
      <c r="D175" s="4" t="s">
        <v>23</v>
      </c>
      <c r="E175" s="4" t="s">
        <v>10</v>
      </c>
      <c r="F175" s="4">
        <v>29</v>
      </c>
      <c r="G175" s="7">
        <v>42540</v>
      </c>
      <c r="H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>
        <v>23436</v>
      </c>
      <c r="B176" s="4" t="s">
        <v>301</v>
      </c>
      <c r="C176" s="4" t="s">
        <v>77</v>
      </c>
      <c r="D176" s="4" t="s">
        <v>13</v>
      </c>
      <c r="E176" s="4" t="s">
        <v>17</v>
      </c>
      <c r="F176" s="4">
        <v>202</v>
      </c>
      <c r="G176" s="7">
        <v>42576</v>
      </c>
      <c r="H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>
        <v>23437</v>
      </c>
      <c r="B177" s="4" t="s">
        <v>302</v>
      </c>
      <c r="C177" s="4" t="s">
        <v>142</v>
      </c>
      <c r="D177" s="4" t="s">
        <v>26</v>
      </c>
      <c r="E177" s="4" t="s">
        <v>10</v>
      </c>
      <c r="F177" s="4">
        <v>15</v>
      </c>
      <c r="G177" s="7">
        <v>42542</v>
      </c>
      <c r="H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>
        <v>23438</v>
      </c>
      <c r="B178" s="4" t="s">
        <v>303</v>
      </c>
      <c r="C178" s="4" t="s">
        <v>57</v>
      </c>
      <c r="D178" s="4" t="s">
        <v>20</v>
      </c>
      <c r="E178" s="4" t="s">
        <v>17</v>
      </c>
      <c r="F178" s="4">
        <v>102</v>
      </c>
      <c r="G178" s="7">
        <v>42584</v>
      </c>
      <c r="H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>
        <v>23439</v>
      </c>
      <c r="B179" s="4" t="s">
        <v>304</v>
      </c>
      <c r="C179" s="4" t="s">
        <v>217</v>
      </c>
      <c r="D179" s="4" t="s">
        <v>13</v>
      </c>
      <c r="E179" s="4" t="s">
        <v>10</v>
      </c>
      <c r="F179" s="4">
        <v>211</v>
      </c>
      <c r="G179" s="7">
        <v>42529</v>
      </c>
      <c r="H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>
        <v>23440</v>
      </c>
      <c r="B180" s="4" t="s">
        <v>305</v>
      </c>
      <c r="C180" s="4" t="s">
        <v>248</v>
      </c>
      <c r="D180" s="4" t="s">
        <v>13</v>
      </c>
      <c r="E180" s="4" t="s">
        <v>10</v>
      </c>
      <c r="F180" s="4">
        <v>138</v>
      </c>
      <c r="G180" s="7">
        <v>42590</v>
      </c>
      <c r="H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>
        <v>23441</v>
      </c>
      <c r="B181" s="4" t="s">
        <v>306</v>
      </c>
      <c r="C181" s="4" t="s">
        <v>307</v>
      </c>
      <c r="D181" s="4" t="s">
        <v>58</v>
      </c>
      <c r="E181" s="4" t="s">
        <v>59</v>
      </c>
      <c r="F181" s="4">
        <v>129</v>
      </c>
      <c r="G181" s="7">
        <v>42541</v>
      </c>
      <c r="H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>
        <v>23442</v>
      </c>
      <c r="B182" s="4" t="s">
        <v>308</v>
      </c>
      <c r="C182" s="4" t="s">
        <v>309</v>
      </c>
      <c r="D182" s="4" t="s">
        <v>46</v>
      </c>
      <c r="E182" s="4" t="s">
        <v>10</v>
      </c>
      <c r="F182" s="4">
        <v>95</v>
      </c>
      <c r="G182" s="7">
        <v>42608</v>
      </c>
      <c r="H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>
        <v>23443</v>
      </c>
      <c r="B183" s="4" t="s">
        <v>310</v>
      </c>
      <c r="C183" s="4" t="s">
        <v>90</v>
      </c>
      <c r="D183" s="4" t="s">
        <v>26</v>
      </c>
      <c r="E183" s="4" t="s">
        <v>10</v>
      </c>
      <c r="F183" s="4">
        <v>58</v>
      </c>
      <c r="G183" s="7">
        <v>42593</v>
      </c>
      <c r="H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>
        <v>23444</v>
      </c>
      <c r="B184" s="4" t="s">
        <v>311</v>
      </c>
      <c r="C184" s="4" t="s">
        <v>203</v>
      </c>
      <c r="D184" s="4" t="s">
        <v>23</v>
      </c>
      <c r="E184" s="4" t="s">
        <v>10</v>
      </c>
      <c r="F184" s="4">
        <v>160</v>
      </c>
      <c r="G184" s="7">
        <v>42538</v>
      </c>
      <c r="H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>
        <v>23445</v>
      </c>
      <c r="B185" s="4" t="s">
        <v>312</v>
      </c>
      <c r="C185" s="4" t="s">
        <v>198</v>
      </c>
      <c r="D185" s="4" t="s">
        <v>58</v>
      </c>
      <c r="E185" s="4" t="s">
        <v>17</v>
      </c>
      <c r="F185" s="4">
        <v>163</v>
      </c>
      <c r="G185" s="7">
        <v>42605</v>
      </c>
      <c r="H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>
        <v>23446</v>
      </c>
      <c r="B186" s="4" t="s">
        <v>313</v>
      </c>
      <c r="C186" s="4" t="s">
        <v>217</v>
      </c>
      <c r="D186" s="4" t="s">
        <v>29</v>
      </c>
      <c r="E186" s="4" t="s">
        <v>17</v>
      </c>
      <c r="F186" s="4">
        <v>33</v>
      </c>
      <c r="G186" s="7">
        <v>42540</v>
      </c>
      <c r="H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>
        <v>23447</v>
      </c>
      <c r="B187" s="4" t="s">
        <v>314</v>
      </c>
      <c r="C187" s="4" t="s">
        <v>290</v>
      </c>
      <c r="D187" s="4" t="s">
        <v>34</v>
      </c>
      <c r="E187" s="4" t="s">
        <v>17</v>
      </c>
      <c r="F187" s="4">
        <v>147</v>
      </c>
      <c r="G187" s="7">
        <v>42522</v>
      </c>
      <c r="H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>
        <v>23448</v>
      </c>
      <c r="B188" s="4" t="s">
        <v>315</v>
      </c>
      <c r="C188" s="4" t="s">
        <v>316</v>
      </c>
      <c r="D188" s="4" t="s">
        <v>34</v>
      </c>
      <c r="E188" s="4" t="s">
        <v>17</v>
      </c>
      <c r="F188" s="4">
        <v>211</v>
      </c>
      <c r="G188" s="7">
        <v>42602</v>
      </c>
      <c r="H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>
        <v>23449</v>
      </c>
      <c r="B189" s="4" t="s">
        <v>317</v>
      </c>
      <c r="C189" s="4" t="s">
        <v>67</v>
      </c>
      <c r="D189" s="4" t="s">
        <v>13</v>
      </c>
      <c r="E189" s="4" t="s">
        <v>17</v>
      </c>
      <c r="F189" s="4">
        <v>49</v>
      </c>
      <c r="G189" s="7">
        <v>42538</v>
      </c>
      <c r="H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>
        <v>23450</v>
      </c>
      <c r="B190" s="4" t="s">
        <v>318</v>
      </c>
      <c r="C190" s="4" t="s">
        <v>88</v>
      </c>
      <c r="D190" s="4" t="s">
        <v>9</v>
      </c>
      <c r="E190" s="4" t="s">
        <v>59</v>
      </c>
      <c r="F190" s="4">
        <v>100</v>
      </c>
      <c r="G190" s="7">
        <v>42567</v>
      </c>
      <c r="H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>
        <v>23451</v>
      </c>
      <c r="B191" s="4" t="s">
        <v>319</v>
      </c>
      <c r="C191" s="4" t="s">
        <v>79</v>
      </c>
      <c r="D191" s="4" t="s">
        <v>58</v>
      </c>
      <c r="E191" s="4" t="s">
        <v>10</v>
      </c>
      <c r="F191" s="4">
        <v>123</v>
      </c>
      <c r="G191" s="7">
        <v>42548</v>
      </c>
      <c r="H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>
        <v>23452</v>
      </c>
      <c r="B192" s="4" t="s">
        <v>320</v>
      </c>
      <c r="C192" s="4" t="s">
        <v>321</v>
      </c>
      <c r="D192" s="4" t="s">
        <v>23</v>
      </c>
      <c r="E192" s="4" t="s">
        <v>17</v>
      </c>
      <c r="F192" s="4">
        <v>176</v>
      </c>
      <c r="G192" s="7">
        <v>42522</v>
      </c>
      <c r="H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>
        <v>23453</v>
      </c>
      <c r="B193" s="4" t="s">
        <v>322</v>
      </c>
      <c r="C193" s="4" t="s">
        <v>323</v>
      </c>
      <c r="D193" s="4" t="s">
        <v>13</v>
      </c>
      <c r="E193" s="4" t="s">
        <v>10</v>
      </c>
      <c r="F193" s="4">
        <v>44</v>
      </c>
      <c r="G193" s="7">
        <v>42593</v>
      </c>
      <c r="H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>
        <v>23454</v>
      </c>
      <c r="B194" s="4" t="s">
        <v>324</v>
      </c>
      <c r="C194" s="4" t="s">
        <v>28</v>
      </c>
      <c r="D194" s="4" t="s">
        <v>13</v>
      </c>
      <c r="E194" s="4" t="s">
        <v>10</v>
      </c>
      <c r="F194" s="4">
        <v>179</v>
      </c>
      <c r="G194" s="7">
        <v>42589</v>
      </c>
      <c r="H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>
        <v>23455</v>
      </c>
      <c r="B195" s="4" t="s">
        <v>325</v>
      </c>
      <c r="C195" s="4" t="s">
        <v>326</v>
      </c>
      <c r="D195" s="4" t="s">
        <v>23</v>
      </c>
      <c r="E195" s="4" t="s">
        <v>10</v>
      </c>
      <c r="F195" s="4">
        <v>62</v>
      </c>
      <c r="G195" s="7">
        <v>42530</v>
      </c>
      <c r="H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>
        <v>23456</v>
      </c>
      <c r="B196" s="4" t="s">
        <v>327</v>
      </c>
      <c r="C196" s="4" t="s">
        <v>297</v>
      </c>
      <c r="D196" s="4" t="s">
        <v>26</v>
      </c>
      <c r="E196" s="4" t="s">
        <v>17</v>
      </c>
      <c r="F196" s="4">
        <v>33</v>
      </c>
      <c r="G196" s="7">
        <v>42528</v>
      </c>
      <c r="H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>
        <v>23457</v>
      </c>
      <c r="B197" s="4" t="s">
        <v>328</v>
      </c>
      <c r="C197" s="4" t="s">
        <v>329</v>
      </c>
      <c r="D197" s="4" t="s">
        <v>29</v>
      </c>
      <c r="E197" s="4" t="s">
        <v>17</v>
      </c>
      <c r="F197" s="4">
        <v>21</v>
      </c>
      <c r="G197" s="7">
        <v>42558</v>
      </c>
      <c r="H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>
        <v>23458</v>
      </c>
      <c r="B198" s="4" t="s">
        <v>330</v>
      </c>
      <c r="C198" s="4" t="s">
        <v>331</v>
      </c>
      <c r="D198" s="4" t="s">
        <v>9</v>
      </c>
      <c r="E198" s="4" t="s">
        <v>10</v>
      </c>
      <c r="F198" s="4">
        <v>69</v>
      </c>
      <c r="G198" s="7">
        <v>42560</v>
      </c>
      <c r="H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>
        <v>23459</v>
      </c>
      <c r="B199" s="4" t="s">
        <v>332</v>
      </c>
      <c r="C199" s="4" t="s">
        <v>333</v>
      </c>
      <c r="D199" s="4" t="s">
        <v>23</v>
      </c>
      <c r="E199" s="4" t="s">
        <v>17</v>
      </c>
      <c r="F199" s="4">
        <v>121</v>
      </c>
      <c r="G199" s="7">
        <v>42568</v>
      </c>
      <c r="H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>
        <v>23460</v>
      </c>
      <c r="B200" s="4" t="s">
        <v>334</v>
      </c>
      <c r="C200" s="4" t="s">
        <v>335</v>
      </c>
      <c r="D200" s="4" t="s">
        <v>58</v>
      </c>
      <c r="E200" s="4" t="s">
        <v>10</v>
      </c>
      <c r="F200" s="4">
        <v>112</v>
      </c>
      <c r="G200" s="7">
        <v>42606</v>
      </c>
      <c r="H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>
        <v>23461</v>
      </c>
      <c r="B201" s="4" t="s">
        <v>336</v>
      </c>
      <c r="C201" s="4" t="s">
        <v>337</v>
      </c>
      <c r="D201" s="4" t="s">
        <v>29</v>
      </c>
      <c r="E201" s="4" t="s">
        <v>17</v>
      </c>
      <c r="F201" s="4">
        <v>42</v>
      </c>
      <c r="G201" s="7">
        <v>42543</v>
      </c>
      <c r="H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>
        <v>23462</v>
      </c>
      <c r="B202" s="4" t="s">
        <v>338</v>
      </c>
      <c r="C202" s="4" t="s">
        <v>152</v>
      </c>
      <c r="D202" s="4" t="s">
        <v>51</v>
      </c>
      <c r="E202" s="4" t="s">
        <v>17</v>
      </c>
      <c r="F202" s="4">
        <v>60</v>
      </c>
      <c r="G202" s="7">
        <v>42488</v>
      </c>
      <c r="H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>
        <v>23463</v>
      </c>
      <c r="B203" s="4" t="s">
        <v>339</v>
      </c>
      <c r="C203" s="4" t="s">
        <v>278</v>
      </c>
      <c r="D203" s="4" t="s">
        <v>46</v>
      </c>
      <c r="E203" s="4" t="s">
        <v>10</v>
      </c>
      <c r="F203" s="4">
        <v>202</v>
      </c>
      <c r="G203" s="7">
        <v>42515</v>
      </c>
      <c r="H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>
        <v>23464</v>
      </c>
      <c r="B204" s="4" t="s">
        <v>340</v>
      </c>
      <c r="C204" s="4" t="s">
        <v>341</v>
      </c>
      <c r="D204" s="4" t="s">
        <v>51</v>
      </c>
      <c r="E204" s="4" t="s">
        <v>17</v>
      </c>
      <c r="F204" s="4">
        <v>181</v>
      </c>
      <c r="G204" s="7">
        <v>42469</v>
      </c>
      <c r="H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>
        <v>23465</v>
      </c>
      <c r="B205" s="4" t="s">
        <v>342</v>
      </c>
      <c r="C205" s="4" t="s">
        <v>329</v>
      </c>
      <c r="D205" s="4" t="s">
        <v>29</v>
      </c>
      <c r="E205" s="4" t="s">
        <v>10</v>
      </c>
      <c r="F205" s="4">
        <v>28</v>
      </c>
      <c r="G205" s="7">
        <v>42478</v>
      </c>
      <c r="H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>
        <v>23466</v>
      </c>
      <c r="B206" s="4" t="s">
        <v>343</v>
      </c>
      <c r="C206" s="4" t="s">
        <v>193</v>
      </c>
      <c r="D206" s="4" t="s">
        <v>16</v>
      </c>
      <c r="E206" s="4" t="s">
        <v>10</v>
      </c>
      <c r="F206" s="4">
        <v>79</v>
      </c>
      <c r="G206" s="7">
        <v>42496</v>
      </c>
      <c r="H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>
        <v>23467</v>
      </c>
      <c r="B207" s="4" t="s">
        <v>344</v>
      </c>
      <c r="C207" s="4" t="s">
        <v>345</v>
      </c>
      <c r="D207" s="4" t="s">
        <v>16</v>
      </c>
      <c r="E207" s="4" t="s">
        <v>10</v>
      </c>
      <c r="F207" s="4">
        <v>10</v>
      </c>
      <c r="G207" s="7">
        <v>42496</v>
      </c>
      <c r="H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>
        <v>23468</v>
      </c>
      <c r="B208" s="4" t="s">
        <v>346</v>
      </c>
      <c r="C208" s="4" t="s">
        <v>326</v>
      </c>
      <c r="D208" s="4" t="s">
        <v>51</v>
      </c>
      <c r="E208" s="4" t="s">
        <v>10</v>
      </c>
      <c r="F208" s="4">
        <v>41</v>
      </c>
      <c r="G208" s="7">
        <v>42505</v>
      </c>
      <c r="H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>
        <v>23469</v>
      </c>
      <c r="B209" s="4" t="s">
        <v>347</v>
      </c>
      <c r="C209" s="4" t="s">
        <v>71</v>
      </c>
      <c r="D209" s="4" t="s">
        <v>23</v>
      </c>
      <c r="E209" s="4" t="s">
        <v>10</v>
      </c>
      <c r="F209" s="4">
        <v>5</v>
      </c>
      <c r="G209" s="7">
        <v>42468</v>
      </c>
      <c r="H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>
        <v>23470</v>
      </c>
      <c r="B210" s="4" t="s">
        <v>348</v>
      </c>
      <c r="C210" s="4" t="s">
        <v>349</v>
      </c>
      <c r="D210" s="4" t="s">
        <v>23</v>
      </c>
      <c r="E210" s="4" t="s">
        <v>10</v>
      </c>
      <c r="F210" s="4">
        <v>129</v>
      </c>
      <c r="G210" s="7">
        <v>42496</v>
      </c>
      <c r="H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>
        <v>23471</v>
      </c>
      <c r="B211" s="4" t="s">
        <v>350</v>
      </c>
      <c r="C211" s="4" t="s">
        <v>8</v>
      </c>
      <c r="D211" s="4" t="s">
        <v>26</v>
      </c>
      <c r="E211" s="4" t="s">
        <v>17</v>
      </c>
      <c r="F211" s="4">
        <v>210</v>
      </c>
      <c r="G211" s="7">
        <v>42465</v>
      </c>
      <c r="H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>
        <v>23472</v>
      </c>
      <c r="B212" s="4" t="s">
        <v>351</v>
      </c>
      <c r="C212" s="4" t="s">
        <v>352</v>
      </c>
      <c r="D212" s="4" t="s">
        <v>20</v>
      </c>
      <c r="E212" s="4" t="s">
        <v>59</v>
      </c>
      <c r="F212" s="4">
        <v>209</v>
      </c>
      <c r="G212" s="7">
        <v>42518</v>
      </c>
      <c r="H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>
        <v>23473</v>
      </c>
      <c r="B213" s="4" t="s">
        <v>353</v>
      </c>
      <c r="C213" s="4" t="s">
        <v>307</v>
      </c>
      <c r="D213" s="4" t="s">
        <v>13</v>
      </c>
      <c r="E213" s="4" t="s">
        <v>10</v>
      </c>
      <c r="F213" s="4">
        <v>55</v>
      </c>
      <c r="G213" s="7">
        <v>42463</v>
      </c>
      <c r="H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>
        <v>23474</v>
      </c>
      <c r="B214" s="4" t="s">
        <v>354</v>
      </c>
      <c r="C214" s="4" t="s">
        <v>97</v>
      </c>
      <c r="D214" s="4" t="s">
        <v>13</v>
      </c>
      <c r="E214" s="4" t="s">
        <v>17</v>
      </c>
      <c r="F214" s="4">
        <v>49</v>
      </c>
      <c r="G214" s="7">
        <v>42463</v>
      </c>
      <c r="H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>
        <v>23475</v>
      </c>
      <c r="B215" s="4" t="s">
        <v>355</v>
      </c>
      <c r="C215" s="4" t="s">
        <v>295</v>
      </c>
      <c r="D215" s="4" t="s">
        <v>58</v>
      </c>
      <c r="E215" s="4" t="s">
        <v>17</v>
      </c>
      <c r="F215" s="4">
        <v>16</v>
      </c>
      <c r="G215" s="7">
        <v>42505</v>
      </c>
      <c r="H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>
        <v>23476</v>
      </c>
      <c r="B216" s="4" t="s">
        <v>356</v>
      </c>
      <c r="C216" s="4" t="s">
        <v>38</v>
      </c>
      <c r="D216" s="4" t="s">
        <v>34</v>
      </c>
      <c r="E216" s="4" t="s">
        <v>59</v>
      </c>
      <c r="F216" s="4">
        <v>29</v>
      </c>
      <c r="G216" s="7">
        <v>42481</v>
      </c>
      <c r="H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>
        <v>23477</v>
      </c>
      <c r="B217" s="4" t="s">
        <v>204</v>
      </c>
      <c r="C217" s="4" t="s">
        <v>357</v>
      </c>
      <c r="D217" s="4" t="s">
        <v>20</v>
      </c>
      <c r="E217" s="4" t="s">
        <v>17</v>
      </c>
      <c r="F217" s="4">
        <v>164</v>
      </c>
      <c r="G217" s="7">
        <v>42503</v>
      </c>
      <c r="H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>
        <v>23478</v>
      </c>
      <c r="B218" s="4" t="s">
        <v>358</v>
      </c>
      <c r="C218" s="4" t="s">
        <v>22</v>
      </c>
      <c r="D218" s="4" t="s">
        <v>58</v>
      </c>
      <c r="E218" s="4" t="s">
        <v>59</v>
      </c>
      <c r="F218" s="4">
        <v>173</v>
      </c>
      <c r="G218" s="7">
        <v>42489</v>
      </c>
      <c r="H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>
        <v>23479</v>
      </c>
      <c r="B219" s="4" t="s">
        <v>359</v>
      </c>
      <c r="C219" s="4" t="s">
        <v>352</v>
      </c>
      <c r="D219" s="4" t="s">
        <v>23</v>
      </c>
      <c r="E219" s="4" t="s">
        <v>10</v>
      </c>
      <c r="F219" s="4">
        <v>119</v>
      </c>
      <c r="G219" s="7">
        <v>42487</v>
      </c>
      <c r="H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>
        <v>23480</v>
      </c>
      <c r="B220" s="4" t="s">
        <v>360</v>
      </c>
      <c r="C220" s="4" t="s">
        <v>295</v>
      </c>
      <c r="D220" s="4" t="s">
        <v>26</v>
      </c>
      <c r="E220" s="4" t="s">
        <v>10</v>
      </c>
      <c r="F220" s="4">
        <v>111</v>
      </c>
      <c r="G220" s="7">
        <v>42501</v>
      </c>
      <c r="H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>
        <v>23481</v>
      </c>
      <c r="B221" s="4" t="s">
        <v>361</v>
      </c>
      <c r="C221" s="4" t="s">
        <v>333</v>
      </c>
      <c r="D221" s="4" t="s">
        <v>34</v>
      </c>
      <c r="E221" s="4" t="s">
        <v>17</v>
      </c>
      <c r="F221" s="4">
        <v>20</v>
      </c>
      <c r="G221" s="7">
        <v>42499</v>
      </c>
      <c r="H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>
        <v>23482</v>
      </c>
      <c r="B222" s="4" t="s">
        <v>362</v>
      </c>
      <c r="C222" s="4" t="s">
        <v>57</v>
      </c>
      <c r="D222" s="4" t="s">
        <v>23</v>
      </c>
      <c r="E222" s="4" t="s">
        <v>10</v>
      </c>
      <c r="F222" s="4">
        <v>197</v>
      </c>
      <c r="G222" s="7">
        <v>42466</v>
      </c>
      <c r="H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>
        <v>23483</v>
      </c>
      <c r="B223" s="4" t="s">
        <v>363</v>
      </c>
      <c r="C223" s="4" t="s">
        <v>45</v>
      </c>
      <c r="D223" s="4" t="s">
        <v>9</v>
      </c>
      <c r="E223" s="4" t="s">
        <v>17</v>
      </c>
      <c r="F223" s="4">
        <v>122</v>
      </c>
      <c r="G223" s="7">
        <v>42512</v>
      </c>
      <c r="H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>
        <v>23484</v>
      </c>
      <c r="B224" s="4" t="s">
        <v>364</v>
      </c>
      <c r="C224" s="4" t="s">
        <v>295</v>
      </c>
      <c r="D224" s="4" t="s">
        <v>58</v>
      </c>
      <c r="E224" s="4" t="s">
        <v>59</v>
      </c>
      <c r="F224" s="4">
        <v>51</v>
      </c>
      <c r="G224" s="7">
        <v>42516</v>
      </c>
      <c r="H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>
        <v>23485</v>
      </c>
      <c r="B225" s="4" t="s">
        <v>365</v>
      </c>
      <c r="C225" s="4" t="s">
        <v>366</v>
      </c>
      <c r="D225" s="4" t="s">
        <v>51</v>
      </c>
      <c r="E225" s="4" t="s">
        <v>10</v>
      </c>
      <c r="F225" s="4">
        <v>38</v>
      </c>
      <c r="G225" s="7">
        <v>42497</v>
      </c>
      <c r="H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>
        <v>23486</v>
      </c>
      <c r="B226" s="4" t="s">
        <v>367</v>
      </c>
      <c r="C226" s="4" t="s">
        <v>88</v>
      </c>
      <c r="D226" s="4" t="s">
        <v>51</v>
      </c>
      <c r="E226" s="4" t="s">
        <v>17</v>
      </c>
      <c r="F226" s="4">
        <v>206</v>
      </c>
      <c r="G226" s="7">
        <v>42509</v>
      </c>
      <c r="H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>
        <v>23487</v>
      </c>
      <c r="B227" s="4" t="s">
        <v>368</v>
      </c>
      <c r="C227" s="4" t="s">
        <v>369</v>
      </c>
      <c r="D227" s="4" t="s">
        <v>13</v>
      </c>
      <c r="E227" s="4" t="s">
        <v>10</v>
      </c>
      <c r="F227" s="4">
        <v>143</v>
      </c>
      <c r="G227" s="7">
        <v>42516</v>
      </c>
      <c r="H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>
        <v>23488</v>
      </c>
      <c r="B228" s="4" t="s">
        <v>370</v>
      </c>
      <c r="C228" s="4" t="s">
        <v>333</v>
      </c>
      <c r="D228" s="4" t="s">
        <v>58</v>
      </c>
      <c r="E228" s="4" t="s">
        <v>17</v>
      </c>
      <c r="F228" s="4">
        <v>134</v>
      </c>
      <c r="G228" s="7">
        <v>42471</v>
      </c>
      <c r="H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>
        <v>23489</v>
      </c>
      <c r="B229" s="4" t="s">
        <v>371</v>
      </c>
      <c r="C229" s="4" t="s">
        <v>71</v>
      </c>
      <c r="D229" s="4" t="s">
        <v>51</v>
      </c>
      <c r="E229" s="4" t="s">
        <v>17</v>
      </c>
      <c r="F229" s="4">
        <v>101</v>
      </c>
      <c r="G229" s="7">
        <v>42485</v>
      </c>
      <c r="H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>
        <v>23490</v>
      </c>
      <c r="B230" s="4" t="s">
        <v>372</v>
      </c>
      <c r="C230" s="4" t="s">
        <v>53</v>
      </c>
      <c r="D230" s="4" t="s">
        <v>58</v>
      </c>
      <c r="E230" s="4" t="s">
        <v>59</v>
      </c>
      <c r="F230" s="4">
        <v>173</v>
      </c>
      <c r="G230" s="7">
        <v>42473</v>
      </c>
      <c r="H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>
        <v>23491</v>
      </c>
      <c r="B231" s="4" t="s">
        <v>373</v>
      </c>
      <c r="C231" s="4" t="s">
        <v>108</v>
      </c>
      <c r="D231" s="4" t="s">
        <v>34</v>
      </c>
      <c r="E231" s="4" t="s">
        <v>10</v>
      </c>
      <c r="F231" s="4">
        <v>87</v>
      </c>
      <c r="G231" s="7">
        <v>42489</v>
      </c>
      <c r="H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>
        <v>23492</v>
      </c>
      <c r="B232" s="4" t="s">
        <v>374</v>
      </c>
      <c r="C232" s="4" t="s">
        <v>83</v>
      </c>
      <c r="D232" s="4" t="s">
        <v>26</v>
      </c>
      <c r="E232" s="4" t="s">
        <v>10</v>
      </c>
      <c r="F232" s="4">
        <v>6</v>
      </c>
      <c r="G232" s="7">
        <v>42493</v>
      </c>
      <c r="H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>
        <v>23493</v>
      </c>
      <c r="B233" s="4" t="s">
        <v>375</v>
      </c>
      <c r="C233" s="4" t="s">
        <v>8</v>
      </c>
      <c r="D233" s="4" t="s">
        <v>9</v>
      </c>
      <c r="E233" s="4" t="s">
        <v>10</v>
      </c>
      <c r="F233" s="4">
        <v>176</v>
      </c>
      <c r="G233" s="7">
        <v>42498</v>
      </c>
      <c r="H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>
        <v>23494</v>
      </c>
      <c r="B234" s="4" t="s">
        <v>376</v>
      </c>
      <c r="C234" s="4" t="s">
        <v>176</v>
      </c>
      <c r="D234" s="4" t="s">
        <v>23</v>
      </c>
      <c r="E234" s="4" t="s">
        <v>10</v>
      </c>
      <c r="F234" s="4">
        <v>77</v>
      </c>
      <c r="G234" s="7">
        <v>42465</v>
      </c>
      <c r="H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>
        <v>23495</v>
      </c>
      <c r="B235" s="4" t="s">
        <v>377</v>
      </c>
      <c r="C235" s="4" t="s">
        <v>69</v>
      </c>
      <c r="D235" s="4" t="s">
        <v>9</v>
      </c>
      <c r="E235" s="4" t="s">
        <v>10</v>
      </c>
      <c r="F235" s="4">
        <v>192</v>
      </c>
      <c r="G235" s="7">
        <v>42506</v>
      </c>
      <c r="H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>
        <v>23496</v>
      </c>
      <c r="B236" s="4" t="s">
        <v>378</v>
      </c>
      <c r="C236" s="4" t="s">
        <v>178</v>
      </c>
      <c r="D236" s="4" t="s">
        <v>34</v>
      </c>
      <c r="E236" s="4" t="s">
        <v>10</v>
      </c>
      <c r="F236" s="4">
        <v>143</v>
      </c>
      <c r="G236" s="7">
        <v>42466</v>
      </c>
      <c r="H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>
        <v>23497</v>
      </c>
      <c r="B237" s="4" t="s">
        <v>379</v>
      </c>
      <c r="C237" s="4" t="s">
        <v>380</v>
      </c>
      <c r="D237" s="4" t="s">
        <v>29</v>
      </c>
      <c r="E237" s="4" t="s">
        <v>17</v>
      </c>
      <c r="F237" s="4">
        <v>126</v>
      </c>
      <c r="G237" s="7">
        <v>42500</v>
      </c>
      <c r="H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>
        <v>23498</v>
      </c>
      <c r="B238" s="4" t="s">
        <v>381</v>
      </c>
      <c r="C238" s="4" t="s">
        <v>252</v>
      </c>
      <c r="D238" s="4" t="s">
        <v>51</v>
      </c>
      <c r="E238" s="4" t="s">
        <v>17</v>
      </c>
      <c r="F238" s="4">
        <v>178</v>
      </c>
      <c r="G238" s="7">
        <v>42518</v>
      </c>
      <c r="H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>
        <v>23499</v>
      </c>
      <c r="B239" s="4" t="s">
        <v>382</v>
      </c>
      <c r="C239" s="4" t="s">
        <v>250</v>
      </c>
      <c r="D239" s="4" t="s">
        <v>26</v>
      </c>
      <c r="E239" s="4" t="s">
        <v>17</v>
      </c>
      <c r="F239" s="4">
        <v>116</v>
      </c>
      <c r="G239" s="7">
        <v>42509</v>
      </c>
      <c r="H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>
        <v>23500</v>
      </c>
      <c r="B240" s="4" t="s">
        <v>383</v>
      </c>
      <c r="C240" s="4" t="s">
        <v>384</v>
      </c>
      <c r="D240" s="4" t="s">
        <v>51</v>
      </c>
      <c r="E240" s="4" t="s">
        <v>17</v>
      </c>
      <c r="F240" s="4">
        <v>8</v>
      </c>
      <c r="G240" s="7">
        <v>42502</v>
      </c>
      <c r="H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>
        <v>23501</v>
      </c>
      <c r="B241" s="4" t="s">
        <v>385</v>
      </c>
      <c r="C241" s="4" t="s">
        <v>257</v>
      </c>
      <c r="D241" s="4" t="s">
        <v>26</v>
      </c>
      <c r="E241" s="4" t="s">
        <v>10</v>
      </c>
      <c r="F241" s="4">
        <v>204</v>
      </c>
      <c r="G241" s="7">
        <v>42506</v>
      </c>
      <c r="H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>
        <v>23502</v>
      </c>
      <c r="B242" s="4" t="s">
        <v>386</v>
      </c>
      <c r="C242" s="4" t="s">
        <v>140</v>
      </c>
      <c r="D242" s="4" t="s">
        <v>26</v>
      </c>
      <c r="E242" s="4" t="s">
        <v>17</v>
      </c>
      <c r="F242" s="4">
        <v>123</v>
      </c>
      <c r="G242" s="7">
        <v>42502</v>
      </c>
      <c r="H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>
        <v>23503</v>
      </c>
      <c r="B243" s="4" t="s">
        <v>387</v>
      </c>
      <c r="C243" s="4" t="s">
        <v>83</v>
      </c>
      <c r="D243" s="4" t="s">
        <v>26</v>
      </c>
      <c r="E243" s="4" t="s">
        <v>10</v>
      </c>
      <c r="F243" s="4">
        <v>111</v>
      </c>
      <c r="G243" s="7">
        <v>42470</v>
      </c>
      <c r="H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>
        <v>23504</v>
      </c>
      <c r="B244" s="4" t="s">
        <v>388</v>
      </c>
      <c r="C244" s="4" t="s">
        <v>65</v>
      </c>
      <c r="D244" s="4" t="s">
        <v>46</v>
      </c>
      <c r="E244" s="4" t="s">
        <v>10</v>
      </c>
      <c r="F244" s="4">
        <v>88</v>
      </c>
      <c r="G244" s="7">
        <v>42507</v>
      </c>
      <c r="H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>
        <v>23505</v>
      </c>
      <c r="B245" s="4" t="s">
        <v>389</v>
      </c>
      <c r="C245" s="4" t="s">
        <v>390</v>
      </c>
      <c r="D245" s="4" t="s">
        <v>20</v>
      </c>
      <c r="E245" s="4" t="s">
        <v>10</v>
      </c>
      <c r="F245" s="4">
        <v>189</v>
      </c>
      <c r="G245" s="7">
        <v>42490</v>
      </c>
      <c r="H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>
        <v>23506</v>
      </c>
      <c r="B246" s="4" t="s">
        <v>391</v>
      </c>
      <c r="C246" s="4" t="s">
        <v>212</v>
      </c>
      <c r="D246" s="4" t="s">
        <v>58</v>
      </c>
      <c r="E246" s="4" t="s">
        <v>10</v>
      </c>
      <c r="F246" s="4">
        <v>83</v>
      </c>
      <c r="G246" s="7">
        <v>42472</v>
      </c>
      <c r="H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>
        <v>23507</v>
      </c>
      <c r="B247" s="4" t="s">
        <v>392</v>
      </c>
      <c r="C247" s="4" t="s">
        <v>323</v>
      </c>
      <c r="D247" s="4" t="s">
        <v>34</v>
      </c>
      <c r="E247" s="4" t="s">
        <v>59</v>
      </c>
      <c r="F247" s="4">
        <v>211</v>
      </c>
      <c r="G247" s="7">
        <v>42518</v>
      </c>
      <c r="H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>
        <v>23508</v>
      </c>
      <c r="B248" s="4" t="s">
        <v>393</v>
      </c>
      <c r="C248" s="4" t="s">
        <v>155</v>
      </c>
      <c r="D248" s="4" t="s">
        <v>26</v>
      </c>
      <c r="E248" s="4" t="s">
        <v>10</v>
      </c>
      <c r="F248" s="4">
        <v>34</v>
      </c>
      <c r="G248" s="7">
        <v>42477</v>
      </c>
      <c r="H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>
        <v>23509</v>
      </c>
      <c r="B249" s="4" t="s">
        <v>394</v>
      </c>
      <c r="C249" s="4" t="s">
        <v>45</v>
      </c>
      <c r="D249" s="4" t="s">
        <v>51</v>
      </c>
      <c r="E249" s="4" t="s">
        <v>10</v>
      </c>
      <c r="F249" s="4">
        <v>195</v>
      </c>
      <c r="G249" s="7">
        <v>42477</v>
      </c>
      <c r="H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>
        <v>23510</v>
      </c>
      <c r="B250" s="4" t="s">
        <v>395</v>
      </c>
      <c r="C250" s="4" t="s">
        <v>285</v>
      </c>
      <c r="D250" s="4" t="s">
        <v>16</v>
      </c>
      <c r="E250" s="4" t="s">
        <v>10</v>
      </c>
      <c r="F250" s="4">
        <v>127</v>
      </c>
      <c r="G250" s="7">
        <v>42515</v>
      </c>
      <c r="H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>
        <v>23511</v>
      </c>
      <c r="B251" s="4" t="s">
        <v>396</v>
      </c>
      <c r="C251" s="4" t="s">
        <v>397</v>
      </c>
      <c r="D251" s="4" t="s">
        <v>29</v>
      </c>
      <c r="E251" s="4" t="s">
        <v>10</v>
      </c>
      <c r="F251" s="4">
        <v>158</v>
      </c>
      <c r="G251" s="7">
        <v>42499</v>
      </c>
      <c r="H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>
        <v>23512</v>
      </c>
      <c r="B252" s="4" t="s">
        <v>398</v>
      </c>
      <c r="C252" s="4" t="s">
        <v>198</v>
      </c>
      <c r="D252" s="4" t="s">
        <v>26</v>
      </c>
      <c r="E252" s="4" t="s">
        <v>17</v>
      </c>
      <c r="F252" s="4">
        <v>154</v>
      </c>
      <c r="G252" s="7">
        <v>42491</v>
      </c>
      <c r="H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>
        <v>23513</v>
      </c>
      <c r="B253" s="4" t="s">
        <v>399</v>
      </c>
      <c r="C253" s="4" t="s">
        <v>140</v>
      </c>
      <c r="D253" s="4" t="s">
        <v>46</v>
      </c>
      <c r="E253" s="4" t="s">
        <v>59</v>
      </c>
      <c r="F253" s="4">
        <v>78</v>
      </c>
      <c r="G253" s="7">
        <v>42506</v>
      </c>
      <c r="H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>
        <v>23514</v>
      </c>
      <c r="B254" s="4" t="s">
        <v>400</v>
      </c>
      <c r="C254" s="4" t="s">
        <v>401</v>
      </c>
      <c r="D254" s="4" t="s">
        <v>16</v>
      </c>
      <c r="E254" s="4" t="s">
        <v>10</v>
      </c>
      <c r="F254" s="4">
        <v>130</v>
      </c>
      <c r="G254" s="7">
        <v>42479</v>
      </c>
      <c r="H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>
        <v>23515</v>
      </c>
      <c r="B255" s="4" t="s">
        <v>402</v>
      </c>
      <c r="C255" s="4" t="s">
        <v>403</v>
      </c>
      <c r="D255" s="4" t="s">
        <v>58</v>
      </c>
      <c r="E255" s="4" t="s">
        <v>17</v>
      </c>
      <c r="F255" s="4">
        <v>191</v>
      </c>
      <c r="G255" s="7">
        <v>42481</v>
      </c>
      <c r="H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>
        <v>23516</v>
      </c>
      <c r="B256" s="4" t="s">
        <v>404</v>
      </c>
      <c r="C256" s="4" t="s">
        <v>198</v>
      </c>
      <c r="D256" s="4" t="s">
        <v>51</v>
      </c>
      <c r="E256" s="4" t="s">
        <v>10</v>
      </c>
      <c r="F256" s="4">
        <v>4</v>
      </c>
      <c r="G256" s="7">
        <v>42519</v>
      </c>
      <c r="H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>
        <v>23517</v>
      </c>
      <c r="B257" s="4" t="s">
        <v>405</v>
      </c>
      <c r="C257" s="4" t="s">
        <v>406</v>
      </c>
      <c r="D257" s="4" t="s">
        <v>26</v>
      </c>
      <c r="E257" s="4" t="s">
        <v>17</v>
      </c>
      <c r="F257" s="4">
        <v>144</v>
      </c>
      <c r="G257" s="7">
        <v>42507</v>
      </c>
      <c r="H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>
        <v>23518</v>
      </c>
      <c r="B258" s="4" t="s">
        <v>407</v>
      </c>
      <c r="C258" s="4" t="s">
        <v>408</v>
      </c>
      <c r="D258" s="4" t="s">
        <v>34</v>
      </c>
      <c r="E258" s="4" t="s">
        <v>59</v>
      </c>
      <c r="F258" s="4">
        <v>2</v>
      </c>
      <c r="G258" s="7">
        <v>42492</v>
      </c>
      <c r="H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>
        <v>23519</v>
      </c>
      <c r="B259" s="4" t="s">
        <v>409</v>
      </c>
      <c r="C259" s="4" t="s">
        <v>369</v>
      </c>
      <c r="D259" s="4" t="s">
        <v>16</v>
      </c>
      <c r="E259" s="4" t="s">
        <v>10</v>
      </c>
      <c r="F259" s="4">
        <v>20</v>
      </c>
      <c r="G259" s="7">
        <v>42469</v>
      </c>
      <c r="H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>
        <v>23520</v>
      </c>
      <c r="B260" s="4" t="s">
        <v>410</v>
      </c>
      <c r="C260" s="4" t="s">
        <v>140</v>
      </c>
      <c r="D260" s="4" t="s">
        <v>23</v>
      </c>
      <c r="E260" s="4" t="s">
        <v>10</v>
      </c>
      <c r="F260" s="4">
        <v>133</v>
      </c>
      <c r="G260" s="7">
        <v>42489</v>
      </c>
      <c r="H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>
        <v>23521</v>
      </c>
      <c r="B261" s="4" t="s">
        <v>411</v>
      </c>
      <c r="C261" s="4" t="s">
        <v>412</v>
      </c>
      <c r="D261" s="4" t="s">
        <v>29</v>
      </c>
      <c r="E261" s="4" t="s">
        <v>17</v>
      </c>
      <c r="F261" s="4">
        <v>188</v>
      </c>
      <c r="G261" s="7">
        <v>42478</v>
      </c>
      <c r="H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>
        <v>23522</v>
      </c>
      <c r="B262" s="4" t="s">
        <v>413</v>
      </c>
      <c r="C262" s="4" t="s">
        <v>323</v>
      </c>
      <c r="D262" s="4" t="s">
        <v>58</v>
      </c>
      <c r="E262" s="4" t="s">
        <v>17</v>
      </c>
      <c r="F262" s="4">
        <v>105</v>
      </c>
      <c r="G262" s="7">
        <v>42503</v>
      </c>
      <c r="H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>
        <v>23523</v>
      </c>
      <c r="B263" s="4" t="s">
        <v>414</v>
      </c>
      <c r="C263" s="4" t="s">
        <v>401</v>
      </c>
      <c r="D263" s="4" t="s">
        <v>13</v>
      </c>
      <c r="E263" s="4" t="s">
        <v>17</v>
      </c>
      <c r="F263" s="4">
        <v>181</v>
      </c>
      <c r="G263" s="7">
        <v>42473</v>
      </c>
      <c r="H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>
        <v>23524</v>
      </c>
      <c r="B264" s="4" t="s">
        <v>415</v>
      </c>
      <c r="C264" s="4" t="s">
        <v>63</v>
      </c>
      <c r="D264" s="4" t="s">
        <v>23</v>
      </c>
      <c r="E264" s="4" t="s">
        <v>10</v>
      </c>
      <c r="F264" s="4">
        <v>115</v>
      </c>
      <c r="G264" s="7">
        <v>42512</v>
      </c>
      <c r="H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>
        <v>23525</v>
      </c>
      <c r="B265" s="4" t="s">
        <v>416</v>
      </c>
      <c r="C265" s="4" t="s">
        <v>114</v>
      </c>
      <c r="D265" s="4" t="s">
        <v>46</v>
      </c>
      <c r="E265" s="4" t="s">
        <v>10</v>
      </c>
      <c r="F265" s="4">
        <v>167</v>
      </c>
      <c r="G265" s="7">
        <v>42497</v>
      </c>
      <c r="H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>
        <v>23526</v>
      </c>
      <c r="B266" s="4" t="s">
        <v>417</v>
      </c>
      <c r="C266" s="4" t="s">
        <v>390</v>
      </c>
      <c r="D266" s="4" t="s">
        <v>34</v>
      </c>
      <c r="E266" s="4" t="s">
        <v>10</v>
      </c>
      <c r="F266" s="4">
        <v>44</v>
      </c>
      <c r="G266" s="7">
        <v>42517</v>
      </c>
      <c r="H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>
        <v>23527</v>
      </c>
      <c r="B267" s="4" t="s">
        <v>418</v>
      </c>
      <c r="C267" s="4" t="s">
        <v>161</v>
      </c>
      <c r="D267" s="4" t="s">
        <v>20</v>
      </c>
      <c r="E267" s="4" t="s">
        <v>10</v>
      </c>
      <c r="F267" s="4">
        <v>124</v>
      </c>
      <c r="G267" s="7">
        <v>42502</v>
      </c>
      <c r="H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>
        <v>23528</v>
      </c>
      <c r="B268" s="4" t="s">
        <v>419</v>
      </c>
      <c r="C268" s="4" t="s">
        <v>148</v>
      </c>
      <c r="D268" s="4" t="s">
        <v>23</v>
      </c>
      <c r="E268" s="4" t="s">
        <v>10</v>
      </c>
      <c r="F268" s="4">
        <v>41</v>
      </c>
      <c r="G268" s="7">
        <v>42480</v>
      </c>
      <c r="H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>
        <v>23529</v>
      </c>
      <c r="B269" s="4" t="s">
        <v>420</v>
      </c>
      <c r="C269" s="4" t="s">
        <v>121</v>
      </c>
      <c r="D269" s="4" t="s">
        <v>20</v>
      </c>
      <c r="E269" s="4" t="s">
        <v>10</v>
      </c>
      <c r="F269" s="4">
        <v>160</v>
      </c>
      <c r="G269" s="7">
        <v>42514</v>
      </c>
      <c r="H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>
        <v>23530</v>
      </c>
      <c r="B270" s="4" t="s">
        <v>421</v>
      </c>
      <c r="C270" s="4" t="s">
        <v>422</v>
      </c>
      <c r="D270" s="4" t="s">
        <v>46</v>
      </c>
      <c r="E270" s="4" t="s">
        <v>17</v>
      </c>
      <c r="F270" s="4">
        <v>160</v>
      </c>
      <c r="G270" s="7">
        <v>42520</v>
      </c>
      <c r="H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>
        <v>23531</v>
      </c>
      <c r="B271" s="4" t="s">
        <v>423</v>
      </c>
      <c r="C271" s="4" t="s">
        <v>140</v>
      </c>
      <c r="D271" s="4" t="s">
        <v>26</v>
      </c>
      <c r="E271" s="4" t="s">
        <v>10</v>
      </c>
      <c r="F271" s="4">
        <v>7</v>
      </c>
      <c r="G271" s="7">
        <v>42468</v>
      </c>
      <c r="H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>
        <v>23532</v>
      </c>
      <c r="B272" s="4" t="s">
        <v>424</v>
      </c>
      <c r="C272" s="4" t="s">
        <v>92</v>
      </c>
      <c r="D272" s="4" t="s">
        <v>51</v>
      </c>
      <c r="E272" s="4" t="s">
        <v>59</v>
      </c>
      <c r="F272" s="4">
        <v>151</v>
      </c>
      <c r="G272" s="7">
        <v>42474</v>
      </c>
      <c r="H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>
        <v>23533</v>
      </c>
      <c r="B273" s="4" t="s">
        <v>425</v>
      </c>
      <c r="C273" s="4" t="s">
        <v>341</v>
      </c>
      <c r="D273" s="4" t="s">
        <v>34</v>
      </c>
      <c r="E273" s="4" t="s">
        <v>10</v>
      </c>
      <c r="F273" s="4">
        <v>155</v>
      </c>
      <c r="G273" s="7">
        <v>42480</v>
      </c>
      <c r="H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>
        <v>23534</v>
      </c>
      <c r="B274" s="4" t="s">
        <v>426</v>
      </c>
      <c r="C274" s="4" t="s">
        <v>100</v>
      </c>
      <c r="D274" s="4" t="s">
        <v>29</v>
      </c>
      <c r="E274" s="4" t="s">
        <v>10</v>
      </c>
      <c r="F274" s="4">
        <v>4</v>
      </c>
      <c r="G274" s="7">
        <v>42484</v>
      </c>
      <c r="H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>
        <v>23535</v>
      </c>
      <c r="B275" s="4" t="s">
        <v>427</v>
      </c>
      <c r="C275" s="4" t="s">
        <v>152</v>
      </c>
      <c r="D275" s="4" t="s">
        <v>20</v>
      </c>
      <c r="E275" s="4" t="s">
        <v>10</v>
      </c>
      <c r="F275" s="4">
        <v>159</v>
      </c>
      <c r="G275" s="7">
        <v>42510</v>
      </c>
      <c r="H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>
        <v>23536</v>
      </c>
      <c r="B276" s="4" t="s">
        <v>428</v>
      </c>
      <c r="C276" s="4" t="s">
        <v>429</v>
      </c>
      <c r="D276" s="4" t="s">
        <v>58</v>
      </c>
      <c r="E276" s="4" t="s">
        <v>10</v>
      </c>
      <c r="F276" s="4">
        <v>86</v>
      </c>
      <c r="G276" s="7">
        <v>42481</v>
      </c>
      <c r="H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>
        <v>23537</v>
      </c>
      <c r="B277" s="4" t="s">
        <v>430</v>
      </c>
      <c r="C277" s="4" t="s">
        <v>12</v>
      </c>
      <c r="D277" s="4" t="s">
        <v>16</v>
      </c>
      <c r="E277" s="4" t="s">
        <v>17</v>
      </c>
      <c r="F277" s="4">
        <v>73</v>
      </c>
      <c r="G277" s="7">
        <v>42470</v>
      </c>
      <c r="H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>
        <v>23538</v>
      </c>
      <c r="B278" s="4" t="s">
        <v>431</v>
      </c>
      <c r="C278" s="4" t="s">
        <v>283</v>
      </c>
      <c r="D278" s="4" t="s">
        <v>29</v>
      </c>
      <c r="E278" s="4" t="s">
        <v>59</v>
      </c>
      <c r="F278" s="4">
        <v>13</v>
      </c>
      <c r="G278" s="7">
        <v>42491</v>
      </c>
      <c r="H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>
        <v>23539</v>
      </c>
      <c r="B279" s="4" t="s">
        <v>432</v>
      </c>
      <c r="C279" s="4" t="s">
        <v>83</v>
      </c>
      <c r="D279" s="4" t="s">
        <v>23</v>
      </c>
      <c r="E279" s="4" t="s">
        <v>10</v>
      </c>
      <c r="F279" s="4">
        <v>172</v>
      </c>
      <c r="G279" s="7">
        <v>42489</v>
      </c>
      <c r="H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>
        <v>23540</v>
      </c>
      <c r="B280" s="4" t="s">
        <v>433</v>
      </c>
      <c r="C280" s="4" t="s">
        <v>434</v>
      </c>
      <c r="D280" s="4" t="s">
        <v>16</v>
      </c>
      <c r="E280" s="4" t="s">
        <v>10</v>
      </c>
      <c r="F280" s="4">
        <v>7</v>
      </c>
      <c r="G280" s="7">
        <v>42506</v>
      </c>
      <c r="H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>
        <v>23541</v>
      </c>
      <c r="B281" s="4" t="s">
        <v>435</v>
      </c>
      <c r="C281" s="4" t="s">
        <v>366</v>
      </c>
      <c r="D281" s="4" t="s">
        <v>23</v>
      </c>
      <c r="E281" s="4" t="s">
        <v>17</v>
      </c>
      <c r="F281" s="4">
        <v>127</v>
      </c>
      <c r="G281" s="7">
        <v>42500</v>
      </c>
      <c r="H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>
        <v>23542</v>
      </c>
      <c r="B282" s="4" t="s">
        <v>436</v>
      </c>
      <c r="C282" s="4" t="s">
        <v>19</v>
      </c>
      <c r="D282" s="4" t="s">
        <v>58</v>
      </c>
      <c r="E282" s="4" t="s">
        <v>10</v>
      </c>
      <c r="F282" s="4">
        <v>123</v>
      </c>
      <c r="G282" s="7">
        <v>42484</v>
      </c>
      <c r="H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>
        <v>23543</v>
      </c>
      <c r="B283" s="4" t="s">
        <v>437</v>
      </c>
      <c r="C283" s="4" t="s">
        <v>77</v>
      </c>
      <c r="D283" s="4" t="s">
        <v>9</v>
      </c>
      <c r="E283" s="4" t="s">
        <v>10</v>
      </c>
      <c r="F283" s="4">
        <v>137</v>
      </c>
      <c r="G283" s="7">
        <v>42496</v>
      </c>
      <c r="H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>
        <v>23544</v>
      </c>
      <c r="B284" s="4" t="s">
        <v>438</v>
      </c>
      <c r="C284" s="4" t="s">
        <v>83</v>
      </c>
      <c r="D284" s="4" t="s">
        <v>16</v>
      </c>
      <c r="E284" s="4" t="s">
        <v>10</v>
      </c>
      <c r="F284" s="4">
        <v>58</v>
      </c>
      <c r="G284" s="7">
        <v>42507</v>
      </c>
      <c r="H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>
        <v>23545</v>
      </c>
      <c r="B285" s="4" t="s">
        <v>439</v>
      </c>
      <c r="C285" s="4" t="s">
        <v>144</v>
      </c>
      <c r="D285" s="4" t="s">
        <v>16</v>
      </c>
      <c r="E285" s="4" t="s">
        <v>10</v>
      </c>
      <c r="F285" s="4">
        <v>134</v>
      </c>
      <c r="G285" s="7">
        <v>42520</v>
      </c>
      <c r="H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>
        <v>23546</v>
      </c>
      <c r="B286" s="4" t="s">
        <v>440</v>
      </c>
      <c r="C286" s="4" t="s">
        <v>97</v>
      </c>
      <c r="D286" s="4" t="s">
        <v>46</v>
      </c>
      <c r="E286" s="4" t="s">
        <v>10</v>
      </c>
      <c r="F286" s="4">
        <v>109</v>
      </c>
      <c r="G286" s="7">
        <v>42492</v>
      </c>
      <c r="H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>
        <v>23547</v>
      </c>
      <c r="B287" s="4" t="s">
        <v>441</v>
      </c>
      <c r="C287" s="4" t="s">
        <v>442</v>
      </c>
      <c r="D287" s="4" t="s">
        <v>26</v>
      </c>
      <c r="E287" s="4" t="s">
        <v>10</v>
      </c>
      <c r="F287" s="4">
        <v>28</v>
      </c>
      <c r="G287" s="7">
        <v>42519</v>
      </c>
      <c r="H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>
        <v>23548</v>
      </c>
      <c r="B288" s="4" t="s">
        <v>443</v>
      </c>
      <c r="C288" s="4" t="s">
        <v>444</v>
      </c>
      <c r="D288" s="4" t="s">
        <v>46</v>
      </c>
      <c r="E288" s="4" t="s">
        <v>10</v>
      </c>
      <c r="F288" s="4">
        <v>6</v>
      </c>
      <c r="G288" s="7">
        <v>42461</v>
      </c>
      <c r="H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>
        <v>23549</v>
      </c>
      <c r="B289" s="4" t="s">
        <v>445</v>
      </c>
      <c r="C289" s="4" t="s">
        <v>104</v>
      </c>
      <c r="D289" s="4" t="s">
        <v>16</v>
      </c>
      <c r="E289" s="4" t="s">
        <v>10</v>
      </c>
      <c r="F289" s="4">
        <v>184</v>
      </c>
      <c r="G289" s="7">
        <v>42516</v>
      </c>
      <c r="H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>
        <v>23550</v>
      </c>
      <c r="B290" s="4" t="s">
        <v>446</v>
      </c>
      <c r="C290" s="4" t="s">
        <v>114</v>
      </c>
      <c r="D290" s="4" t="s">
        <v>34</v>
      </c>
      <c r="E290" s="4" t="s">
        <v>17</v>
      </c>
      <c r="F290" s="4">
        <v>128</v>
      </c>
      <c r="G290" s="7">
        <v>42480</v>
      </c>
      <c r="H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>
        <v>23551</v>
      </c>
      <c r="B291" s="4" t="s">
        <v>447</v>
      </c>
      <c r="C291" s="4" t="s">
        <v>61</v>
      </c>
      <c r="D291" s="4" t="s">
        <v>58</v>
      </c>
      <c r="E291" s="4" t="s">
        <v>10</v>
      </c>
      <c r="F291" s="4">
        <v>17</v>
      </c>
      <c r="G291" s="7">
        <v>42472</v>
      </c>
      <c r="H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>
        <v>23552</v>
      </c>
      <c r="B292" s="4" t="s">
        <v>448</v>
      </c>
      <c r="C292" s="4" t="s">
        <v>208</v>
      </c>
      <c r="D292" s="4" t="s">
        <v>23</v>
      </c>
      <c r="E292" s="4" t="s">
        <v>10</v>
      </c>
      <c r="F292" s="4">
        <v>162</v>
      </c>
      <c r="G292" s="7">
        <v>42479</v>
      </c>
      <c r="H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>
        <v>23553</v>
      </c>
      <c r="B293" s="4" t="s">
        <v>449</v>
      </c>
      <c r="C293" s="4" t="s">
        <v>434</v>
      </c>
      <c r="D293" s="4" t="s">
        <v>23</v>
      </c>
      <c r="E293" s="4" t="s">
        <v>17</v>
      </c>
      <c r="F293" s="4">
        <v>90</v>
      </c>
      <c r="G293" s="7">
        <v>42476</v>
      </c>
      <c r="H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>
        <v>23554</v>
      </c>
      <c r="B294" s="4" t="s">
        <v>450</v>
      </c>
      <c r="C294" s="4" t="s">
        <v>252</v>
      </c>
      <c r="D294" s="4" t="s">
        <v>29</v>
      </c>
      <c r="E294" s="4" t="s">
        <v>10</v>
      </c>
      <c r="F294" s="4">
        <v>204</v>
      </c>
      <c r="G294" s="7">
        <v>42512</v>
      </c>
      <c r="H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>
        <v>23555</v>
      </c>
      <c r="B295" s="4" t="s">
        <v>451</v>
      </c>
      <c r="C295" s="4" t="s">
        <v>157</v>
      </c>
      <c r="D295" s="4" t="s">
        <v>13</v>
      </c>
      <c r="E295" s="4" t="s">
        <v>17</v>
      </c>
      <c r="F295" s="4">
        <v>117</v>
      </c>
      <c r="G295" s="7">
        <v>42517</v>
      </c>
      <c r="H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>
        <v>23556</v>
      </c>
      <c r="B296" s="4" t="s">
        <v>452</v>
      </c>
      <c r="C296" s="4" t="s">
        <v>453</v>
      </c>
      <c r="D296" s="4" t="s">
        <v>23</v>
      </c>
      <c r="E296" s="4" t="s">
        <v>17</v>
      </c>
      <c r="F296" s="4">
        <v>121</v>
      </c>
      <c r="G296" s="7">
        <v>42518</v>
      </c>
      <c r="H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>
        <v>23557</v>
      </c>
      <c r="B297" s="4" t="s">
        <v>454</v>
      </c>
      <c r="C297" s="4" t="s">
        <v>90</v>
      </c>
      <c r="D297" s="4" t="s">
        <v>20</v>
      </c>
      <c r="E297" s="4" t="s">
        <v>17</v>
      </c>
      <c r="F297" s="4">
        <v>45</v>
      </c>
      <c r="G297" s="7">
        <v>42518</v>
      </c>
      <c r="H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>
        <v>23558</v>
      </c>
      <c r="B298" s="4" t="s">
        <v>455</v>
      </c>
      <c r="C298" s="4" t="s">
        <v>456</v>
      </c>
      <c r="D298" s="4" t="s">
        <v>20</v>
      </c>
      <c r="E298" s="4" t="s">
        <v>10</v>
      </c>
      <c r="F298" s="4">
        <v>164</v>
      </c>
      <c r="G298" s="7">
        <v>42505</v>
      </c>
      <c r="H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>
        <v>23559</v>
      </c>
      <c r="B299" s="4" t="s">
        <v>457</v>
      </c>
      <c r="C299" s="4" t="s">
        <v>40</v>
      </c>
      <c r="D299" s="4" t="s">
        <v>34</v>
      </c>
      <c r="E299" s="4" t="s">
        <v>10</v>
      </c>
      <c r="F299" s="4">
        <v>76</v>
      </c>
      <c r="G299" s="7">
        <v>42469</v>
      </c>
      <c r="H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>
        <v>23560</v>
      </c>
      <c r="B300" s="4" t="s">
        <v>458</v>
      </c>
      <c r="C300" s="4" t="s">
        <v>12</v>
      </c>
      <c r="D300" s="4" t="s">
        <v>9</v>
      </c>
      <c r="E300" s="4" t="s">
        <v>59</v>
      </c>
      <c r="F300" s="4">
        <v>212</v>
      </c>
      <c r="G300" s="7">
        <v>42492</v>
      </c>
      <c r="H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>
        <v>23561</v>
      </c>
      <c r="B301" s="4" t="s">
        <v>459</v>
      </c>
      <c r="C301" s="4" t="s">
        <v>83</v>
      </c>
      <c r="D301" s="4" t="s">
        <v>20</v>
      </c>
      <c r="E301" s="4" t="s">
        <v>17</v>
      </c>
      <c r="F301" s="4">
        <v>91</v>
      </c>
      <c r="G301" s="7">
        <v>42492</v>
      </c>
      <c r="H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>
        <v>23562</v>
      </c>
      <c r="B302" s="4" t="s">
        <v>460</v>
      </c>
      <c r="C302" s="4" t="s">
        <v>148</v>
      </c>
      <c r="D302" s="4" t="s">
        <v>26</v>
      </c>
      <c r="E302" s="4" t="s">
        <v>10</v>
      </c>
      <c r="F302" s="4">
        <v>198</v>
      </c>
      <c r="G302" s="7">
        <v>42486</v>
      </c>
      <c r="H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>
        <v>23563</v>
      </c>
      <c r="B303" s="4" t="s">
        <v>461</v>
      </c>
      <c r="C303" s="4" t="s">
        <v>146</v>
      </c>
      <c r="D303" s="4" t="s">
        <v>26</v>
      </c>
      <c r="E303" s="4" t="s">
        <v>10</v>
      </c>
      <c r="F303" s="4">
        <v>202</v>
      </c>
      <c r="G303" s="7">
        <v>42484</v>
      </c>
      <c r="H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>
        <v>23564</v>
      </c>
      <c r="B304" s="4" t="s">
        <v>462</v>
      </c>
      <c r="C304" s="4" t="s">
        <v>61</v>
      </c>
      <c r="D304" s="4" t="s">
        <v>26</v>
      </c>
      <c r="E304" s="4" t="s">
        <v>10</v>
      </c>
      <c r="F304" s="4">
        <v>136</v>
      </c>
      <c r="G304" s="7">
        <v>42481</v>
      </c>
      <c r="H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>
        <v>23565</v>
      </c>
      <c r="B305" s="4" t="s">
        <v>463</v>
      </c>
      <c r="C305" s="4" t="s">
        <v>131</v>
      </c>
      <c r="D305" s="4" t="s">
        <v>16</v>
      </c>
      <c r="E305" s="4" t="s">
        <v>10</v>
      </c>
      <c r="F305" s="4">
        <v>70</v>
      </c>
      <c r="G305" s="7">
        <v>42498</v>
      </c>
      <c r="H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>
        <v>23566</v>
      </c>
      <c r="B306" s="4" t="s">
        <v>464</v>
      </c>
      <c r="C306" s="4" t="s">
        <v>465</v>
      </c>
      <c r="D306" s="4" t="s">
        <v>46</v>
      </c>
      <c r="E306" s="4" t="s">
        <v>17</v>
      </c>
      <c r="F306" s="4">
        <v>95</v>
      </c>
      <c r="G306" s="7">
        <v>42511</v>
      </c>
      <c r="H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>
        <v>23567</v>
      </c>
      <c r="B307" s="4" t="s">
        <v>466</v>
      </c>
      <c r="C307" s="4" t="s">
        <v>57</v>
      </c>
      <c r="D307" s="4" t="s">
        <v>34</v>
      </c>
      <c r="E307" s="4" t="s">
        <v>17</v>
      </c>
      <c r="F307" s="4">
        <v>150</v>
      </c>
      <c r="G307" s="7">
        <v>42471</v>
      </c>
      <c r="H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>
        <v>23568</v>
      </c>
      <c r="B308" s="4" t="s">
        <v>467</v>
      </c>
      <c r="C308" s="4" t="s">
        <v>220</v>
      </c>
      <c r="D308" s="4" t="s">
        <v>20</v>
      </c>
      <c r="E308" s="4" t="s">
        <v>10</v>
      </c>
      <c r="F308" s="4">
        <v>146</v>
      </c>
      <c r="G308" s="7">
        <v>42481</v>
      </c>
      <c r="H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>
        <v>23569</v>
      </c>
      <c r="B309" s="4" t="s">
        <v>468</v>
      </c>
      <c r="C309" s="4" t="s">
        <v>270</v>
      </c>
      <c r="D309" s="4" t="s">
        <v>23</v>
      </c>
      <c r="E309" s="4" t="s">
        <v>59</v>
      </c>
      <c r="F309" s="4">
        <v>9</v>
      </c>
      <c r="G309" s="7">
        <v>42474</v>
      </c>
      <c r="H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>
        <v>23570</v>
      </c>
      <c r="B310" s="4" t="s">
        <v>469</v>
      </c>
      <c r="C310" s="4" t="s">
        <v>114</v>
      </c>
      <c r="D310" s="4" t="s">
        <v>26</v>
      </c>
      <c r="E310" s="4" t="s">
        <v>10</v>
      </c>
      <c r="F310" s="4">
        <v>68</v>
      </c>
      <c r="G310" s="7">
        <v>42465</v>
      </c>
      <c r="H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>
        <v>23571</v>
      </c>
      <c r="B311" s="4" t="s">
        <v>470</v>
      </c>
      <c r="C311" s="4" t="s">
        <v>434</v>
      </c>
      <c r="D311" s="4" t="s">
        <v>20</v>
      </c>
      <c r="E311" s="4" t="s">
        <v>10</v>
      </c>
      <c r="F311" s="4">
        <v>71</v>
      </c>
      <c r="G311" s="7">
        <v>42504</v>
      </c>
      <c r="H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>
        <v>23572</v>
      </c>
      <c r="B312" s="4" t="s">
        <v>471</v>
      </c>
      <c r="C312" s="4" t="s">
        <v>472</v>
      </c>
      <c r="D312" s="4" t="s">
        <v>13</v>
      </c>
      <c r="E312" s="4" t="s">
        <v>17</v>
      </c>
      <c r="F312" s="4">
        <v>72</v>
      </c>
      <c r="G312" s="7">
        <v>42494</v>
      </c>
      <c r="H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>
        <v>23573</v>
      </c>
      <c r="B313" s="4" t="s">
        <v>473</v>
      </c>
      <c r="C313" s="4" t="s">
        <v>125</v>
      </c>
      <c r="D313" s="4" t="s">
        <v>58</v>
      </c>
      <c r="E313" s="4" t="s">
        <v>10</v>
      </c>
      <c r="F313" s="4">
        <v>67</v>
      </c>
      <c r="G313" s="7">
        <v>42499</v>
      </c>
      <c r="H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>
        <v>23574</v>
      </c>
      <c r="B314" s="4" t="s">
        <v>474</v>
      </c>
      <c r="C314" s="4" t="s">
        <v>307</v>
      </c>
      <c r="D314" s="4" t="s">
        <v>23</v>
      </c>
      <c r="E314" s="4" t="s">
        <v>17</v>
      </c>
      <c r="F314" s="4">
        <v>33</v>
      </c>
      <c r="G314" s="7">
        <v>42504</v>
      </c>
      <c r="H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>
        <v>23575</v>
      </c>
      <c r="B315" s="4" t="s">
        <v>475</v>
      </c>
      <c r="C315" s="4" t="s">
        <v>142</v>
      </c>
      <c r="D315" s="4" t="s">
        <v>16</v>
      </c>
      <c r="E315" s="4" t="s">
        <v>17</v>
      </c>
      <c r="F315" s="4">
        <v>29</v>
      </c>
      <c r="G315" s="7">
        <v>42497</v>
      </c>
      <c r="H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>
        <v>23576</v>
      </c>
      <c r="B316" s="4" t="s">
        <v>476</v>
      </c>
      <c r="C316" s="4" t="s">
        <v>61</v>
      </c>
      <c r="D316" s="4" t="s">
        <v>23</v>
      </c>
      <c r="E316" s="4" t="s">
        <v>17</v>
      </c>
      <c r="F316" s="4">
        <v>199</v>
      </c>
      <c r="G316" s="7">
        <v>42511</v>
      </c>
      <c r="H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>
        <v>23577</v>
      </c>
      <c r="B317" s="4" t="s">
        <v>477</v>
      </c>
      <c r="C317" s="4" t="s">
        <v>276</v>
      </c>
      <c r="D317" s="4" t="s">
        <v>9</v>
      </c>
      <c r="E317" s="4" t="s">
        <v>10</v>
      </c>
      <c r="F317" s="4">
        <v>62</v>
      </c>
      <c r="G317" s="7">
        <v>42466</v>
      </c>
      <c r="H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>
        <v>23578</v>
      </c>
      <c r="B318" s="4" t="s">
        <v>478</v>
      </c>
      <c r="C318" s="4" t="s">
        <v>390</v>
      </c>
      <c r="D318" s="4" t="s">
        <v>9</v>
      </c>
      <c r="E318" s="4" t="s">
        <v>10</v>
      </c>
      <c r="F318" s="4">
        <v>119</v>
      </c>
      <c r="G318" s="7">
        <v>42500</v>
      </c>
      <c r="H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>
        <v>23579</v>
      </c>
      <c r="B319" s="4" t="s">
        <v>479</v>
      </c>
      <c r="C319" s="4" t="s">
        <v>193</v>
      </c>
      <c r="D319" s="4" t="s">
        <v>23</v>
      </c>
      <c r="E319" s="4" t="s">
        <v>10</v>
      </c>
      <c r="F319" s="4">
        <v>50</v>
      </c>
      <c r="G319" s="7">
        <v>42464</v>
      </c>
      <c r="H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>
        <v>23580</v>
      </c>
      <c r="B320" s="4" t="s">
        <v>480</v>
      </c>
      <c r="C320" s="4" t="s">
        <v>481</v>
      </c>
      <c r="D320" s="4" t="s">
        <v>16</v>
      </c>
      <c r="E320" s="4" t="s">
        <v>10</v>
      </c>
      <c r="F320" s="4">
        <v>1</v>
      </c>
      <c r="G320" s="7">
        <v>42506</v>
      </c>
      <c r="H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>
        <v>23581</v>
      </c>
      <c r="B321" s="4" t="s">
        <v>482</v>
      </c>
      <c r="C321" s="4" t="s">
        <v>97</v>
      </c>
      <c r="D321" s="4" t="s">
        <v>23</v>
      </c>
      <c r="E321" s="4" t="s">
        <v>10</v>
      </c>
      <c r="F321" s="4">
        <v>75</v>
      </c>
      <c r="G321" s="7">
        <v>42502</v>
      </c>
      <c r="H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>
        <v>23582</v>
      </c>
      <c r="B322" s="4" t="s">
        <v>483</v>
      </c>
      <c r="C322" s="4" t="s">
        <v>406</v>
      </c>
      <c r="D322" s="4" t="s">
        <v>26</v>
      </c>
      <c r="E322" s="4" t="s">
        <v>59</v>
      </c>
      <c r="F322" s="4">
        <v>146</v>
      </c>
      <c r="G322" s="7">
        <v>42502</v>
      </c>
      <c r="H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>
        <v>23583</v>
      </c>
      <c r="B323" s="4" t="s">
        <v>484</v>
      </c>
      <c r="C323" s="4" t="s">
        <v>172</v>
      </c>
      <c r="D323" s="4" t="s">
        <v>29</v>
      </c>
      <c r="E323" s="4" t="s">
        <v>17</v>
      </c>
      <c r="F323" s="4">
        <v>55</v>
      </c>
      <c r="G323" s="7">
        <v>42495</v>
      </c>
      <c r="H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>
        <v>23584</v>
      </c>
      <c r="B324" s="4" t="s">
        <v>485</v>
      </c>
      <c r="C324" s="4" t="s">
        <v>40</v>
      </c>
      <c r="D324" s="4" t="s">
        <v>58</v>
      </c>
      <c r="E324" s="4" t="s">
        <v>17</v>
      </c>
      <c r="F324" s="4">
        <v>11</v>
      </c>
      <c r="G324" s="7">
        <v>42484</v>
      </c>
      <c r="H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>
        <v>23585</v>
      </c>
      <c r="B325" s="4" t="s">
        <v>486</v>
      </c>
      <c r="C325" s="4" t="s">
        <v>472</v>
      </c>
      <c r="D325" s="4" t="s">
        <v>29</v>
      </c>
      <c r="E325" s="4" t="s">
        <v>10</v>
      </c>
      <c r="F325" s="4">
        <v>164</v>
      </c>
      <c r="G325" s="7">
        <v>42505</v>
      </c>
      <c r="H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>
        <v>23586</v>
      </c>
      <c r="B326" s="4" t="s">
        <v>487</v>
      </c>
      <c r="C326" s="4" t="s">
        <v>172</v>
      </c>
      <c r="D326" s="4" t="s">
        <v>29</v>
      </c>
      <c r="E326" s="4" t="s">
        <v>10</v>
      </c>
      <c r="F326" s="4">
        <v>175</v>
      </c>
      <c r="G326" s="7">
        <v>42498</v>
      </c>
      <c r="H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>
        <v>23587</v>
      </c>
      <c r="B327" s="4" t="s">
        <v>488</v>
      </c>
      <c r="C327" s="4" t="s">
        <v>212</v>
      </c>
      <c r="D327" s="4" t="s">
        <v>20</v>
      </c>
      <c r="E327" s="4" t="s">
        <v>17</v>
      </c>
      <c r="F327" s="4">
        <v>102</v>
      </c>
      <c r="G327" s="7">
        <v>42466</v>
      </c>
      <c r="H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>
        <v>23588</v>
      </c>
      <c r="B328" s="4" t="s">
        <v>489</v>
      </c>
      <c r="C328" s="4" t="s">
        <v>490</v>
      </c>
      <c r="D328" s="4" t="s">
        <v>23</v>
      </c>
      <c r="E328" s="4" t="s">
        <v>17</v>
      </c>
      <c r="F328" s="4">
        <v>59</v>
      </c>
      <c r="G328" s="7">
        <v>42505</v>
      </c>
      <c r="H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>
        <v>23589</v>
      </c>
      <c r="B329" s="4" t="s">
        <v>491</v>
      </c>
      <c r="C329" s="4" t="s">
        <v>168</v>
      </c>
      <c r="D329" s="4" t="s">
        <v>16</v>
      </c>
      <c r="E329" s="4" t="s">
        <v>17</v>
      </c>
      <c r="F329" s="4">
        <v>111</v>
      </c>
      <c r="G329" s="7">
        <v>42477</v>
      </c>
      <c r="H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>
        <v>23590</v>
      </c>
      <c r="B330" s="4" t="s">
        <v>492</v>
      </c>
      <c r="C330" s="4" t="s">
        <v>369</v>
      </c>
      <c r="D330" s="4" t="s">
        <v>20</v>
      </c>
      <c r="E330" s="4" t="s">
        <v>17</v>
      </c>
      <c r="F330" s="4">
        <v>148</v>
      </c>
      <c r="G330" s="7">
        <v>42502</v>
      </c>
      <c r="H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>
        <v>23591</v>
      </c>
      <c r="B331" s="4" t="s">
        <v>493</v>
      </c>
      <c r="C331" s="4" t="s">
        <v>104</v>
      </c>
      <c r="D331" s="4" t="s">
        <v>13</v>
      </c>
      <c r="E331" s="4" t="s">
        <v>17</v>
      </c>
      <c r="F331" s="4">
        <v>44</v>
      </c>
      <c r="G331" s="7">
        <v>42477</v>
      </c>
      <c r="H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>
        <v>23592</v>
      </c>
      <c r="B332" s="4" t="s">
        <v>494</v>
      </c>
      <c r="C332" s="4" t="s">
        <v>217</v>
      </c>
      <c r="D332" s="4" t="s">
        <v>23</v>
      </c>
      <c r="E332" s="4" t="s">
        <v>17</v>
      </c>
      <c r="F332" s="4">
        <v>4</v>
      </c>
      <c r="G332" s="7">
        <v>42471</v>
      </c>
      <c r="H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>
        <v>23593</v>
      </c>
      <c r="B333" s="4" t="s">
        <v>495</v>
      </c>
      <c r="C333" s="4" t="s">
        <v>22</v>
      </c>
      <c r="D333" s="4" t="s">
        <v>46</v>
      </c>
      <c r="E333" s="4" t="s">
        <v>10</v>
      </c>
      <c r="F333" s="4">
        <v>202</v>
      </c>
      <c r="G333" s="7">
        <v>42463</v>
      </c>
      <c r="H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>
        <v>23594</v>
      </c>
      <c r="B334" s="4" t="s">
        <v>496</v>
      </c>
      <c r="C334" s="4" t="s">
        <v>263</v>
      </c>
      <c r="D334" s="4" t="s">
        <v>20</v>
      </c>
      <c r="E334" s="4" t="s">
        <v>17</v>
      </c>
      <c r="F334" s="4">
        <v>60</v>
      </c>
      <c r="G334" s="7">
        <v>42470</v>
      </c>
      <c r="H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>
        <v>23595</v>
      </c>
      <c r="B335" s="4" t="s">
        <v>497</v>
      </c>
      <c r="C335" s="4" t="s">
        <v>274</v>
      </c>
      <c r="D335" s="4" t="s">
        <v>29</v>
      </c>
      <c r="E335" s="4" t="s">
        <v>10</v>
      </c>
      <c r="F335" s="4">
        <v>211</v>
      </c>
      <c r="G335" s="7">
        <v>42473</v>
      </c>
      <c r="H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>
        <v>23596</v>
      </c>
      <c r="B336" s="4" t="s">
        <v>498</v>
      </c>
      <c r="C336" s="4" t="s">
        <v>196</v>
      </c>
      <c r="D336" s="4" t="s">
        <v>23</v>
      </c>
      <c r="E336" s="4" t="s">
        <v>17</v>
      </c>
      <c r="F336" s="4">
        <v>111</v>
      </c>
      <c r="G336" s="7">
        <v>42488</v>
      </c>
      <c r="H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>
        <v>23597</v>
      </c>
      <c r="B337" s="4" t="s">
        <v>499</v>
      </c>
      <c r="C337" s="4" t="s">
        <v>28</v>
      </c>
      <c r="D337" s="4" t="s">
        <v>23</v>
      </c>
      <c r="E337" s="4" t="s">
        <v>10</v>
      </c>
      <c r="F337" s="4">
        <v>175</v>
      </c>
      <c r="G337" s="7">
        <v>42473</v>
      </c>
      <c r="H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>
        <v>23598</v>
      </c>
      <c r="B338" s="4" t="s">
        <v>500</v>
      </c>
      <c r="C338" s="4" t="s">
        <v>31</v>
      </c>
      <c r="D338" s="4" t="s">
        <v>34</v>
      </c>
      <c r="E338" s="4" t="s">
        <v>10</v>
      </c>
      <c r="F338" s="4">
        <v>190</v>
      </c>
      <c r="G338" s="7">
        <v>42472</v>
      </c>
      <c r="H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>
        <v>23599</v>
      </c>
      <c r="B339" s="4" t="s">
        <v>501</v>
      </c>
      <c r="C339" s="4" t="s">
        <v>112</v>
      </c>
      <c r="D339" s="4" t="s">
        <v>46</v>
      </c>
      <c r="E339" s="4" t="s">
        <v>17</v>
      </c>
      <c r="F339" s="4">
        <v>41</v>
      </c>
      <c r="G339" s="7">
        <v>42491</v>
      </c>
      <c r="H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>
        <v>23600</v>
      </c>
      <c r="B340" s="4" t="s">
        <v>502</v>
      </c>
      <c r="C340" s="4" t="s">
        <v>94</v>
      </c>
      <c r="D340" s="4" t="s">
        <v>51</v>
      </c>
      <c r="E340" s="4" t="s">
        <v>17</v>
      </c>
      <c r="F340" s="4">
        <v>28</v>
      </c>
      <c r="G340" s="7">
        <v>42475</v>
      </c>
      <c r="H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>
        <v>23601</v>
      </c>
      <c r="B341" s="4" t="s">
        <v>503</v>
      </c>
      <c r="C341" s="4" t="s">
        <v>278</v>
      </c>
      <c r="D341" s="4" t="s">
        <v>51</v>
      </c>
      <c r="E341" s="4" t="s">
        <v>17</v>
      </c>
      <c r="F341" s="4">
        <v>44</v>
      </c>
      <c r="G341" s="7">
        <v>42509</v>
      </c>
      <c r="H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>
        <v>23602</v>
      </c>
      <c r="B342" s="4" t="s">
        <v>504</v>
      </c>
      <c r="C342" s="4" t="s">
        <v>366</v>
      </c>
      <c r="D342" s="4" t="s">
        <v>46</v>
      </c>
      <c r="E342" s="4" t="s">
        <v>10</v>
      </c>
      <c r="F342" s="4">
        <v>107</v>
      </c>
      <c r="G342" s="7">
        <v>42513</v>
      </c>
      <c r="H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>
        <v>23603</v>
      </c>
      <c r="B343" s="4" t="s">
        <v>505</v>
      </c>
      <c r="C343" s="4" t="s">
        <v>236</v>
      </c>
      <c r="D343" s="4" t="s">
        <v>13</v>
      </c>
      <c r="E343" s="4" t="s">
        <v>17</v>
      </c>
      <c r="F343" s="4">
        <v>9</v>
      </c>
      <c r="G343" s="7">
        <v>42478</v>
      </c>
      <c r="H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>
        <v>23604</v>
      </c>
      <c r="B344" s="4" t="s">
        <v>506</v>
      </c>
      <c r="C344" s="4" t="s">
        <v>507</v>
      </c>
      <c r="D344" s="4" t="s">
        <v>16</v>
      </c>
      <c r="E344" s="4" t="s">
        <v>17</v>
      </c>
      <c r="F344" s="4">
        <v>26</v>
      </c>
      <c r="G344" s="7">
        <v>42516</v>
      </c>
      <c r="H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>
        <v>23605</v>
      </c>
      <c r="B345" s="4" t="s">
        <v>508</v>
      </c>
      <c r="C345" s="4" t="s">
        <v>97</v>
      </c>
      <c r="D345" s="4" t="s">
        <v>9</v>
      </c>
      <c r="E345" s="4" t="s">
        <v>17</v>
      </c>
      <c r="F345" s="4">
        <v>79</v>
      </c>
      <c r="G345" s="7">
        <v>42497</v>
      </c>
      <c r="H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>
        <v>23606</v>
      </c>
      <c r="B346" s="4" t="s">
        <v>509</v>
      </c>
      <c r="C346" s="4" t="s">
        <v>97</v>
      </c>
      <c r="D346" s="4" t="s">
        <v>51</v>
      </c>
      <c r="E346" s="4" t="s">
        <v>10</v>
      </c>
      <c r="F346" s="4">
        <v>17</v>
      </c>
      <c r="G346" s="7">
        <v>42479</v>
      </c>
      <c r="H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>
        <v>23607</v>
      </c>
      <c r="B347" s="4" t="s">
        <v>510</v>
      </c>
      <c r="C347" s="4" t="s">
        <v>22</v>
      </c>
      <c r="D347" s="4" t="s">
        <v>16</v>
      </c>
      <c r="E347" s="4" t="s">
        <v>17</v>
      </c>
      <c r="F347" s="4">
        <v>121</v>
      </c>
      <c r="G347" s="7">
        <v>42511</v>
      </c>
      <c r="H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>
        <v>23608</v>
      </c>
      <c r="B348" s="4" t="s">
        <v>511</v>
      </c>
      <c r="C348" s="4" t="s">
        <v>274</v>
      </c>
      <c r="D348" s="4" t="s">
        <v>9</v>
      </c>
      <c r="E348" s="4" t="s">
        <v>10</v>
      </c>
      <c r="F348" s="4">
        <v>116</v>
      </c>
      <c r="G348" s="7">
        <v>42473</v>
      </c>
      <c r="H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>
        <v>23609</v>
      </c>
      <c r="B349" s="4" t="s">
        <v>512</v>
      </c>
      <c r="C349" s="4" t="s">
        <v>100</v>
      </c>
      <c r="D349" s="4" t="s">
        <v>23</v>
      </c>
      <c r="E349" s="4" t="s">
        <v>17</v>
      </c>
      <c r="F349" s="4">
        <v>131</v>
      </c>
      <c r="G349" s="7">
        <v>42491</v>
      </c>
      <c r="H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>
        <v>23610</v>
      </c>
      <c r="B350" s="4" t="s">
        <v>513</v>
      </c>
      <c r="C350" s="4" t="s">
        <v>203</v>
      </c>
      <c r="D350" s="4" t="s">
        <v>34</v>
      </c>
      <c r="E350" s="4" t="s">
        <v>17</v>
      </c>
      <c r="F350" s="4">
        <v>144</v>
      </c>
      <c r="G350" s="7">
        <v>42485</v>
      </c>
      <c r="H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>
        <v>23611</v>
      </c>
      <c r="B351" s="4" t="s">
        <v>514</v>
      </c>
      <c r="C351" s="4" t="s">
        <v>515</v>
      </c>
      <c r="D351" s="4" t="s">
        <v>23</v>
      </c>
      <c r="E351" s="4" t="s">
        <v>10</v>
      </c>
      <c r="F351" s="4">
        <v>102</v>
      </c>
      <c r="G351" s="7">
        <v>42518</v>
      </c>
      <c r="H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>
        <v>23612</v>
      </c>
      <c r="B352" s="4" t="s">
        <v>516</v>
      </c>
      <c r="C352" s="4" t="s">
        <v>38</v>
      </c>
      <c r="D352" s="4" t="s">
        <v>13</v>
      </c>
      <c r="E352" s="4" t="s">
        <v>59</v>
      </c>
      <c r="F352" s="4">
        <v>212</v>
      </c>
      <c r="G352" s="7">
        <v>42492</v>
      </c>
      <c r="H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>
        <v>23613</v>
      </c>
      <c r="B353" s="4" t="s">
        <v>517</v>
      </c>
      <c r="C353" s="4" t="s">
        <v>518</v>
      </c>
      <c r="D353" s="4" t="s">
        <v>9</v>
      </c>
      <c r="E353" s="4" t="s">
        <v>17</v>
      </c>
      <c r="F353" s="4">
        <v>191</v>
      </c>
      <c r="G353" s="7">
        <v>42513</v>
      </c>
      <c r="H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>
        <v>23614</v>
      </c>
      <c r="B354" s="4" t="s">
        <v>519</v>
      </c>
      <c r="C354" s="4" t="s">
        <v>267</v>
      </c>
      <c r="D354" s="4" t="s">
        <v>26</v>
      </c>
      <c r="E354" s="4" t="s">
        <v>17</v>
      </c>
      <c r="F354" s="4">
        <v>172</v>
      </c>
      <c r="G354" s="7">
        <v>42462</v>
      </c>
      <c r="H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>
        <v>23615</v>
      </c>
      <c r="B355" s="4" t="s">
        <v>520</v>
      </c>
      <c r="C355" s="4" t="s">
        <v>521</v>
      </c>
      <c r="D355" s="4" t="s">
        <v>23</v>
      </c>
      <c r="E355" s="4" t="s">
        <v>17</v>
      </c>
      <c r="F355" s="4">
        <v>27</v>
      </c>
      <c r="G355" s="7">
        <v>42495</v>
      </c>
      <c r="H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>
        <v>23616</v>
      </c>
      <c r="B356" s="4" t="s">
        <v>522</v>
      </c>
      <c r="C356" s="4" t="s">
        <v>152</v>
      </c>
      <c r="D356" s="4" t="s">
        <v>20</v>
      </c>
      <c r="E356" s="4" t="s">
        <v>10</v>
      </c>
      <c r="F356" s="4">
        <v>36</v>
      </c>
      <c r="G356" s="7">
        <v>42490</v>
      </c>
      <c r="H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>
        <v>23617</v>
      </c>
      <c r="B357" s="4" t="s">
        <v>523</v>
      </c>
      <c r="C357" s="4" t="s">
        <v>390</v>
      </c>
      <c r="D357" s="4" t="s">
        <v>20</v>
      </c>
      <c r="E357" s="4" t="s">
        <v>17</v>
      </c>
      <c r="F357" s="4">
        <v>191</v>
      </c>
      <c r="G357" s="7">
        <v>42465</v>
      </c>
      <c r="H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>
        <v>23618</v>
      </c>
      <c r="B358" s="4" t="s">
        <v>524</v>
      </c>
      <c r="C358" s="4" t="s">
        <v>345</v>
      </c>
      <c r="D358" s="4" t="s">
        <v>13</v>
      </c>
      <c r="E358" s="4" t="s">
        <v>10</v>
      </c>
      <c r="F358" s="4">
        <v>103</v>
      </c>
      <c r="G358" s="7">
        <v>42482</v>
      </c>
      <c r="H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>
        <v>23619</v>
      </c>
      <c r="B359" s="4" t="s">
        <v>525</v>
      </c>
      <c r="C359" s="4" t="s">
        <v>88</v>
      </c>
      <c r="D359" s="4" t="s">
        <v>20</v>
      </c>
      <c r="E359" s="4" t="s">
        <v>17</v>
      </c>
      <c r="F359" s="4">
        <v>61</v>
      </c>
      <c r="G359" s="7">
        <v>42461</v>
      </c>
      <c r="H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>
        <v>23620</v>
      </c>
      <c r="B360" s="4" t="s">
        <v>526</v>
      </c>
      <c r="C360" s="4" t="s">
        <v>88</v>
      </c>
      <c r="D360" s="4" t="s">
        <v>23</v>
      </c>
      <c r="E360" s="4" t="s">
        <v>17</v>
      </c>
      <c r="F360" s="4">
        <v>197</v>
      </c>
      <c r="G360" s="7">
        <v>42479</v>
      </c>
      <c r="H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>
        <v>23621</v>
      </c>
      <c r="B361" s="4" t="s">
        <v>527</v>
      </c>
      <c r="C361" s="4" t="s">
        <v>181</v>
      </c>
      <c r="D361" s="4" t="s">
        <v>46</v>
      </c>
      <c r="E361" s="4" t="s">
        <v>17</v>
      </c>
      <c r="F361" s="4">
        <v>34</v>
      </c>
      <c r="G361" s="7">
        <v>42496</v>
      </c>
      <c r="H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>
        <v>23622</v>
      </c>
      <c r="B362" s="4" t="s">
        <v>528</v>
      </c>
      <c r="C362" s="4" t="s">
        <v>71</v>
      </c>
      <c r="D362" s="4" t="s">
        <v>58</v>
      </c>
      <c r="E362" s="4" t="s">
        <v>10</v>
      </c>
      <c r="F362" s="4">
        <v>37</v>
      </c>
      <c r="G362" s="7">
        <v>42496</v>
      </c>
      <c r="H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>
        <v>23623</v>
      </c>
      <c r="B363" s="4" t="s">
        <v>529</v>
      </c>
      <c r="C363" s="4" t="s">
        <v>19</v>
      </c>
      <c r="D363" s="4" t="s">
        <v>23</v>
      </c>
      <c r="E363" s="4" t="s">
        <v>10</v>
      </c>
      <c r="F363" s="4">
        <v>181</v>
      </c>
      <c r="G363" s="7">
        <v>42464</v>
      </c>
      <c r="H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>
        <v>23624</v>
      </c>
      <c r="B364" s="4" t="s">
        <v>530</v>
      </c>
      <c r="C364" s="4" t="s">
        <v>112</v>
      </c>
      <c r="D364" s="4" t="s">
        <v>34</v>
      </c>
      <c r="E364" s="4" t="s">
        <v>17</v>
      </c>
      <c r="F364" s="4">
        <v>1</v>
      </c>
      <c r="G364" s="7">
        <v>42500</v>
      </c>
      <c r="H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>
        <v>23625</v>
      </c>
      <c r="B365" s="4" t="s">
        <v>531</v>
      </c>
      <c r="C365" s="4" t="s">
        <v>176</v>
      </c>
      <c r="D365" s="4" t="s">
        <v>29</v>
      </c>
      <c r="E365" s="4" t="s">
        <v>10</v>
      </c>
      <c r="F365" s="4">
        <v>74</v>
      </c>
      <c r="G365" s="7">
        <v>42481</v>
      </c>
      <c r="H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>
        <v>23626</v>
      </c>
      <c r="B366" s="4" t="s">
        <v>532</v>
      </c>
      <c r="C366" s="4" t="s">
        <v>119</v>
      </c>
      <c r="D366" s="4" t="s">
        <v>20</v>
      </c>
      <c r="E366" s="4" t="s">
        <v>17</v>
      </c>
      <c r="F366" s="4">
        <v>17</v>
      </c>
      <c r="G366" s="7">
        <v>42468</v>
      </c>
      <c r="H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>
        <v>23627</v>
      </c>
      <c r="B367" s="4" t="s">
        <v>533</v>
      </c>
      <c r="C367" s="4" t="s">
        <v>220</v>
      </c>
      <c r="D367" s="4" t="s">
        <v>26</v>
      </c>
      <c r="E367" s="4" t="s">
        <v>59</v>
      </c>
      <c r="F367" s="4">
        <v>141</v>
      </c>
      <c r="G367" s="7">
        <v>42466</v>
      </c>
      <c r="H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>
        <v>23628</v>
      </c>
      <c r="B368" s="4" t="s">
        <v>78</v>
      </c>
      <c r="C368" s="4" t="s">
        <v>31</v>
      </c>
      <c r="D368" s="4" t="s">
        <v>46</v>
      </c>
      <c r="E368" s="4" t="s">
        <v>17</v>
      </c>
      <c r="F368" s="4">
        <v>169</v>
      </c>
      <c r="G368" s="7">
        <v>42497</v>
      </c>
      <c r="H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>
        <v>23629</v>
      </c>
      <c r="B369" s="4" t="s">
        <v>534</v>
      </c>
      <c r="C369" s="4" t="s">
        <v>535</v>
      </c>
      <c r="D369" s="4" t="s">
        <v>20</v>
      </c>
      <c r="E369" s="4" t="s">
        <v>17</v>
      </c>
      <c r="F369" s="4">
        <v>79</v>
      </c>
      <c r="G369" s="7">
        <v>42505</v>
      </c>
      <c r="H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>
        <v>23630</v>
      </c>
      <c r="B370" s="4" t="s">
        <v>536</v>
      </c>
      <c r="C370" s="4" t="s">
        <v>77</v>
      </c>
      <c r="D370" s="4" t="s">
        <v>23</v>
      </c>
      <c r="E370" s="4" t="s">
        <v>59</v>
      </c>
      <c r="F370" s="4">
        <v>55</v>
      </c>
      <c r="G370" s="7">
        <v>42504</v>
      </c>
      <c r="H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>
        <v>23631</v>
      </c>
      <c r="B371" s="4" t="s">
        <v>537</v>
      </c>
      <c r="C371" s="4" t="s">
        <v>538</v>
      </c>
      <c r="D371" s="4" t="s">
        <v>29</v>
      </c>
      <c r="E371" s="4" t="s">
        <v>10</v>
      </c>
      <c r="F371" s="4">
        <v>65</v>
      </c>
      <c r="G371" s="7">
        <v>42462</v>
      </c>
      <c r="H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>
        <v>23632</v>
      </c>
      <c r="B372" s="4" t="s">
        <v>539</v>
      </c>
      <c r="C372" s="4" t="s">
        <v>86</v>
      </c>
      <c r="D372" s="4" t="s">
        <v>26</v>
      </c>
      <c r="E372" s="4" t="s">
        <v>10</v>
      </c>
      <c r="F372" s="4">
        <v>75</v>
      </c>
      <c r="G372" s="7">
        <v>42480</v>
      </c>
      <c r="H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>
        <v>23633</v>
      </c>
      <c r="B373" s="4" t="s">
        <v>540</v>
      </c>
      <c r="C373" s="4" t="s">
        <v>65</v>
      </c>
      <c r="D373" s="4" t="s">
        <v>34</v>
      </c>
      <c r="E373" s="4" t="s">
        <v>17</v>
      </c>
      <c r="F373" s="4">
        <v>58</v>
      </c>
      <c r="G373" s="7">
        <v>42501</v>
      </c>
      <c r="H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>
        <v>23634</v>
      </c>
      <c r="B374" s="4" t="s">
        <v>541</v>
      </c>
      <c r="C374" s="4" t="s">
        <v>92</v>
      </c>
      <c r="D374" s="4" t="s">
        <v>58</v>
      </c>
      <c r="E374" s="4" t="s">
        <v>17</v>
      </c>
      <c r="F374" s="4">
        <v>60</v>
      </c>
      <c r="G374" s="7">
        <v>42483</v>
      </c>
      <c r="H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>
        <v>23635</v>
      </c>
      <c r="B375" s="4" t="s">
        <v>542</v>
      </c>
      <c r="C375" s="4" t="s">
        <v>83</v>
      </c>
      <c r="D375" s="4" t="s">
        <v>9</v>
      </c>
      <c r="E375" s="4" t="s">
        <v>59</v>
      </c>
      <c r="F375" s="4">
        <v>115</v>
      </c>
      <c r="G375" s="7">
        <v>42503</v>
      </c>
      <c r="H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>
        <v>23636</v>
      </c>
      <c r="B376" s="4" t="s">
        <v>543</v>
      </c>
      <c r="C376" s="4" t="s">
        <v>429</v>
      </c>
      <c r="D376" s="4" t="s">
        <v>26</v>
      </c>
      <c r="E376" s="4" t="s">
        <v>17</v>
      </c>
      <c r="F376" s="4">
        <v>108</v>
      </c>
      <c r="G376" s="7">
        <v>42490</v>
      </c>
      <c r="H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>
        <v>23637</v>
      </c>
      <c r="B377" s="4" t="s">
        <v>544</v>
      </c>
      <c r="C377" s="4" t="s">
        <v>86</v>
      </c>
      <c r="D377" s="4" t="s">
        <v>9</v>
      </c>
      <c r="E377" s="4" t="s">
        <v>10</v>
      </c>
      <c r="F377" s="4">
        <v>63</v>
      </c>
      <c r="G377" s="7">
        <v>42501</v>
      </c>
      <c r="H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>
        <v>23638</v>
      </c>
      <c r="B378" s="4" t="s">
        <v>545</v>
      </c>
      <c r="C378" s="4" t="s">
        <v>220</v>
      </c>
      <c r="D378" s="4" t="s">
        <v>13</v>
      </c>
      <c r="E378" s="4" t="s">
        <v>59</v>
      </c>
      <c r="F378" s="4">
        <v>98</v>
      </c>
      <c r="G378" s="7">
        <v>42488</v>
      </c>
      <c r="H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>
        <v>23639</v>
      </c>
      <c r="B379" s="4" t="s">
        <v>546</v>
      </c>
      <c r="C379" s="4" t="s">
        <v>547</v>
      </c>
      <c r="D379" s="4" t="s">
        <v>16</v>
      </c>
      <c r="E379" s="4" t="s">
        <v>17</v>
      </c>
      <c r="F379" s="4">
        <v>119</v>
      </c>
      <c r="G379" s="7">
        <v>42512</v>
      </c>
      <c r="H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>
        <v>23640</v>
      </c>
      <c r="B380" s="4" t="s">
        <v>548</v>
      </c>
      <c r="C380" s="4" t="s">
        <v>36</v>
      </c>
      <c r="D380" s="4" t="s">
        <v>29</v>
      </c>
      <c r="E380" s="4" t="s">
        <v>17</v>
      </c>
      <c r="F380" s="4">
        <v>90</v>
      </c>
      <c r="G380" s="7">
        <v>42501</v>
      </c>
      <c r="H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>
        <v>23641</v>
      </c>
      <c r="B381" s="4" t="s">
        <v>549</v>
      </c>
      <c r="C381" s="4" t="s">
        <v>384</v>
      </c>
      <c r="D381" s="4" t="s">
        <v>16</v>
      </c>
      <c r="E381" s="4" t="s">
        <v>10</v>
      </c>
      <c r="F381" s="4">
        <v>11</v>
      </c>
      <c r="G381" s="7">
        <v>42508</v>
      </c>
      <c r="H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>
        <v>23642</v>
      </c>
      <c r="B382" s="4" t="s">
        <v>550</v>
      </c>
      <c r="C382" s="4" t="s">
        <v>551</v>
      </c>
      <c r="D382" s="4" t="s">
        <v>23</v>
      </c>
      <c r="E382" s="4" t="s">
        <v>17</v>
      </c>
      <c r="F382" s="4">
        <v>152</v>
      </c>
      <c r="G382" s="7">
        <v>42492</v>
      </c>
      <c r="H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>
        <v>23643</v>
      </c>
      <c r="B383" s="4" t="s">
        <v>552</v>
      </c>
      <c r="C383" s="4" t="s">
        <v>31</v>
      </c>
      <c r="D383" s="4" t="s">
        <v>26</v>
      </c>
      <c r="E383" s="4" t="s">
        <v>59</v>
      </c>
      <c r="F383" s="4">
        <v>11</v>
      </c>
      <c r="G383" s="7">
        <v>42479</v>
      </c>
      <c r="H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>
        <v>23644</v>
      </c>
      <c r="B384" s="4" t="s">
        <v>553</v>
      </c>
      <c r="C384" s="4" t="s">
        <v>164</v>
      </c>
      <c r="D384" s="4" t="s">
        <v>26</v>
      </c>
      <c r="E384" s="4" t="s">
        <v>59</v>
      </c>
      <c r="F384" s="4">
        <v>158</v>
      </c>
      <c r="G384" s="7">
        <v>42474</v>
      </c>
      <c r="H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>
        <v>23645</v>
      </c>
      <c r="B385" s="4" t="s">
        <v>554</v>
      </c>
      <c r="C385" s="4" t="s">
        <v>164</v>
      </c>
      <c r="D385" s="4" t="s">
        <v>20</v>
      </c>
      <c r="E385" s="4" t="s">
        <v>17</v>
      </c>
      <c r="F385" s="4">
        <v>1</v>
      </c>
      <c r="G385" s="7">
        <v>42514</v>
      </c>
      <c r="H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>
        <v>23646</v>
      </c>
      <c r="B386" s="4" t="s">
        <v>555</v>
      </c>
      <c r="C386" s="4" t="s">
        <v>196</v>
      </c>
      <c r="D386" s="4" t="s">
        <v>29</v>
      </c>
      <c r="E386" s="4" t="s">
        <v>10</v>
      </c>
      <c r="F386" s="4">
        <v>131</v>
      </c>
      <c r="G386" s="7">
        <v>42499</v>
      </c>
      <c r="H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>
        <v>23647</v>
      </c>
      <c r="B387" s="4" t="s">
        <v>556</v>
      </c>
      <c r="C387" s="4" t="s">
        <v>557</v>
      </c>
      <c r="D387" s="4" t="s">
        <v>23</v>
      </c>
      <c r="E387" s="4" t="s">
        <v>17</v>
      </c>
      <c r="F387" s="4">
        <v>148</v>
      </c>
      <c r="G387" s="7">
        <v>42490</v>
      </c>
      <c r="H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>
        <v>23648</v>
      </c>
      <c r="B388" s="4" t="s">
        <v>558</v>
      </c>
      <c r="C388" s="4" t="s">
        <v>352</v>
      </c>
      <c r="D388" s="4" t="s">
        <v>20</v>
      </c>
      <c r="E388" s="4" t="s">
        <v>17</v>
      </c>
      <c r="F388" s="4">
        <v>153</v>
      </c>
      <c r="G388" s="7">
        <v>42501</v>
      </c>
      <c r="H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>
        <v>23649</v>
      </c>
      <c r="B389" s="4" t="s">
        <v>559</v>
      </c>
      <c r="C389" s="4" t="s">
        <v>560</v>
      </c>
      <c r="D389" s="4" t="s">
        <v>34</v>
      </c>
      <c r="E389" s="4" t="s">
        <v>17</v>
      </c>
      <c r="F389" s="4">
        <v>125</v>
      </c>
      <c r="G389" s="7">
        <v>42483</v>
      </c>
      <c r="H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>
        <v>23650</v>
      </c>
      <c r="B390" s="4" t="s">
        <v>561</v>
      </c>
      <c r="C390" s="4" t="s">
        <v>196</v>
      </c>
      <c r="D390" s="4" t="s">
        <v>9</v>
      </c>
      <c r="E390" s="4" t="s">
        <v>17</v>
      </c>
      <c r="F390" s="4">
        <v>162</v>
      </c>
      <c r="G390" s="7">
        <v>42483</v>
      </c>
      <c r="H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>
        <v>23651</v>
      </c>
      <c r="B391" s="4" t="s">
        <v>562</v>
      </c>
      <c r="C391" s="4" t="s">
        <v>57</v>
      </c>
      <c r="D391" s="4" t="s">
        <v>13</v>
      </c>
      <c r="E391" s="4" t="s">
        <v>17</v>
      </c>
      <c r="F391" s="4">
        <v>108</v>
      </c>
      <c r="G391" s="7">
        <v>42486</v>
      </c>
      <c r="H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>
        <v>23652</v>
      </c>
      <c r="B392" s="4" t="s">
        <v>563</v>
      </c>
      <c r="C392" s="4" t="s">
        <v>129</v>
      </c>
      <c r="D392" s="4" t="s">
        <v>9</v>
      </c>
      <c r="E392" s="4" t="s">
        <v>10</v>
      </c>
      <c r="F392" s="4">
        <v>191</v>
      </c>
      <c r="G392" s="7">
        <v>42462</v>
      </c>
      <c r="H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>
        <v>23653</v>
      </c>
      <c r="B393" s="4" t="s">
        <v>564</v>
      </c>
      <c r="C393" s="4" t="s">
        <v>12</v>
      </c>
      <c r="D393" s="4" t="s">
        <v>23</v>
      </c>
      <c r="E393" s="4" t="s">
        <v>17</v>
      </c>
      <c r="F393" s="4">
        <v>165</v>
      </c>
      <c r="G393" s="7">
        <v>42507</v>
      </c>
      <c r="H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>
        <v>23654</v>
      </c>
      <c r="B394" s="4" t="s">
        <v>565</v>
      </c>
      <c r="C394" s="4" t="s">
        <v>566</v>
      </c>
      <c r="D394" s="4" t="s">
        <v>26</v>
      </c>
      <c r="E394" s="4" t="s">
        <v>17</v>
      </c>
      <c r="F394" s="4">
        <v>128</v>
      </c>
      <c r="G394" s="7">
        <v>42471</v>
      </c>
      <c r="H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>
        <v>23655</v>
      </c>
      <c r="B395" s="4" t="s">
        <v>567</v>
      </c>
      <c r="C395" s="4" t="s">
        <v>129</v>
      </c>
      <c r="D395" s="4" t="s">
        <v>23</v>
      </c>
      <c r="E395" s="4" t="s">
        <v>10</v>
      </c>
      <c r="F395" s="4">
        <v>146</v>
      </c>
      <c r="G395" s="7">
        <v>42513</v>
      </c>
      <c r="H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>
        <v>23656</v>
      </c>
      <c r="B396" s="4" t="s">
        <v>568</v>
      </c>
      <c r="C396" s="4" t="s">
        <v>248</v>
      </c>
      <c r="D396" s="4" t="s">
        <v>51</v>
      </c>
      <c r="E396" s="4" t="s">
        <v>17</v>
      </c>
      <c r="F396" s="4">
        <v>206</v>
      </c>
      <c r="G396" s="7">
        <v>42508</v>
      </c>
      <c r="H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>
        <v>23657</v>
      </c>
      <c r="B397" s="4" t="s">
        <v>569</v>
      </c>
      <c r="C397" s="4" t="s">
        <v>352</v>
      </c>
      <c r="D397" s="4" t="s">
        <v>23</v>
      </c>
      <c r="E397" s="4" t="s">
        <v>59</v>
      </c>
      <c r="F397" s="4">
        <v>196</v>
      </c>
      <c r="G397" s="7">
        <v>42462</v>
      </c>
      <c r="H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>
        <v>23658</v>
      </c>
      <c r="B398" s="4" t="s">
        <v>570</v>
      </c>
      <c r="C398" s="4" t="s">
        <v>403</v>
      </c>
      <c r="D398" s="4" t="s">
        <v>58</v>
      </c>
      <c r="E398" s="4" t="s">
        <v>17</v>
      </c>
      <c r="F398" s="4">
        <v>88</v>
      </c>
      <c r="G398" s="7">
        <v>42505</v>
      </c>
      <c r="H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>
        <v>23659</v>
      </c>
      <c r="B399" s="4" t="s">
        <v>571</v>
      </c>
      <c r="C399" s="4" t="s">
        <v>472</v>
      </c>
      <c r="D399" s="4" t="s">
        <v>46</v>
      </c>
      <c r="E399" s="4" t="s">
        <v>10</v>
      </c>
      <c r="F399" s="4">
        <v>209</v>
      </c>
      <c r="G399" s="7">
        <v>42466</v>
      </c>
      <c r="H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>
        <v>23660</v>
      </c>
      <c r="B400" s="4" t="s">
        <v>572</v>
      </c>
      <c r="C400" s="4" t="s">
        <v>566</v>
      </c>
      <c r="D400" s="4" t="s">
        <v>46</v>
      </c>
      <c r="E400" s="4" t="s">
        <v>17</v>
      </c>
      <c r="F400" s="4">
        <v>189</v>
      </c>
      <c r="G400" s="7">
        <v>42498</v>
      </c>
      <c r="H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>
        <v>23661</v>
      </c>
      <c r="B401" s="4" t="s">
        <v>573</v>
      </c>
      <c r="C401" s="4" t="s">
        <v>108</v>
      </c>
      <c r="D401" s="4" t="s">
        <v>26</v>
      </c>
      <c r="E401" s="4" t="s">
        <v>10</v>
      </c>
      <c r="F401" s="4">
        <v>77</v>
      </c>
      <c r="G401" s="7">
        <v>42453</v>
      </c>
      <c r="H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>
        <v>23662</v>
      </c>
      <c r="B402" s="4" t="s">
        <v>574</v>
      </c>
      <c r="C402" s="4" t="s">
        <v>341</v>
      </c>
      <c r="D402" s="4" t="s">
        <v>20</v>
      </c>
      <c r="E402" s="4" t="s">
        <v>59</v>
      </c>
      <c r="F402" s="4">
        <v>163</v>
      </c>
      <c r="G402" s="7">
        <v>42392</v>
      </c>
      <c r="H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>
        <v>23663</v>
      </c>
      <c r="B403" s="4" t="s">
        <v>575</v>
      </c>
      <c r="C403" s="4" t="s">
        <v>97</v>
      </c>
      <c r="D403" s="4" t="s">
        <v>26</v>
      </c>
      <c r="E403" s="4" t="s">
        <v>10</v>
      </c>
      <c r="F403" s="4">
        <v>99</v>
      </c>
      <c r="G403" s="7">
        <v>42447</v>
      </c>
      <c r="H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>
        <v>23664</v>
      </c>
      <c r="B404" s="4" t="s">
        <v>576</v>
      </c>
      <c r="C404" s="4" t="s">
        <v>316</v>
      </c>
      <c r="D404" s="4" t="s">
        <v>9</v>
      </c>
      <c r="E404" s="4" t="s">
        <v>10</v>
      </c>
      <c r="F404" s="4">
        <v>180</v>
      </c>
      <c r="G404" s="7">
        <v>42385</v>
      </c>
      <c r="H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>
        <v>23665</v>
      </c>
      <c r="B405" s="4" t="s">
        <v>577</v>
      </c>
      <c r="C405" s="4" t="s">
        <v>12</v>
      </c>
      <c r="D405" s="4" t="s">
        <v>9</v>
      </c>
      <c r="E405" s="4" t="s">
        <v>17</v>
      </c>
      <c r="F405" s="4">
        <v>106</v>
      </c>
      <c r="G405" s="7">
        <v>42437</v>
      </c>
      <c r="H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>
        <v>23666</v>
      </c>
      <c r="B406" s="4" t="s">
        <v>578</v>
      </c>
      <c r="C406" s="4" t="s">
        <v>579</v>
      </c>
      <c r="D406" s="4" t="s">
        <v>51</v>
      </c>
      <c r="E406" s="4" t="s">
        <v>10</v>
      </c>
      <c r="F406" s="4">
        <v>165</v>
      </c>
      <c r="G406" s="7">
        <v>42424</v>
      </c>
      <c r="H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>
        <v>23667</v>
      </c>
      <c r="B407" s="4" t="s">
        <v>580</v>
      </c>
      <c r="C407" s="4" t="s">
        <v>244</v>
      </c>
      <c r="D407" s="4" t="s">
        <v>26</v>
      </c>
      <c r="E407" s="4" t="s">
        <v>59</v>
      </c>
      <c r="F407" s="4">
        <v>12</v>
      </c>
      <c r="G407" s="7">
        <v>42452</v>
      </c>
      <c r="H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>
        <v>23668</v>
      </c>
      <c r="B408" s="4" t="s">
        <v>581</v>
      </c>
      <c r="C408" s="4" t="s">
        <v>507</v>
      </c>
      <c r="D408" s="4" t="s">
        <v>23</v>
      </c>
      <c r="E408" s="4" t="s">
        <v>10</v>
      </c>
      <c r="F408" s="4">
        <v>37</v>
      </c>
      <c r="G408" s="7">
        <v>42371</v>
      </c>
      <c r="H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>
        <v>23669</v>
      </c>
      <c r="B409" s="4" t="s">
        <v>582</v>
      </c>
      <c r="C409" s="4" t="s">
        <v>583</v>
      </c>
      <c r="D409" s="4" t="s">
        <v>23</v>
      </c>
      <c r="E409" s="4" t="s">
        <v>17</v>
      </c>
      <c r="F409" s="4">
        <v>28</v>
      </c>
      <c r="G409" s="7">
        <v>42455</v>
      </c>
      <c r="H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>
        <v>23670</v>
      </c>
      <c r="B410" s="4" t="s">
        <v>584</v>
      </c>
      <c r="C410" s="4" t="s">
        <v>108</v>
      </c>
      <c r="D410" s="4" t="s">
        <v>46</v>
      </c>
      <c r="E410" s="4" t="s">
        <v>59</v>
      </c>
      <c r="F410" s="4">
        <v>18</v>
      </c>
      <c r="G410" s="7">
        <v>42418</v>
      </c>
      <c r="H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>
        <v>23671</v>
      </c>
      <c r="B411" s="4" t="s">
        <v>585</v>
      </c>
      <c r="C411" s="4" t="s">
        <v>25</v>
      </c>
      <c r="D411" s="4" t="s">
        <v>20</v>
      </c>
      <c r="E411" s="4" t="s">
        <v>17</v>
      </c>
      <c r="F411" s="4">
        <v>99</v>
      </c>
      <c r="G411" s="7">
        <v>42447</v>
      </c>
      <c r="H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>
        <v>23672</v>
      </c>
      <c r="B412" s="4" t="s">
        <v>586</v>
      </c>
      <c r="C412" s="4" t="s">
        <v>63</v>
      </c>
      <c r="D412" s="4" t="s">
        <v>58</v>
      </c>
      <c r="E412" s="4" t="s">
        <v>17</v>
      </c>
      <c r="F412" s="4">
        <v>132</v>
      </c>
      <c r="G412" s="7">
        <v>42378</v>
      </c>
      <c r="H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>
        <v>23673</v>
      </c>
      <c r="B413" s="4" t="s">
        <v>587</v>
      </c>
      <c r="C413" s="4" t="s">
        <v>252</v>
      </c>
      <c r="D413" s="4" t="s">
        <v>26</v>
      </c>
      <c r="E413" s="4" t="s">
        <v>10</v>
      </c>
      <c r="F413" s="4">
        <v>95</v>
      </c>
      <c r="G413" s="7">
        <v>42407</v>
      </c>
      <c r="H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>
        <v>23674</v>
      </c>
      <c r="B414" s="4" t="s">
        <v>588</v>
      </c>
      <c r="C414" s="4" t="s">
        <v>560</v>
      </c>
      <c r="D414" s="4" t="s">
        <v>58</v>
      </c>
      <c r="E414" s="4" t="s">
        <v>17</v>
      </c>
      <c r="F414" s="4">
        <v>120</v>
      </c>
      <c r="G414" s="7">
        <v>42435</v>
      </c>
      <c r="H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>
        <v>23675</v>
      </c>
      <c r="B415" s="4" t="s">
        <v>589</v>
      </c>
      <c r="C415" s="4" t="s">
        <v>397</v>
      </c>
      <c r="D415" s="4" t="s">
        <v>51</v>
      </c>
      <c r="E415" s="4" t="s">
        <v>17</v>
      </c>
      <c r="F415" s="4">
        <v>36</v>
      </c>
      <c r="G415" s="7">
        <v>42419</v>
      </c>
      <c r="H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>
        <v>23676</v>
      </c>
      <c r="B416" s="4" t="s">
        <v>590</v>
      </c>
      <c r="C416" s="4" t="s">
        <v>97</v>
      </c>
      <c r="D416" s="4" t="s">
        <v>23</v>
      </c>
      <c r="E416" s="4" t="s">
        <v>10</v>
      </c>
      <c r="F416" s="4">
        <v>86</v>
      </c>
      <c r="G416" s="7">
        <v>42386</v>
      </c>
      <c r="H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>
        <v>23677</v>
      </c>
      <c r="B417" s="4" t="s">
        <v>591</v>
      </c>
      <c r="C417" s="4" t="s">
        <v>272</v>
      </c>
      <c r="D417" s="4" t="s">
        <v>23</v>
      </c>
      <c r="E417" s="4" t="s">
        <v>10</v>
      </c>
      <c r="F417" s="4">
        <v>149</v>
      </c>
      <c r="G417" s="7">
        <v>42376</v>
      </c>
      <c r="H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>
        <v>23678</v>
      </c>
      <c r="B418" s="4" t="s">
        <v>592</v>
      </c>
      <c r="C418" s="4" t="s">
        <v>521</v>
      </c>
      <c r="D418" s="4" t="s">
        <v>23</v>
      </c>
      <c r="E418" s="4" t="s">
        <v>10</v>
      </c>
      <c r="F418" s="4">
        <v>7</v>
      </c>
      <c r="G418" s="7">
        <v>42382</v>
      </c>
      <c r="H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>
        <v>23679</v>
      </c>
      <c r="B419" s="4" t="s">
        <v>593</v>
      </c>
      <c r="C419" s="4" t="s">
        <v>22</v>
      </c>
      <c r="D419" s="4" t="s">
        <v>13</v>
      </c>
      <c r="E419" s="4" t="s">
        <v>17</v>
      </c>
      <c r="F419" s="4">
        <v>9</v>
      </c>
      <c r="G419" s="7">
        <v>42428</v>
      </c>
      <c r="H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>
        <v>23680</v>
      </c>
      <c r="B420" s="4" t="s">
        <v>594</v>
      </c>
      <c r="C420" s="4" t="s">
        <v>263</v>
      </c>
      <c r="D420" s="4" t="s">
        <v>29</v>
      </c>
      <c r="E420" s="4" t="s">
        <v>10</v>
      </c>
      <c r="F420" s="4">
        <v>151</v>
      </c>
      <c r="G420" s="7">
        <v>42447</v>
      </c>
      <c r="H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>
        <v>23681</v>
      </c>
      <c r="B421" s="4" t="s">
        <v>595</v>
      </c>
      <c r="C421" s="4" t="s">
        <v>81</v>
      </c>
      <c r="D421" s="4" t="s">
        <v>9</v>
      </c>
      <c r="E421" s="4" t="s">
        <v>10</v>
      </c>
      <c r="F421" s="4">
        <v>24</v>
      </c>
      <c r="G421" s="7">
        <v>42416</v>
      </c>
      <c r="H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>
        <v>23682</v>
      </c>
      <c r="B422" s="4" t="s">
        <v>596</v>
      </c>
      <c r="C422" s="4" t="s">
        <v>92</v>
      </c>
      <c r="D422" s="4" t="s">
        <v>26</v>
      </c>
      <c r="E422" s="4" t="s">
        <v>10</v>
      </c>
      <c r="F422" s="4">
        <v>200</v>
      </c>
      <c r="G422" s="7">
        <v>42384</v>
      </c>
      <c r="H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>
        <v>23683</v>
      </c>
      <c r="B423" s="4" t="s">
        <v>597</v>
      </c>
      <c r="C423" s="4" t="s">
        <v>8</v>
      </c>
      <c r="D423" s="4" t="s">
        <v>23</v>
      </c>
      <c r="E423" s="4" t="s">
        <v>10</v>
      </c>
      <c r="F423" s="4">
        <v>160</v>
      </c>
      <c r="G423" s="7">
        <v>42379</v>
      </c>
      <c r="H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>
        <v>23684</v>
      </c>
      <c r="B424" s="4" t="s">
        <v>598</v>
      </c>
      <c r="C424" s="4" t="s">
        <v>228</v>
      </c>
      <c r="D424" s="4" t="s">
        <v>46</v>
      </c>
      <c r="E424" s="4" t="s">
        <v>59</v>
      </c>
      <c r="F424" s="4">
        <v>103</v>
      </c>
      <c r="G424" s="7">
        <v>42458</v>
      </c>
      <c r="H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>
        <v>23685</v>
      </c>
      <c r="B425" s="4" t="s">
        <v>599</v>
      </c>
      <c r="C425" s="4" t="s">
        <v>193</v>
      </c>
      <c r="D425" s="4" t="s">
        <v>9</v>
      </c>
      <c r="E425" s="4" t="s">
        <v>17</v>
      </c>
      <c r="F425" s="4">
        <v>61</v>
      </c>
      <c r="G425" s="7">
        <v>42399</v>
      </c>
      <c r="H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>
        <v>23686</v>
      </c>
      <c r="B426" s="4" t="s">
        <v>600</v>
      </c>
      <c r="C426" s="4" t="s">
        <v>168</v>
      </c>
      <c r="D426" s="4" t="s">
        <v>13</v>
      </c>
      <c r="E426" s="4" t="s">
        <v>10</v>
      </c>
      <c r="F426" s="4">
        <v>84</v>
      </c>
      <c r="G426" s="7">
        <v>42459</v>
      </c>
      <c r="H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>
        <v>23687</v>
      </c>
      <c r="B427" s="4" t="s">
        <v>601</v>
      </c>
      <c r="C427" s="4" t="s">
        <v>434</v>
      </c>
      <c r="D427" s="4" t="s">
        <v>34</v>
      </c>
      <c r="E427" s="4" t="s">
        <v>59</v>
      </c>
      <c r="F427" s="4">
        <v>197</v>
      </c>
      <c r="G427" s="7">
        <v>42395</v>
      </c>
      <c r="H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>
        <v>23688</v>
      </c>
      <c r="B428" s="4" t="s">
        <v>602</v>
      </c>
      <c r="C428" s="4" t="s">
        <v>174</v>
      </c>
      <c r="D428" s="4" t="s">
        <v>16</v>
      </c>
      <c r="E428" s="4" t="s">
        <v>10</v>
      </c>
      <c r="F428" s="4">
        <v>161</v>
      </c>
      <c r="G428" s="7">
        <v>42408</v>
      </c>
      <c r="H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>
        <v>23689</v>
      </c>
      <c r="B429" s="4" t="s">
        <v>603</v>
      </c>
      <c r="C429" s="4" t="s">
        <v>48</v>
      </c>
      <c r="D429" s="4" t="s">
        <v>58</v>
      </c>
      <c r="E429" s="4" t="s">
        <v>10</v>
      </c>
      <c r="F429" s="4">
        <v>181</v>
      </c>
      <c r="G429" s="7">
        <v>42419</v>
      </c>
      <c r="H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>
        <v>23690</v>
      </c>
      <c r="B430" s="4" t="s">
        <v>604</v>
      </c>
      <c r="C430" s="4" t="s">
        <v>270</v>
      </c>
      <c r="D430" s="4" t="s">
        <v>51</v>
      </c>
      <c r="E430" s="4" t="s">
        <v>17</v>
      </c>
      <c r="F430" s="4">
        <v>91</v>
      </c>
      <c r="G430" s="7">
        <v>42394</v>
      </c>
      <c r="H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>
        <v>23691</v>
      </c>
      <c r="B431" s="4" t="s">
        <v>605</v>
      </c>
      <c r="C431" s="4" t="s">
        <v>606</v>
      </c>
      <c r="D431" s="4" t="s">
        <v>29</v>
      </c>
      <c r="E431" s="4" t="s">
        <v>17</v>
      </c>
      <c r="F431" s="4">
        <v>52</v>
      </c>
      <c r="G431" s="7">
        <v>42436</v>
      </c>
      <c r="H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>
        <v>23692</v>
      </c>
      <c r="B432" s="4" t="s">
        <v>607</v>
      </c>
      <c r="C432" s="4" t="s">
        <v>608</v>
      </c>
      <c r="D432" s="4" t="s">
        <v>26</v>
      </c>
      <c r="E432" s="4" t="s">
        <v>10</v>
      </c>
      <c r="F432" s="4">
        <v>207</v>
      </c>
      <c r="G432" s="7">
        <v>42387</v>
      </c>
      <c r="H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>
        <v>23693</v>
      </c>
      <c r="B433" s="4" t="s">
        <v>609</v>
      </c>
      <c r="C433" s="4" t="s">
        <v>208</v>
      </c>
      <c r="D433" s="4" t="s">
        <v>26</v>
      </c>
      <c r="E433" s="4" t="s">
        <v>17</v>
      </c>
      <c r="F433" s="4">
        <v>132</v>
      </c>
      <c r="G433" s="7">
        <v>42383</v>
      </c>
      <c r="H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>
        <v>23694</v>
      </c>
      <c r="B434" s="4" t="s">
        <v>610</v>
      </c>
      <c r="C434" s="4" t="s">
        <v>611</v>
      </c>
      <c r="D434" s="4" t="s">
        <v>58</v>
      </c>
      <c r="E434" s="4" t="s">
        <v>10</v>
      </c>
      <c r="F434" s="4">
        <v>25</v>
      </c>
      <c r="G434" s="7">
        <v>42412</v>
      </c>
      <c r="H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>
        <v>23695</v>
      </c>
      <c r="B435" s="4" t="s">
        <v>612</v>
      </c>
      <c r="C435" s="4" t="s">
        <v>321</v>
      </c>
      <c r="D435" s="4" t="s">
        <v>26</v>
      </c>
      <c r="E435" s="4" t="s">
        <v>10</v>
      </c>
      <c r="F435" s="4">
        <v>152</v>
      </c>
      <c r="G435" s="7">
        <v>42392</v>
      </c>
      <c r="H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>
        <v>23696</v>
      </c>
      <c r="B436" s="4" t="s">
        <v>613</v>
      </c>
      <c r="C436" s="4" t="s">
        <v>547</v>
      </c>
      <c r="D436" s="4" t="s">
        <v>29</v>
      </c>
      <c r="E436" s="4" t="s">
        <v>10</v>
      </c>
      <c r="F436" s="4">
        <v>187</v>
      </c>
      <c r="G436" s="7">
        <v>42384</v>
      </c>
      <c r="H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>
        <v>23697</v>
      </c>
      <c r="B437" s="4" t="s">
        <v>614</v>
      </c>
      <c r="C437" s="4" t="s">
        <v>538</v>
      </c>
      <c r="D437" s="4" t="s">
        <v>23</v>
      </c>
      <c r="E437" s="4" t="s">
        <v>10</v>
      </c>
      <c r="F437" s="4">
        <v>84</v>
      </c>
      <c r="G437" s="7">
        <v>42387</v>
      </c>
      <c r="H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>
        <v>23698</v>
      </c>
      <c r="B438" s="4" t="s">
        <v>615</v>
      </c>
      <c r="C438" s="4" t="s">
        <v>335</v>
      </c>
      <c r="D438" s="4" t="s">
        <v>51</v>
      </c>
      <c r="E438" s="4" t="s">
        <v>17</v>
      </c>
      <c r="F438" s="4">
        <v>86</v>
      </c>
      <c r="G438" s="7">
        <v>42424</v>
      </c>
      <c r="H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>
        <v>23699</v>
      </c>
      <c r="B439" s="4" t="s">
        <v>616</v>
      </c>
      <c r="C439" s="4" t="s">
        <v>208</v>
      </c>
      <c r="D439" s="4" t="s">
        <v>58</v>
      </c>
      <c r="E439" s="4" t="s">
        <v>10</v>
      </c>
      <c r="F439" s="4">
        <v>183</v>
      </c>
      <c r="G439" s="7">
        <v>42379</v>
      </c>
      <c r="H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>
        <v>23700</v>
      </c>
      <c r="B440" s="4" t="s">
        <v>617</v>
      </c>
      <c r="C440" s="4" t="s">
        <v>152</v>
      </c>
      <c r="D440" s="4" t="s">
        <v>13</v>
      </c>
      <c r="E440" s="4" t="s">
        <v>10</v>
      </c>
      <c r="F440" s="4">
        <v>121</v>
      </c>
      <c r="G440" s="7">
        <v>42405</v>
      </c>
      <c r="H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>
        <v>23701</v>
      </c>
      <c r="B441" s="4" t="s">
        <v>618</v>
      </c>
      <c r="C441" s="4" t="s">
        <v>97</v>
      </c>
      <c r="D441" s="4" t="s">
        <v>23</v>
      </c>
      <c r="E441" s="4" t="s">
        <v>10</v>
      </c>
      <c r="F441" s="4">
        <v>165</v>
      </c>
      <c r="G441" s="7">
        <v>42414</v>
      </c>
      <c r="H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>
        <v>23702</v>
      </c>
      <c r="B442" s="4" t="s">
        <v>619</v>
      </c>
      <c r="C442" s="4" t="s">
        <v>129</v>
      </c>
      <c r="D442" s="4" t="s">
        <v>23</v>
      </c>
      <c r="E442" s="4" t="s">
        <v>10</v>
      </c>
      <c r="F442" s="4">
        <v>27</v>
      </c>
      <c r="G442" s="7">
        <v>42405</v>
      </c>
      <c r="H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>
        <v>23703</v>
      </c>
      <c r="B443" s="4" t="s">
        <v>620</v>
      </c>
      <c r="C443" s="4" t="s">
        <v>119</v>
      </c>
      <c r="D443" s="4" t="s">
        <v>29</v>
      </c>
      <c r="E443" s="4" t="s">
        <v>17</v>
      </c>
      <c r="F443" s="4">
        <v>205</v>
      </c>
      <c r="G443" s="7">
        <v>42449</v>
      </c>
      <c r="H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>
        <v>23704</v>
      </c>
      <c r="B444" s="4" t="s">
        <v>621</v>
      </c>
      <c r="C444" s="4" t="s">
        <v>114</v>
      </c>
      <c r="D444" s="4" t="s">
        <v>9</v>
      </c>
      <c r="E444" s="4" t="s">
        <v>10</v>
      </c>
      <c r="F444" s="4">
        <v>22</v>
      </c>
      <c r="G444" s="7">
        <v>42451</v>
      </c>
      <c r="H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>
        <v>23705</v>
      </c>
      <c r="B445" s="4" t="s">
        <v>622</v>
      </c>
      <c r="C445" s="4" t="s">
        <v>146</v>
      </c>
      <c r="D445" s="4" t="s">
        <v>23</v>
      </c>
      <c r="E445" s="4" t="s">
        <v>10</v>
      </c>
      <c r="F445" s="4">
        <v>155</v>
      </c>
      <c r="G445" s="7">
        <v>42411</v>
      </c>
      <c r="H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>
        <v>23706</v>
      </c>
      <c r="B446" s="4" t="s">
        <v>623</v>
      </c>
      <c r="C446" s="4" t="s">
        <v>8</v>
      </c>
      <c r="D446" s="4" t="s">
        <v>16</v>
      </c>
      <c r="E446" s="4" t="s">
        <v>10</v>
      </c>
      <c r="F446" s="4">
        <v>197</v>
      </c>
      <c r="G446" s="7">
        <v>42402</v>
      </c>
      <c r="H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>
        <v>23707</v>
      </c>
      <c r="B447" s="4" t="s">
        <v>624</v>
      </c>
      <c r="C447" s="4" t="s">
        <v>257</v>
      </c>
      <c r="D447" s="4" t="s">
        <v>58</v>
      </c>
      <c r="E447" s="4" t="s">
        <v>17</v>
      </c>
      <c r="F447" s="4">
        <v>202</v>
      </c>
      <c r="G447" s="7">
        <v>42382</v>
      </c>
      <c r="H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>
        <v>23708</v>
      </c>
      <c r="B448" s="4" t="s">
        <v>625</v>
      </c>
      <c r="C448" s="4" t="s">
        <v>148</v>
      </c>
      <c r="D448" s="4" t="s">
        <v>58</v>
      </c>
      <c r="E448" s="4" t="s">
        <v>17</v>
      </c>
      <c r="F448" s="4">
        <v>126</v>
      </c>
      <c r="G448" s="7">
        <v>42407</v>
      </c>
      <c r="H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>
        <v>23709</v>
      </c>
      <c r="B449" s="4" t="s">
        <v>626</v>
      </c>
      <c r="C449" s="4" t="s">
        <v>267</v>
      </c>
      <c r="D449" s="4" t="s">
        <v>51</v>
      </c>
      <c r="E449" s="4" t="s">
        <v>10</v>
      </c>
      <c r="F449" s="4">
        <v>164</v>
      </c>
      <c r="G449" s="7">
        <v>42435</v>
      </c>
      <c r="H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>
        <v>23710</v>
      </c>
      <c r="B450" s="4" t="s">
        <v>627</v>
      </c>
      <c r="C450" s="4" t="s">
        <v>79</v>
      </c>
      <c r="D450" s="4" t="s">
        <v>23</v>
      </c>
      <c r="E450" s="4" t="s">
        <v>10</v>
      </c>
      <c r="F450" s="4">
        <v>9</v>
      </c>
      <c r="G450" s="7">
        <v>42427</v>
      </c>
      <c r="H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>
        <v>23711</v>
      </c>
      <c r="B451" s="4" t="s">
        <v>628</v>
      </c>
      <c r="C451" s="4" t="s">
        <v>8</v>
      </c>
      <c r="D451" s="4" t="s">
        <v>9</v>
      </c>
      <c r="E451" s="4" t="s">
        <v>17</v>
      </c>
      <c r="F451" s="4">
        <v>42</v>
      </c>
      <c r="G451" s="7">
        <v>42381</v>
      </c>
      <c r="H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>
        <v>23712</v>
      </c>
      <c r="B452" s="4" t="s">
        <v>629</v>
      </c>
      <c r="C452" s="4" t="s">
        <v>176</v>
      </c>
      <c r="D452" s="4" t="s">
        <v>16</v>
      </c>
      <c r="E452" s="4" t="s">
        <v>17</v>
      </c>
      <c r="F452" s="4">
        <v>9</v>
      </c>
      <c r="G452" s="7">
        <v>42420</v>
      </c>
      <c r="H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>
        <v>23713</v>
      </c>
      <c r="B453" s="4" t="s">
        <v>630</v>
      </c>
      <c r="C453" s="4" t="s">
        <v>48</v>
      </c>
      <c r="D453" s="4" t="s">
        <v>13</v>
      </c>
      <c r="E453" s="4" t="s">
        <v>10</v>
      </c>
      <c r="F453" s="4">
        <v>141</v>
      </c>
      <c r="G453" s="7">
        <v>42432</v>
      </c>
      <c r="H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>
        <v>23714</v>
      </c>
      <c r="B454" s="4" t="s">
        <v>631</v>
      </c>
      <c r="C454" s="4" t="s">
        <v>384</v>
      </c>
      <c r="D454" s="4" t="s">
        <v>20</v>
      </c>
      <c r="E454" s="4" t="s">
        <v>10</v>
      </c>
      <c r="F454" s="4">
        <v>184</v>
      </c>
      <c r="G454" s="7">
        <v>42424</v>
      </c>
      <c r="H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>
        <v>23715</v>
      </c>
      <c r="B455" s="4" t="s">
        <v>632</v>
      </c>
      <c r="C455" s="4" t="s">
        <v>274</v>
      </c>
      <c r="D455" s="4" t="s">
        <v>58</v>
      </c>
      <c r="E455" s="4" t="s">
        <v>10</v>
      </c>
      <c r="F455" s="4">
        <v>119</v>
      </c>
      <c r="G455" s="7">
        <v>42434</v>
      </c>
      <c r="H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>
        <v>23716</v>
      </c>
      <c r="B456" s="4" t="s">
        <v>633</v>
      </c>
      <c r="C456" s="4" t="s">
        <v>369</v>
      </c>
      <c r="D456" s="4" t="s">
        <v>58</v>
      </c>
      <c r="E456" s="4" t="s">
        <v>10</v>
      </c>
      <c r="F456" s="4">
        <v>49</v>
      </c>
      <c r="G456" s="7">
        <v>42419</v>
      </c>
      <c r="H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>
        <v>23717</v>
      </c>
      <c r="B457" s="4" t="s">
        <v>634</v>
      </c>
      <c r="C457" s="4" t="s">
        <v>406</v>
      </c>
      <c r="D457" s="4" t="s">
        <v>20</v>
      </c>
      <c r="E457" s="4" t="s">
        <v>17</v>
      </c>
      <c r="F457" s="4">
        <v>93</v>
      </c>
      <c r="G457" s="7">
        <v>42397</v>
      </c>
      <c r="H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>
        <v>23718</v>
      </c>
      <c r="B458" s="4" t="s">
        <v>635</v>
      </c>
      <c r="C458" s="4" t="s">
        <v>422</v>
      </c>
      <c r="D458" s="4" t="s">
        <v>58</v>
      </c>
      <c r="E458" s="4" t="s">
        <v>17</v>
      </c>
      <c r="F458" s="4">
        <v>187</v>
      </c>
      <c r="G458" s="7">
        <v>42389</v>
      </c>
      <c r="H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>
        <v>23719</v>
      </c>
      <c r="B459" s="4" t="s">
        <v>636</v>
      </c>
      <c r="C459" s="4" t="s">
        <v>100</v>
      </c>
      <c r="D459" s="4" t="s">
        <v>51</v>
      </c>
      <c r="E459" s="4" t="s">
        <v>59</v>
      </c>
      <c r="F459" s="4">
        <v>183</v>
      </c>
      <c r="G459" s="7">
        <v>42446</v>
      </c>
      <c r="H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>
        <v>23720</v>
      </c>
      <c r="B460" s="4" t="s">
        <v>637</v>
      </c>
      <c r="C460" s="4" t="s">
        <v>40</v>
      </c>
      <c r="D460" s="4" t="s">
        <v>26</v>
      </c>
      <c r="E460" s="4" t="s">
        <v>17</v>
      </c>
      <c r="F460" s="4">
        <v>58</v>
      </c>
      <c r="G460" s="7">
        <v>42450</v>
      </c>
      <c r="H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>
        <v>23721</v>
      </c>
      <c r="B461" s="4" t="s">
        <v>638</v>
      </c>
      <c r="C461" s="4" t="s">
        <v>174</v>
      </c>
      <c r="D461" s="4" t="s">
        <v>23</v>
      </c>
      <c r="E461" s="4" t="s">
        <v>17</v>
      </c>
      <c r="F461" s="4">
        <v>194</v>
      </c>
      <c r="G461" s="7">
        <v>42420</v>
      </c>
      <c r="H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>
        <v>23722</v>
      </c>
      <c r="B462" s="4" t="s">
        <v>639</v>
      </c>
      <c r="C462" s="4" t="s">
        <v>71</v>
      </c>
      <c r="D462" s="4" t="s">
        <v>16</v>
      </c>
      <c r="E462" s="4" t="s">
        <v>59</v>
      </c>
      <c r="F462" s="4">
        <v>211</v>
      </c>
      <c r="G462" s="7">
        <v>42410</v>
      </c>
      <c r="H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>
        <v>23723</v>
      </c>
      <c r="B463" s="4" t="s">
        <v>640</v>
      </c>
      <c r="C463" s="4" t="s">
        <v>43</v>
      </c>
      <c r="D463" s="4" t="s">
        <v>16</v>
      </c>
      <c r="E463" s="4" t="s">
        <v>17</v>
      </c>
      <c r="F463" s="4">
        <v>11</v>
      </c>
      <c r="G463" s="7">
        <v>42434</v>
      </c>
      <c r="H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>
        <v>23724</v>
      </c>
      <c r="B464" s="4" t="s">
        <v>641</v>
      </c>
      <c r="C464" s="4" t="s">
        <v>521</v>
      </c>
      <c r="D464" s="4" t="s">
        <v>46</v>
      </c>
      <c r="E464" s="4" t="s">
        <v>10</v>
      </c>
      <c r="F464" s="4">
        <v>33</v>
      </c>
      <c r="G464" s="7">
        <v>42424</v>
      </c>
      <c r="H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>
        <v>23725</v>
      </c>
      <c r="B465" s="4" t="s">
        <v>642</v>
      </c>
      <c r="C465" s="4" t="s">
        <v>228</v>
      </c>
      <c r="D465" s="4" t="s">
        <v>23</v>
      </c>
      <c r="E465" s="4" t="s">
        <v>10</v>
      </c>
      <c r="F465" s="4">
        <v>36</v>
      </c>
      <c r="G465" s="7">
        <v>42407</v>
      </c>
      <c r="H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>
        <v>23726</v>
      </c>
      <c r="B466" s="4" t="s">
        <v>643</v>
      </c>
      <c r="C466" s="4" t="s">
        <v>252</v>
      </c>
      <c r="D466" s="4" t="s">
        <v>23</v>
      </c>
      <c r="E466" s="4" t="s">
        <v>10</v>
      </c>
      <c r="F466" s="4">
        <v>141</v>
      </c>
      <c r="G466" s="7">
        <v>42422</v>
      </c>
      <c r="H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>
        <v>23727</v>
      </c>
      <c r="B467" s="4" t="s">
        <v>644</v>
      </c>
      <c r="C467" s="4" t="s">
        <v>131</v>
      </c>
      <c r="D467" s="4" t="s">
        <v>26</v>
      </c>
      <c r="E467" s="4" t="s">
        <v>17</v>
      </c>
      <c r="F467" s="4">
        <v>111</v>
      </c>
      <c r="G467" s="7">
        <v>42447</v>
      </c>
      <c r="H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>
        <v>23728</v>
      </c>
      <c r="B468" s="4" t="s">
        <v>645</v>
      </c>
      <c r="C468" s="4" t="s">
        <v>92</v>
      </c>
      <c r="D468" s="4" t="s">
        <v>26</v>
      </c>
      <c r="E468" s="4" t="s">
        <v>10</v>
      </c>
      <c r="F468" s="4">
        <v>171</v>
      </c>
      <c r="G468" s="7">
        <v>42425</v>
      </c>
      <c r="H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>
        <v>23729</v>
      </c>
      <c r="B469" s="4" t="s">
        <v>646</v>
      </c>
      <c r="C469" s="4" t="s">
        <v>142</v>
      </c>
      <c r="D469" s="4" t="s">
        <v>51</v>
      </c>
      <c r="E469" s="4" t="s">
        <v>17</v>
      </c>
      <c r="F469" s="4">
        <v>16</v>
      </c>
      <c r="G469" s="7">
        <v>42401</v>
      </c>
      <c r="H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>
        <v>23730</v>
      </c>
      <c r="B470" s="4" t="s">
        <v>647</v>
      </c>
      <c r="C470" s="4" t="s">
        <v>341</v>
      </c>
      <c r="D470" s="4" t="s">
        <v>23</v>
      </c>
      <c r="E470" s="4" t="s">
        <v>17</v>
      </c>
      <c r="F470" s="4">
        <v>144</v>
      </c>
      <c r="G470" s="7">
        <v>42390</v>
      </c>
      <c r="H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>
        <v>23731</v>
      </c>
      <c r="B471" s="4" t="s">
        <v>648</v>
      </c>
      <c r="C471" s="4" t="s">
        <v>88</v>
      </c>
      <c r="D471" s="4" t="s">
        <v>26</v>
      </c>
      <c r="E471" s="4" t="s">
        <v>17</v>
      </c>
      <c r="F471" s="4">
        <v>104</v>
      </c>
      <c r="G471" s="7">
        <v>42376</v>
      </c>
      <c r="H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>
        <v>23732</v>
      </c>
      <c r="B472" s="4" t="s">
        <v>649</v>
      </c>
      <c r="C472" s="4" t="s">
        <v>352</v>
      </c>
      <c r="D472" s="4" t="s">
        <v>23</v>
      </c>
      <c r="E472" s="4" t="s">
        <v>10</v>
      </c>
      <c r="F472" s="4">
        <v>196</v>
      </c>
      <c r="G472" s="7">
        <v>42421</v>
      </c>
      <c r="H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>
        <v>23733</v>
      </c>
      <c r="B473" s="4" t="s">
        <v>650</v>
      </c>
      <c r="C473" s="4" t="s">
        <v>263</v>
      </c>
      <c r="D473" s="4" t="s">
        <v>13</v>
      </c>
      <c r="E473" s="4" t="s">
        <v>10</v>
      </c>
      <c r="F473" s="4">
        <v>14</v>
      </c>
      <c r="G473" s="7">
        <v>42419</v>
      </c>
      <c r="H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>
        <v>23734</v>
      </c>
      <c r="B474" s="4" t="s">
        <v>651</v>
      </c>
      <c r="C474" s="4" t="s">
        <v>257</v>
      </c>
      <c r="D474" s="4" t="s">
        <v>29</v>
      </c>
      <c r="E474" s="4" t="s">
        <v>17</v>
      </c>
      <c r="F474" s="4">
        <v>87</v>
      </c>
      <c r="G474" s="7">
        <v>42371</v>
      </c>
      <c r="H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>
        <v>23735</v>
      </c>
      <c r="B475" s="4" t="s">
        <v>652</v>
      </c>
      <c r="C475" s="4" t="s">
        <v>566</v>
      </c>
      <c r="D475" s="4" t="s">
        <v>46</v>
      </c>
      <c r="E475" s="4" t="s">
        <v>10</v>
      </c>
      <c r="F475" s="4">
        <v>66</v>
      </c>
      <c r="G475" s="7">
        <v>42423</v>
      </c>
      <c r="H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>
        <v>23736</v>
      </c>
      <c r="B476" s="4" t="s">
        <v>653</v>
      </c>
      <c r="C476" s="4" t="s">
        <v>133</v>
      </c>
      <c r="D476" s="4" t="s">
        <v>13</v>
      </c>
      <c r="E476" s="4" t="s">
        <v>10</v>
      </c>
      <c r="F476" s="4">
        <v>154</v>
      </c>
      <c r="G476" s="7">
        <v>42385</v>
      </c>
      <c r="H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>
        <v>23737</v>
      </c>
      <c r="B477" s="4" t="s">
        <v>654</v>
      </c>
      <c r="C477" s="4" t="s">
        <v>366</v>
      </c>
      <c r="D477" s="4" t="s">
        <v>13</v>
      </c>
      <c r="E477" s="4" t="s">
        <v>10</v>
      </c>
      <c r="F477" s="4">
        <v>16</v>
      </c>
      <c r="G477" s="7">
        <v>42398</v>
      </c>
      <c r="H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>
        <v>23738</v>
      </c>
      <c r="B478" s="4" t="s">
        <v>655</v>
      </c>
      <c r="C478" s="4" t="s">
        <v>155</v>
      </c>
      <c r="D478" s="4" t="s">
        <v>51</v>
      </c>
      <c r="E478" s="4" t="s">
        <v>10</v>
      </c>
      <c r="F478" s="4">
        <v>89</v>
      </c>
      <c r="G478" s="7">
        <v>42402</v>
      </c>
      <c r="H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>
        <v>23739</v>
      </c>
      <c r="B479" s="4" t="s">
        <v>656</v>
      </c>
      <c r="C479" s="4" t="s">
        <v>193</v>
      </c>
      <c r="D479" s="4" t="s">
        <v>34</v>
      </c>
      <c r="E479" s="4" t="s">
        <v>10</v>
      </c>
      <c r="F479" s="4">
        <v>150</v>
      </c>
      <c r="G479" s="7">
        <v>42452</v>
      </c>
      <c r="H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>
        <v>23740</v>
      </c>
      <c r="B480" s="4" t="s">
        <v>657</v>
      </c>
      <c r="C480" s="4" t="s">
        <v>148</v>
      </c>
      <c r="D480" s="4" t="s">
        <v>16</v>
      </c>
      <c r="E480" s="4" t="s">
        <v>59</v>
      </c>
      <c r="F480" s="4">
        <v>76</v>
      </c>
      <c r="G480" s="7">
        <v>42394</v>
      </c>
      <c r="H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>
        <v>23741</v>
      </c>
      <c r="B481" s="4" t="s">
        <v>658</v>
      </c>
      <c r="C481" s="4" t="s">
        <v>288</v>
      </c>
      <c r="D481" s="4" t="s">
        <v>26</v>
      </c>
      <c r="E481" s="4" t="s">
        <v>17</v>
      </c>
      <c r="F481" s="4">
        <v>178</v>
      </c>
      <c r="G481" s="7">
        <v>42406</v>
      </c>
      <c r="H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>
        <v>23742</v>
      </c>
      <c r="B482" s="4" t="s">
        <v>659</v>
      </c>
      <c r="C482" s="4" t="s">
        <v>146</v>
      </c>
      <c r="D482" s="4" t="s">
        <v>20</v>
      </c>
      <c r="E482" s="4" t="s">
        <v>10</v>
      </c>
      <c r="F482" s="4">
        <v>193</v>
      </c>
      <c r="G482" s="7">
        <v>42398</v>
      </c>
      <c r="H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>
        <v>23743</v>
      </c>
      <c r="B483" s="4" t="s">
        <v>660</v>
      </c>
      <c r="C483" s="4" t="s">
        <v>79</v>
      </c>
      <c r="D483" s="4" t="s">
        <v>34</v>
      </c>
      <c r="E483" s="4" t="s">
        <v>17</v>
      </c>
      <c r="F483" s="4">
        <v>174</v>
      </c>
      <c r="G483" s="7">
        <v>42436</v>
      </c>
      <c r="H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>
        <v>23744</v>
      </c>
      <c r="B484" s="4" t="s">
        <v>661</v>
      </c>
      <c r="C484" s="4" t="s">
        <v>662</v>
      </c>
      <c r="D484" s="4" t="s">
        <v>16</v>
      </c>
      <c r="E484" s="4" t="s">
        <v>17</v>
      </c>
      <c r="F484" s="4">
        <v>127</v>
      </c>
      <c r="G484" s="7">
        <v>42407</v>
      </c>
      <c r="H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>
        <v>23745</v>
      </c>
      <c r="B485" s="4" t="s">
        <v>663</v>
      </c>
      <c r="C485" s="4" t="s">
        <v>297</v>
      </c>
      <c r="D485" s="4" t="s">
        <v>16</v>
      </c>
      <c r="E485" s="4" t="s">
        <v>10</v>
      </c>
      <c r="F485" s="4">
        <v>180</v>
      </c>
      <c r="G485" s="7">
        <v>42448</v>
      </c>
      <c r="H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>
        <v>23746</v>
      </c>
      <c r="B486" s="4" t="s">
        <v>664</v>
      </c>
      <c r="C486" s="4" t="s">
        <v>114</v>
      </c>
      <c r="D486" s="4" t="s">
        <v>23</v>
      </c>
      <c r="E486" s="4" t="s">
        <v>17</v>
      </c>
      <c r="F486" s="4">
        <v>10</v>
      </c>
      <c r="G486" s="7">
        <v>42409</v>
      </c>
      <c r="H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>
        <v>23747</v>
      </c>
      <c r="B487" s="4" t="s">
        <v>665</v>
      </c>
      <c r="C487" s="4" t="s">
        <v>140</v>
      </c>
      <c r="D487" s="4" t="s">
        <v>29</v>
      </c>
      <c r="E487" s="4" t="s">
        <v>10</v>
      </c>
      <c r="F487" s="4">
        <v>97</v>
      </c>
      <c r="G487" s="7">
        <v>42385</v>
      </c>
      <c r="H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>
        <v>23748</v>
      </c>
      <c r="B488" s="4" t="s">
        <v>666</v>
      </c>
      <c r="C488" s="4" t="s">
        <v>152</v>
      </c>
      <c r="D488" s="4" t="s">
        <v>34</v>
      </c>
      <c r="E488" s="4" t="s">
        <v>17</v>
      </c>
      <c r="F488" s="4">
        <v>23</v>
      </c>
      <c r="G488" s="7">
        <v>42409</v>
      </c>
      <c r="H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>
        <v>23749</v>
      </c>
      <c r="B489" s="4" t="s">
        <v>667</v>
      </c>
      <c r="C489" s="4" t="s">
        <v>538</v>
      </c>
      <c r="D489" s="4" t="s">
        <v>23</v>
      </c>
      <c r="E489" s="4" t="s">
        <v>17</v>
      </c>
      <c r="F489" s="4">
        <v>139</v>
      </c>
      <c r="G489" s="7">
        <v>42455</v>
      </c>
      <c r="H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>
        <v>23750</v>
      </c>
      <c r="B490" s="4" t="s">
        <v>668</v>
      </c>
      <c r="C490" s="4" t="s">
        <v>136</v>
      </c>
      <c r="D490" s="4" t="s">
        <v>34</v>
      </c>
      <c r="E490" s="4" t="s">
        <v>10</v>
      </c>
      <c r="F490" s="4">
        <v>75</v>
      </c>
      <c r="G490" s="7">
        <v>42411</v>
      </c>
      <c r="H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>
        <v>23751</v>
      </c>
      <c r="B491" s="4" t="s">
        <v>669</v>
      </c>
      <c r="C491" s="4" t="s">
        <v>71</v>
      </c>
      <c r="D491" s="4" t="s">
        <v>58</v>
      </c>
      <c r="E491" s="4" t="s">
        <v>17</v>
      </c>
      <c r="F491" s="4">
        <v>166</v>
      </c>
      <c r="G491" s="7">
        <v>42421</v>
      </c>
      <c r="H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>
        <v>23752</v>
      </c>
      <c r="B492" s="4" t="s">
        <v>670</v>
      </c>
      <c r="C492" s="4" t="s">
        <v>79</v>
      </c>
      <c r="D492" s="4" t="s">
        <v>26</v>
      </c>
      <c r="E492" s="4" t="s">
        <v>10</v>
      </c>
      <c r="F492" s="4">
        <v>115</v>
      </c>
      <c r="G492" s="7">
        <v>42376</v>
      </c>
      <c r="H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>
        <v>23753</v>
      </c>
      <c r="B493" s="4" t="s">
        <v>671</v>
      </c>
      <c r="C493" s="4" t="s">
        <v>31</v>
      </c>
      <c r="D493" s="4" t="s">
        <v>29</v>
      </c>
      <c r="E493" s="4" t="s">
        <v>17</v>
      </c>
      <c r="F493" s="4">
        <v>206</v>
      </c>
      <c r="G493" s="7">
        <v>42412</v>
      </c>
      <c r="H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>
        <v>23754</v>
      </c>
      <c r="B494" s="4" t="s">
        <v>672</v>
      </c>
      <c r="C494" s="4" t="s">
        <v>178</v>
      </c>
      <c r="D494" s="4" t="s">
        <v>23</v>
      </c>
      <c r="E494" s="4" t="s">
        <v>17</v>
      </c>
      <c r="F494" s="4">
        <v>66</v>
      </c>
      <c r="G494" s="7">
        <v>42452</v>
      </c>
      <c r="H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>
        <v>23755</v>
      </c>
      <c r="B495" s="4" t="s">
        <v>673</v>
      </c>
      <c r="C495" s="4" t="s">
        <v>442</v>
      </c>
      <c r="D495" s="4" t="s">
        <v>13</v>
      </c>
      <c r="E495" s="4" t="s">
        <v>17</v>
      </c>
      <c r="F495" s="4">
        <v>65</v>
      </c>
      <c r="G495" s="7">
        <v>42375</v>
      </c>
      <c r="H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>
        <v>23756</v>
      </c>
      <c r="B496" s="4" t="s">
        <v>674</v>
      </c>
      <c r="C496" s="4" t="s">
        <v>403</v>
      </c>
      <c r="D496" s="4" t="s">
        <v>51</v>
      </c>
      <c r="E496" s="4" t="s">
        <v>17</v>
      </c>
      <c r="F496" s="4">
        <v>92</v>
      </c>
      <c r="G496" s="7">
        <v>42373</v>
      </c>
      <c r="H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>
        <v>23757</v>
      </c>
      <c r="B497" s="4" t="s">
        <v>675</v>
      </c>
      <c r="C497" s="4" t="s">
        <v>142</v>
      </c>
      <c r="D497" s="4" t="s">
        <v>26</v>
      </c>
      <c r="E497" s="4" t="s">
        <v>17</v>
      </c>
      <c r="F497" s="4">
        <v>185</v>
      </c>
      <c r="G497" s="7">
        <v>42416</v>
      </c>
      <c r="H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>
        <v>23758</v>
      </c>
      <c r="B498" s="4" t="s">
        <v>676</v>
      </c>
      <c r="C498" s="4" t="s">
        <v>15</v>
      </c>
      <c r="D498" s="4" t="s">
        <v>13</v>
      </c>
      <c r="E498" s="4" t="s">
        <v>10</v>
      </c>
      <c r="F498" s="4">
        <v>205</v>
      </c>
      <c r="G498" s="7">
        <v>42428</v>
      </c>
      <c r="H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>
        <v>23759</v>
      </c>
      <c r="B499" s="4" t="s">
        <v>677</v>
      </c>
      <c r="C499" s="4" t="s">
        <v>331</v>
      </c>
      <c r="D499" s="4" t="s">
        <v>23</v>
      </c>
      <c r="E499" s="4" t="s">
        <v>17</v>
      </c>
      <c r="F499" s="4">
        <v>82</v>
      </c>
      <c r="G499" s="7">
        <v>42388</v>
      </c>
      <c r="H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>
        <v>23760</v>
      </c>
      <c r="B500" s="4" t="s">
        <v>678</v>
      </c>
      <c r="C500" s="4" t="s">
        <v>333</v>
      </c>
      <c r="D500" s="4" t="s">
        <v>9</v>
      </c>
      <c r="E500" s="4" t="s">
        <v>59</v>
      </c>
      <c r="F500" s="4">
        <v>69</v>
      </c>
      <c r="G500" s="7">
        <v>42444</v>
      </c>
      <c r="H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>
        <v>23761</v>
      </c>
      <c r="B501" s="4" t="s">
        <v>679</v>
      </c>
      <c r="C501" s="4" t="s">
        <v>390</v>
      </c>
      <c r="D501" s="4" t="s">
        <v>23</v>
      </c>
      <c r="E501" s="4" t="s">
        <v>17</v>
      </c>
      <c r="F501" s="4">
        <v>198</v>
      </c>
      <c r="G501" s="7">
        <v>42417</v>
      </c>
      <c r="H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>
        <v>23762</v>
      </c>
      <c r="B502" s="4" t="s">
        <v>680</v>
      </c>
      <c r="C502" s="4" t="s">
        <v>119</v>
      </c>
      <c r="D502" s="4" t="s">
        <v>34</v>
      </c>
      <c r="E502" s="4" t="s">
        <v>10</v>
      </c>
      <c r="F502" s="4">
        <v>105</v>
      </c>
      <c r="G502" s="7">
        <v>42425</v>
      </c>
      <c r="H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>
        <v>23763</v>
      </c>
      <c r="B503" s="4" t="s">
        <v>681</v>
      </c>
      <c r="C503" s="4" t="s">
        <v>142</v>
      </c>
      <c r="D503" s="4" t="s">
        <v>16</v>
      </c>
      <c r="E503" s="4" t="s">
        <v>10</v>
      </c>
      <c r="F503" s="4">
        <v>7</v>
      </c>
      <c r="G503" s="7">
        <v>42440</v>
      </c>
      <c r="H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>
        <v>23764</v>
      </c>
      <c r="B504" s="4" t="s">
        <v>682</v>
      </c>
      <c r="C504" s="4" t="s">
        <v>100</v>
      </c>
      <c r="D504" s="4" t="s">
        <v>13</v>
      </c>
      <c r="E504" s="4" t="s">
        <v>59</v>
      </c>
      <c r="F504" s="4">
        <v>122</v>
      </c>
      <c r="G504" s="7">
        <v>42413</v>
      </c>
      <c r="H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>
        <v>23765</v>
      </c>
      <c r="B505" s="4" t="s">
        <v>683</v>
      </c>
      <c r="C505" s="4" t="s">
        <v>168</v>
      </c>
      <c r="D505" s="4" t="s">
        <v>26</v>
      </c>
      <c r="E505" s="4" t="s">
        <v>10</v>
      </c>
      <c r="F505" s="4">
        <v>29</v>
      </c>
      <c r="G505" s="7">
        <v>42446</v>
      </c>
      <c r="H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>
        <v>23766</v>
      </c>
      <c r="B506" s="4" t="s">
        <v>684</v>
      </c>
      <c r="C506" s="4" t="s">
        <v>341</v>
      </c>
      <c r="D506" s="4" t="s">
        <v>9</v>
      </c>
      <c r="E506" s="4" t="s">
        <v>17</v>
      </c>
      <c r="F506" s="4">
        <v>75</v>
      </c>
      <c r="G506" s="7">
        <v>42426</v>
      </c>
      <c r="H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>
        <v>23767</v>
      </c>
      <c r="B507" s="4" t="s">
        <v>685</v>
      </c>
      <c r="C507" s="4" t="s">
        <v>133</v>
      </c>
      <c r="D507" s="4" t="s">
        <v>23</v>
      </c>
      <c r="E507" s="4" t="s">
        <v>17</v>
      </c>
      <c r="F507" s="4">
        <v>83</v>
      </c>
      <c r="G507" s="7">
        <v>42400</v>
      </c>
      <c r="H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>
        <v>23768</v>
      </c>
      <c r="B508" s="4" t="s">
        <v>686</v>
      </c>
      <c r="C508" s="4" t="s">
        <v>390</v>
      </c>
      <c r="D508" s="4" t="s">
        <v>58</v>
      </c>
      <c r="E508" s="4" t="s">
        <v>10</v>
      </c>
      <c r="F508" s="4">
        <v>168</v>
      </c>
      <c r="G508" s="7">
        <v>42373</v>
      </c>
      <c r="H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>
        <v>23769</v>
      </c>
      <c r="B509" s="4" t="s">
        <v>687</v>
      </c>
      <c r="C509" s="4" t="s">
        <v>193</v>
      </c>
      <c r="D509" s="4" t="s">
        <v>46</v>
      </c>
      <c r="E509" s="4" t="s">
        <v>10</v>
      </c>
      <c r="F509" s="4">
        <v>153</v>
      </c>
      <c r="G509" s="7">
        <v>42439</v>
      </c>
      <c r="H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>
        <v>23770</v>
      </c>
      <c r="B510" s="4" t="s">
        <v>688</v>
      </c>
      <c r="C510" s="4" t="s">
        <v>267</v>
      </c>
      <c r="D510" s="4" t="s">
        <v>46</v>
      </c>
      <c r="E510" s="4" t="s">
        <v>10</v>
      </c>
      <c r="F510" s="4">
        <v>109</v>
      </c>
      <c r="G510" s="7">
        <v>42402</v>
      </c>
      <c r="H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>
        <v>23771</v>
      </c>
      <c r="B511" s="4" t="s">
        <v>689</v>
      </c>
      <c r="C511" s="4" t="s">
        <v>490</v>
      </c>
      <c r="D511" s="4" t="s">
        <v>58</v>
      </c>
      <c r="E511" s="4" t="s">
        <v>10</v>
      </c>
      <c r="F511" s="4">
        <v>57</v>
      </c>
      <c r="G511" s="7">
        <v>42428</v>
      </c>
      <c r="H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>
        <v>23772</v>
      </c>
      <c r="B512" s="4" t="s">
        <v>690</v>
      </c>
      <c r="C512" s="4" t="s">
        <v>100</v>
      </c>
      <c r="D512" s="4" t="s">
        <v>16</v>
      </c>
      <c r="E512" s="4" t="s">
        <v>10</v>
      </c>
      <c r="F512" s="4">
        <v>119</v>
      </c>
      <c r="G512" s="7">
        <v>42385</v>
      </c>
      <c r="H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>
        <v>23773</v>
      </c>
      <c r="B513" s="4" t="s">
        <v>691</v>
      </c>
      <c r="C513" s="4" t="s">
        <v>172</v>
      </c>
      <c r="D513" s="4" t="s">
        <v>13</v>
      </c>
      <c r="E513" s="4" t="s">
        <v>17</v>
      </c>
      <c r="F513" s="4">
        <v>87</v>
      </c>
      <c r="G513" s="7">
        <v>42428</v>
      </c>
      <c r="H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>
        <v>23774</v>
      </c>
      <c r="B514" s="4" t="s">
        <v>692</v>
      </c>
      <c r="C514" s="4" t="s">
        <v>12</v>
      </c>
      <c r="D514" s="4" t="s">
        <v>26</v>
      </c>
      <c r="E514" s="4" t="s">
        <v>17</v>
      </c>
      <c r="F514" s="4">
        <v>170</v>
      </c>
      <c r="G514" s="7">
        <v>42436</v>
      </c>
      <c r="H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>
        <v>23775</v>
      </c>
      <c r="B515" s="4" t="s">
        <v>693</v>
      </c>
      <c r="C515" s="4" t="s">
        <v>694</v>
      </c>
      <c r="D515" s="4" t="s">
        <v>34</v>
      </c>
      <c r="E515" s="4" t="s">
        <v>17</v>
      </c>
      <c r="F515" s="4">
        <v>91</v>
      </c>
      <c r="G515" s="7">
        <v>42373</v>
      </c>
      <c r="H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>
        <v>23776</v>
      </c>
      <c r="B516" s="4" t="s">
        <v>695</v>
      </c>
      <c r="C516" s="4" t="s">
        <v>434</v>
      </c>
      <c r="D516" s="4" t="s">
        <v>29</v>
      </c>
      <c r="E516" s="4" t="s">
        <v>17</v>
      </c>
      <c r="F516" s="4">
        <v>124</v>
      </c>
      <c r="G516" s="7">
        <v>42433</v>
      </c>
      <c r="H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>
        <v>23777</v>
      </c>
      <c r="B517" s="4" t="s">
        <v>696</v>
      </c>
      <c r="C517" s="4" t="s">
        <v>129</v>
      </c>
      <c r="D517" s="4" t="s">
        <v>13</v>
      </c>
      <c r="E517" s="4" t="s">
        <v>10</v>
      </c>
      <c r="F517" s="4">
        <v>163</v>
      </c>
      <c r="G517" s="7">
        <v>42419</v>
      </c>
      <c r="H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>
        <v>23778</v>
      </c>
      <c r="B518" s="4" t="s">
        <v>697</v>
      </c>
      <c r="C518" s="4" t="s">
        <v>125</v>
      </c>
      <c r="D518" s="4" t="s">
        <v>29</v>
      </c>
      <c r="E518" s="4" t="s">
        <v>10</v>
      </c>
      <c r="F518" s="4">
        <v>81</v>
      </c>
      <c r="G518" s="7">
        <v>42397</v>
      </c>
      <c r="H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>
        <v>23779</v>
      </c>
      <c r="B519" s="4" t="s">
        <v>698</v>
      </c>
      <c r="C519" s="4" t="s">
        <v>15</v>
      </c>
      <c r="D519" s="4" t="s">
        <v>34</v>
      </c>
      <c r="E519" s="4" t="s">
        <v>10</v>
      </c>
      <c r="F519" s="4">
        <v>124</v>
      </c>
      <c r="G519" s="7">
        <v>42436</v>
      </c>
      <c r="H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>
        <v>23780</v>
      </c>
      <c r="B520" s="4" t="s">
        <v>699</v>
      </c>
      <c r="C520" s="4" t="s">
        <v>57</v>
      </c>
      <c r="D520" s="4" t="s">
        <v>16</v>
      </c>
      <c r="E520" s="4" t="s">
        <v>17</v>
      </c>
      <c r="F520" s="4">
        <v>40</v>
      </c>
      <c r="G520" s="7">
        <v>42446</v>
      </c>
      <c r="H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>
        <v>23781</v>
      </c>
      <c r="B521" s="4" t="s">
        <v>700</v>
      </c>
      <c r="C521" s="4" t="s">
        <v>33</v>
      </c>
      <c r="D521" s="4" t="s">
        <v>46</v>
      </c>
      <c r="E521" s="4" t="s">
        <v>10</v>
      </c>
      <c r="F521" s="4">
        <v>198</v>
      </c>
      <c r="G521" s="7">
        <v>42435</v>
      </c>
      <c r="H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>
        <v>23782</v>
      </c>
      <c r="B522" s="4" t="s">
        <v>701</v>
      </c>
      <c r="C522" s="4" t="s">
        <v>28</v>
      </c>
      <c r="D522" s="4" t="s">
        <v>16</v>
      </c>
      <c r="E522" s="4" t="s">
        <v>10</v>
      </c>
      <c r="F522" s="4">
        <v>170</v>
      </c>
      <c r="G522" s="7">
        <v>42448</v>
      </c>
      <c r="H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>
        <v>23783</v>
      </c>
      <c r="B523" s="4" t="s">
        <v>702</v>
      </c>
      <c r="C523" s="4" t="s">
        <v>8</v>
      </c>
      <c r="D523" s="4" t="s">
        <v>26</v>
      </c>
      <c r="E523" s="4" t="s">
        <v>17</v>
      </c>
      <c r="F523" s="4">
        <v>127</v>
      </c>
      <c r="G523" s="7">
        <v>42376</v>
      </c>
      <c r="H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>
        <v>23784</v>
      </c>
      <c r="B524" s="4" t="s">
        <v>703</v>
      </c>
      <c r="C524" s="4" t="s">
        <v>257</v>
      </c>
      <c r="D524" s="4" t="s">
        <v>46</v>
      </c>
      <c r="E524" s="4" t="s">
        <v>17</v>
      </c>
      <c r="F524" s="4">
        <v>86</v>
      </c>
      <c r="G524" s="7">
        <v>42425</v>
      </c>
      <c r="H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>
        <v>23785</v>
      </c>
      <c r="B525" s="4" t="s">
        <v>704</v>
      </c>
      <c r="C525" s="4" t="s">
        <v>694</v>
      </c>
      <c r="D525" s="4" t="s">
        <v>26</v>
      </c>
      <c r="E525" s="4" t="s">
        <v>59</v>
      </c>
      <c r="F525" s="4">
        <v>109</v>
      </c>
      <c r="G525" s="7">
        <v>42400</v>
      </c>
      <c r="H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>
        <v>23786</v>
      </c>
      <c r="B526" s="4" t="s">
        <v>705</v>
      </c>
      <c r="C526" s="4" t="s">
        <v>176</v>
      </c>
      <c r="D526" s="4" t="s">
        <v>46</v>
      </c>
      <c r="E526" s="4" t="s">
        <v>10</v>
      </c>
      <c r="F526" s="4">
        <v>194</v>
      </c>
      <c r="G526" s="7">
        <v>42376</v>
      </c>
      <c r="H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>
        <v>23787</v>
      </c>
      <c r="B527" s="4" t="s">
        <v>706</v>
      </c>
      <c r="C527" s="4" t="s">
        <v>521</v>
      </c>
      <c r="D527" s="4" t="s">
        <v>46</v>
      </c>
      <c r="E527" s="4" t="s">
        <v>10</v>
      </c>
      <c r="F527" s="4">
        <v>29</v>
      </c>
      <c r="G527" s="7">
        <v>42415</v>
      </c>
      <c r="H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>
        <v>23788</v>
      </c>
      <c r="B528" s="4" t="s">
        <v>707</v>
      </c>
      <c r="C528" s="4" t="s">
        <v>61</v>
      </c>
      <c r="D528" s="4" t="s">
        <v>16</v>
      </c>
      <c r="E528" s="4" t="s">
        <v>10</v>
      </c>
      <c r="F528" s="4">
        <v>60</v>
      </c>
      <c r="G528" s="7">
        <v>42433</v>
      </c>
      <c r="H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>
        <v>23789</v>
      </c>
      <c r="B529" s="4" t="s">
        <v>708</v>
      </c>
      <c r="C529" s="4" t="s">
        <v>71</v>
      </c>
      <c r="D529" s="4" t="s">
        <v>9</v>
      </c>
      <c r="E529" s="4" t="s">
        <v>17</v>
      </c>
      <c r="F529" s="4">
        <v>47</v>
      </c>
      <c r="G529" s="7">
        <v>42396</v>
      </c>
      <c r="H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>
        <v>23790</v>
      </c>
      <c r="B530" s="4" t="s">
        <v>709</v>
      </c>
      <c r="C530" s="4" t="s">
        <v>710</v>
      </c>
      <c r="D530" s="4" t="s">
        <v>20</v>
      </c>
      <c r="E530" s="4" t="s">
        <v>10</v>
      </c>
      <c r="F530" s="4">
        <v>114</v>
      </c>
      <c r="G530" s="7">
        <v>42404</v>
      </c>
      <c r="H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>
        <v>23791</v>
      </c>
      <c r="B531" s="4" t="s">
        <v>711</v>
      </c>
      <c r="C531" s="4" t="s">
        <v>100</v>
      </c>
      <c r="D531" s="4" t="s">
        <v>34</v>
      </c>
      <c r="E531" s="4" t="s">
        <v>10</v>
      </c>
      <c r="F531" s="4">
        <v>33</v>
      </c>
      <c r="G531" s="7">
        <v>42404</v>
      </c>
      <c r="H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>
        <v>23792</v>
      </c>
      <c r="B532" s="4" t="s">
        <v>712</v>
      </c>
      <c r="C532" s="4" t="s">
        <v>71</v>
      </c>
      <c r="D532" s="4" t="s">
        <v>46</v>
      </c>
      <c r="E532" s="4" t="s">
        <v>10</v>
      </c>
      <c r="F532" s="4">
        <v>31</v>
      </c>
      <c r="G532" s="7">
        <v>42402</v>
      </c>
      <c r="H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>
        <v>23793</v>
      </c>
      <c r="B533" s="4" t="s">
        <v>713</v>
      </c>
      <c r="C533" s="4" t="s">
        <v>442</v>
      </c>
      <c r="D533" s="4" t="s">
        <v>13</v>
      </c>
      <c r="E533" s="4" t="s">
        <v>59</v>
      </c>
      <c r="F533" s="4">
        <v>12</v>
      </c>
      <c r="G533" s="7">
        <v>42458</v>
      </c>
      <c r="H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>
        <v>23794</v>
      </c>
      <c r="B534" s="4" t="s">
        <v>714</v>
      </c>
      <c r="C534" s="4" t="s">
        <v>357</v>
      </c>
      <c r="D534" s="4" t="s">
        <v>16</v>
      </c>
      <c r="E534" s="4" t="s">
        <v>10</v>
      </c>
      <c r="F534" s="4">
        <v>50</v>
      </c>
      <c r="G534" s="7">
        <v>42454</v>
      </c>
      <c r="H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>
        <v>23795</v>
      </c>
      <c r="B535" s="4" t="s">
        <v>715</v>
      </c>
      <c r="C535" s="4" t="s">
        <v>557</v>
      </c>
      <c r="D535" s="4" t="s">
        <v>23</v>
      </c>
      <c r="E535" s="4" t="s">
        <v>59</v>
      </c>
      <c r="F535" s="4">
        <v>115</v>
      </c>
      <c r="G535" s="7">
        <v>42401</v>
      </c>
      <c r="H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>
        <v>23796</v>
      </c>
      <c r="B536" s="4" t="s">
        <v>716</v>
      </c>
      <c r="C536" s="4" t="s">
        <v>198</v>
      </c>
      <c r="D536" s="4" t="s">
        <v>29</v>
      </c>
      <c r="E536" s="4" t="s">
        <v>17</v>
      </c>
      <c r="F536" s="4">
        <v>64</v>
      </c>
      <c r="G536" s="7">
        <v>42393</v>
      </c>
      <c r="H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>
        <v>23797</v>
      </c>
      <c r="B537" s="4" t="s">
        <v>717</v>
      </c>
      <c r="C537" s="4" t="s">
        <v>212</v>
      </c>
      <c r="D537" s="4" t="s">
        <v>46</v>
      </c>
      <c r="E537" s="4" t="s">
        <v>17</v>
      </c>
      <c r="F537" s="4">
        <v>126</v>
      </c>
      <c r="G537" s="7">
        <v>42450</v>
      </c>
      <c r="H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>
        <v>23798</v>
      </c>
      <c r="B538" s="4" t="s">
        <v>718</v>
      </c>
      <c r="C538" s="4" t="s">
        <v>349</v>
      </c>
      <c r="D538" s="4" t="s">
        <v>51</v>
      </c>
      <c r="E538" s="4" t="s">
        <v>10</v>
      </c>
      <c r="F538" s="4">
        <v>177</v>
      </c>
      <c r="G538" s="7">
        <v>42427</v>
      </c>
      <c r="H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>
        <v>23799</v>
      </c>
      <c r="B539" s="4" t="s">
        <v>719</v>
      </c>
      <c r="C539" s="4" t="s">
        <v>48</v>
      </c>
      <c r="D539" s="4" t="s">
        <v>34</v>
      </c>
      <c r="E539" s="4" t="s">
        <v>17</v>
      </c>
      <c r="F539" s="4">
        <v>64</v>
      </c>
      <c r="G539" s="7">
        <v>42427</v>
      </c>
      <c r="H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>
        <v>23800</v>
      </c>
      <c r="B540" s="4" t="s">
        <v>720</v>
      </c>
      <c r="C540" s="4" t="s">
        <v>178</v>
      </c>
      <c r="D540" s="4" t="s">
        <v>9</v>
      </c>
      <c r="E540" s="4" t="s">
        <v>17</v>
      </c>
      <c r="F540" s="4">
        <v>44</v>
      </c>
      <c r="G540" s="7">
        <v>42397</v>
      </c>
      <c r="H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>
        <v>23801</v>
      </c>
      <c r="B541" s="4" t="s">
        <v>721</v>
      </c>
      <c r="C541" s="4" t="s">
        <v>133</v>
      </c>
      <c r="D541" s="4" t="s">
        <v>20</v>
      </c>
      <c r="E541" s="4" t="s">
        <v>17</v>
      </c>
      <c r="F541" s="4">
        <v>194</v>
      </c>
      <c r="G541" s="7">
        <v>42411</v>
      </c>
      <c r="H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>
        <v>23802</v>
      </c>
      <c r="B542" s="4" t="s">
        <v>722</v>
      </c>
      <c r="C542" s="4" t="s">
        <v>515</v>
      </c>
      <c r="D542" s="4" t="s">
        <v>34</v>
      </c>
      <c r="E542" s="4" t="s">
        <v>17</v>
      </c>
      <c r="F542" s="4">
        <v>49</v>
      </c>
      <c r="G542" s="7">
        <v>42408</v>
      </c>
      <c r="H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>
        <v>23803</v>
      </c>
      <c r="B543" s="4" t="s">
        <v>723</v>
      </c>
      <c r="C543" s="4" t="s">
        <v>366</v>
      </c>
      <c r="D543" s="4" t="s">
        <v>51</v>
      </c>
      <c r="E543" s="4" t="s">
        <v>10</v>
      </c>
      <c r="F543" s="4">
        <v>209</v>
      </c>
      <c r="G543" s="7">
        <v>42387</v>
      </c>
      <c r="H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>
        <v>23804</v>
      </c>
      <c r="B544" s="4" t="s">
        <v>724</v>
      </c>
      <c r="C544" s="4" t="s">
        <v>217</v>
      </c>
      <c r="D544" s="4" t="s">
        <v>29</v>
      </c>
      <c r="E544" s="4" t="s">
        <v>10</v>
      </c>
      <c r="F544" s="4">
        <v>105</v>
      </c>
      <c r="G544" s="7">
        <v>42456</v>
      </c>
      <c r="H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>
        <v>23805</v>
      </c>
      <c r="B545" s="4" t="s">
        <v>725</v>
      </c>
      <c r="C545" s="4" t="s">
        <v>19</v>
      </c>
      <c r="D545" s="4" t="s">
        <v>9</v>
      </c>
      <c r="E545" s="4" t="s">
        <v>10</v>
      </c>
      <c r="F545" s="4">
        <v>130</v>
      </c>
      <c r="G545" s="7">
        <v>42386</v>
      </c>
      <c r="H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>
        <v>23806</v>
      </c>
      <c r="B546" s="4" t="s">
        <v>726</v>
      </c>
      <c r="C546" s="4" t="s">
        <v>146</v>
      </c>
      <c r="D546" s="4" t="s">
        <v>16</v>
      </c>
      <c r="E546" s="4" t="s">
        <v>10</v>
      </c>
      <c r="F546" s="4">
        <v>48</v>
      </c>
      <c r="G546" s="7">
        <v>42434</v>
      </c>
      <c r="H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>
        <v>23807</v>
      </c>
      <c r="B547" s="4" t="s">
        <v>727</v>
      </c>
      <c r="C547" s="4" t="s">
        <v>283</v>
      </c>
      <c r="D547" s="4" t="s">
        <v>51</v>
      </c>
      <c r="E547" s="4" t="s">
        <v>59</v>
      </c>
      <c r="F547" s="4">
        <v>160</v>
      </c>
      <c r="G547" s="7">
        <v>42445</v>
      </c>
      <c r="H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>
        <v>23808</v>
      </c>
      <c r="B548" s="4" t="s">
        <v>728</v>
      </c>
      <c r="C548" s="4" t="s">
        <v>146</v>
      </c>
      <c r="D548" s="4" t="s">
        <v>51</v>
      </c>
      <c r="E548" s="4" t="s">
        <v>17</v>
      </c>
      <c r="F548" s="4">
        <v>179</v>
      </c>
      <c r="G548" s="7">
        <v>42382</v>
      </c>
      <c r="H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>
        <v>23809</v>
      </c>
      <c r="B549" s="4" t="s">
        <v>729</v>
      </c>
      <c r="C549" s="4" t="s">
        <v>321</v>
      </c>
      <c r="D549" s="4" t="s">
        <v>34</v>
      </c>
      <c r="E549" s="4" t="s">
        <v>10</v>
      </c>
      <c r="F549" s="4">
        <v>180</v>
      </c>
      <c r="G549" s="7">
        <v>42392</v>
      </c>
      <c r="H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>
        <v>23810</v>
      </c>
      <c r="B550" s="4" t="s">
        <v>730</v>
      </c>
      <c r="C550" s="4" t="s">
        <v>25</v>
      </c>
      <c r="D550" s="4" t="s">
        <v>51</v>
      </c>
      <c r="E550" s="4" t="s">
        <v>17</v>
      </c>
      <c r="F550" s="4">
        <v>171</v>
      </c>
      <c r="G550" s="7">
        <v>42456</v>
      </c>
      <c r="H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>
        <v>23811</v>
      </c>
      <c r="B551" s="4" t="s">
        <v>731</v>
      </c>
      <c r="C551" s="4" t="s">
        <v>521</v>
      </c>
      <c r="D551" s="4" t="s">
        <v>13</v>
      </c>
      <c r="E551" s="4" t="s">
        <v>10</v>
      </c>
      <c r="F551" s="4">
        <v>107</v>
      </c>
      <c r="G551" s="7">
        <v>42414</v>
      </c>
      <c r="H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>
        <v>23812</v>
      </c>
      <c r="B552" s="4" t="s">
        <v>732</v>
      </c>
      <c r="C552" s="4" t="s">
        <v>100</v>
      </c>
      <c r="D552" s="4" t="s">
        <v>34</v>
      </c>
      <c r="E552" s="4" t="s">
        <v>10</v>
      </c>
      <c r="F552" s="4">
        <v>189</v>
      </c>
      <c r="G552" s="7">
        <v>42425</v>
      </c>
      <c r="H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>
        <v>23813</v>
      </c>
      <c r="B553" s="4" t="s">
        <v>733</v>
      </c>
      <c r="C553" s="4" t="s">
        <v>57</v>
      </c>
      <c r="D553" s="4" t="s">
        <v>26</v>
      </c>
      <c r="E553" s="4" t="s">
        <v>17</v>
      </c>
      <c r="F553" s="4">
        <v>161</v>
      </c>
      <c r="G553" s="7">
        <v>42393</v>
      </c>
      <c r="H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>
        <v>23814</v>
      </c>
      <c r="B554" s="4" t="s">
        <v>734</v>
      </c>
      <c r="C554" s="4" t="s">
        <v>104</v>
      </c>
      <c r="D554" s="4" t="s">
        <v>51</v>
      </c>
      <c r="E554" s="4" t="s">
        <v>17</v>
      </c>
      <c r="F554" s="4">
        <v>150</v>
      </c>
      <c r="G554" s="7">
        <v>42445</v>
      </c>
      <c r="H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>
        <v>23815</v>
      </c>
      <c r="B555" s="4" t="s">
        <v>735</v>
      </c>
      <c r="C555" s="4" t="s">
        <v>88</v>
      </c>
      <c r="D555" s="4" t="s">
        <v>34</v>
      </c>
      <c r="E555" s="4" t="s">
        <v>17</v>
      </c>
      <c r="F555" s="4">
        <v>85</v>
      </c>
      <c r="G555" s="7">
        <v>42405</v>
      </c>
      <c r="H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>
        <v>23816</v>
      </c>
      <c r="B556" s="4" t="s">
        <v>736</v>
      </c>
      <c r="C556" s="4" t="s">
        <v>323</v>
      </c>
      <c r="D556" s="4" t="s">
        <v>20</v>
      </c>
      <c r="E556" s="4" t="s">
        <v>17</v>
      </c>
      <c r="F556" s="4">
        <v>85</v>
      </c>
      <c r="G556" s="7">
        <v>42452</v>
      </c>
      <c r="H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>
        <v>23817</v>
      </c>
      <c r="B557" s="4" t="s">
        <v>737</v>
      </c>
      <c r="C557" s="4" t="s">
        <v>53</v>
      </c>
      <c r="D557" s="4" t="s">
        <v>58</v>
      </c>
      <c r="E557" s="4" t="s">
        <v>17</v>
      </c>
      <c r="F557" s="4">
        <v>58</v>
      </c>
      <c r="G557" s="7">
        <v>42427</v>
      </c>
      <c r="H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>
        <v>23818</v>
      </c>
      <c r="B558" s="4" t="s">
        <v>738</v>
      </c>
      <c r="C558" s="4" t="s">
        <v>152</v>
      </c>
      <c r="D558" s="4" t="s">
        <v>26</v>
      </c>
      <c r="E558" s="4" t="s">
        <v>10</v>
      </c>
      <c r="F558" s="4">
        <v>93</v>
      </c>
      <c r="G558" s="7">
        <v>42380</v>
      </c>
      <c r="H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>
        <v>23819</v>
      </c>
      <c r="B559" s="4" t="s">
        <v>739</v>
      </c>
      <c r="C559" s="4" t="s">
        <v>138</v>
      </c>
      <c r="D559" s="4" t="s">
        <v>13</v>
      </c>
      <c r="E559" s="4" t="s">
        <v>17</v>
      </c>
      <c r="F559" s="4">
        <v>154</v>
      </c>
      <c r="G559" s="7">
        <v>42371</v>
      </c>
      <c r="H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>
        <v>23820</v>
      </c>
      <c r="B560" s="4" t="s">
        <v>740</v>
      </c>
      <c r="C560" s="4" t="s">
        <v>142</v>
      </c>
      <c r="D560" s="4" t="s">
        <v>23</v>
      </c>
      <c r="E560" s="4" t="s">
        <v>17</v>
      </c>
      <c r="F560" s="4">
        <v>194</v>
      </c>
      <c r="G560" s="7">
        <v>42458</v>
      </c>
      <c r="H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>
        <v>23821</v>
      </c>
      <c r="B561" s="4" t="s">
        <v>741</v>
      </c>
      <c r="C561" s="4" t="s">
        <v>161</v>
      </c>
      <c r="D561" s="4" t="s">
        <v>34</v>
      </c>
      <c r="E561" s="4" t="s">
        <v>17</v>
      </c>
      <c r="F561" s="4">
        <v>40</v>
      </c>
      <c r="G561" s="7">
        <v>42380</v>
      </c>
      <c r="H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>
        <v>23822</v>
      </c>
      <c r="B562" s="4" t="s">
        <v>742</v>
      </c>
      <c r="C562" s="4" t="s">
        <v>295</v>
      </c>
      <c r="D562" s="4" t="s">
        <v>26</v>
      </c>
      <c r="E562" s="4" t="s">
        <v>17</v>
      </c>
      <c r="F562" s="4">
        <v>193</v>
      </c>
      <c r="G562" s="7">
        <v>42410</v>
      </c>
      <c r="H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>
        <v>23823</v>
      </c>
      <c r="B563" s="4" t="s">
        <v>743</v>
      </c>
      <c r="C563" s="4" t="s">
        <v>119</v>
      </c>
      <c r="D563" s="4" t="s">
        <v>16</v>
      </c>
      <c r="E563" s="4" t="s">
        <v>17</v>
      </c>
      <c r="F563" s="4">
        <v>79</v>
      </c>
      <c r="G563" s="7">
        <v>42441</v>
      </c>
      <c r="H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>
        <v>23824</v>
      </c>
      <c r="B564" s="4" t="s">
        <v>744</v>
      </c>
      <c r="C564" s="4" t="s">
        <v>22</v>
      </c>
      <c r="D564" s="4" t="s">
        <v>13</v>
      </c>
      <c r="E564" s="4" t="s">
        <v>10</v>
      </c>
      <c r="F564" s="4">
        <v>118</v>
      </c>
      <c r="G564" s="7">
        <v>42393</v>
      </c>
      <c r="H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>
        <v>23825</v>
      </c>
      <c r="B565" s="4" t="s">
        <v>745</v>
      </c>
      <c r="C565" s="4" t="s">
        <v>97</v>
      </c>
      <c r="D565" s="4" t="s">
        <v>46</v>
      </c>
      <c r="E565" s="4" t="s">
        <v>10</v>
      </c>
      <c r="F565" s="4">
        <v>182</v>
      </c>
      <c r="G565" s="7">
        <v>42376</v>
      </c>
      <c r="H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>
        <v>23826</v>
      </c>
      <c r="B566" s="4" t="s">
        <v>746</v>
      </c>
      <c r="C566" s="4" t="s">
        <v>662</v>
      </c>
      <c r="D566" s="4" t="s">
        <v>23</v>
      </c>
      <c r="E566" s="4" t="s">
        <v>10</v>
      </c>
      <c r="F566" s="4">
        <v>199</v>
      </c>
      <c r="G566" s="7">
        <v>42433</v>
      </c>
      <c r="H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>
        <v>23827</v>
      </c>
      <c r="B567" s="4" t="s">
        <v>747</v>
      </c>
      <c r="C567" s="4" t="s">
        <v>465</v>
      </c>
      <c r="D567" s="4" t="s">
        <v>20</v>
      </c>
      <c r="E567" s="4" t="s">
        <v>17</v>
      </c>
      <c r="F567" s="4">
        <v>83</v>
      </c>
      <c r="G567" s="7">
        <v>42381</v>
      </c>
      <c r="H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>
        <v>23828</v>
      </c>
      <c r="B568" s="4" t="s">
        <v>748</v>
      </c>
      <c r="C568" s="4" t="s">
        <v>255</v>
      </c>
      <c r="D568" s="4" t="s">
        <v>9</v>
      </c>
      <c r="E568" s="4" t="s">
        <v>10</v>
      </c>
      <c r="F568" s="4">
        <v>115</v>
      </c>
      <c r="G568" s="7">
        <v>42454</v>
      </c>
      <c r="H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>
        <v>23829</v>
      </c>
      <c r="B569" s="4" t="s">
        <v>749</v>
      </c>
      <c r="C569" s="4" t="s">
        <v>125</v>
      </c>
      <c r="D569" s="4" t="s">
        <v>29</v>
      </c>
      <c r="E569" s="4" t="s">
        <v>10</v>
      </c>
      <c r="F569" s="4">
        <v>137</v>
      </c>
      <c r="G569" s="7">
        <v>42415</v>
      </c>
      <c r="H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>
        <v>23830</v>
      </c>
      <c r="B570" s="4" t="s">
        <v>750</v>
      </c>
      <c r="C570" s="4" t="s">
        <v>48</v>
      </c>
      <c r="D570" s="4" t="s">
        <v>9</v>
      </c>
      <c r="E570" s="4" t="s">
        <v>10</v>
      </c>
      <c r="F570" s="4">
        <v>37</v>
      </c>
      <c r="G570" s="7">
        <v>42389</v>
      </c>
      <c r="H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>
        <v>23831</v>
      </c>
      <c r="B571" s="4" t="s">
        <v>751</v>
      </c>
      <c r="C571" s="4" t="s">
        <v>259</v>
      </c>
      <c r="D571" s="4" t="s">
        <v>29</v>
      </c>
      <c r="E571" s="4" t="s">
        <v>59</v>
      </c>
      <c r="F571" s="4">
        <v>140</v>
      </c>
      <c r="G571" s="7">
        <v>42419</v>
      </c>
      <c r="H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>
        <v>23832</v>
      </c>
      <c r="B572" s="4" t="s">
        <v>752</v>
      </c>
      <c r="C572" s="4" t="s">
        <v>521</v>
      </c>
      <c r="D572" s="4" t="s">
        <v>23</v>
      </c>
      <c r="E572" s="4" t="s">
        <v>17</v>
      </c>
      <c r="F572" s="4">
        <v>49</v>
      </c>
      <c r="G572" s="7">
        <v>42370</v>
      </c>
      <c r="H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>
        <v>23833</v>
      </c>
      <c r="B573" s="4" t="s">
        <v>753</v>
      </c>
      <c r="C573" s="4" t="s">
        <v>331</v>
      </c>
      <c r="D573" s="4" t="s">
        <v>34</v>
      </c>
      <c r="E573" s="4" t="s">
        <v>10</v>
      </c>
      <c r="F573" s="4">
        <v>74</v>
      </c>
      <c r="G573" s="7">
        <v>42448</v>
      </c>
      <c r="H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>
        <v>23834</v>
      </c>
      <c r="B574" s="4" t="s">
        <v>754</v>
      </c>
      <c r="C574" s="4" t="s">
        <v>92</v>
      </c>
      <c r="D574" s="4" t="s">
        <v>58</v>
      </c>
      <c r="E574" s="4" t="s">
        <v>17</v>
      </c>
      <c r="F574" s="4">
        <v>23</v>
      </c>
      <c r="G574" s="7">
        <v>42423</v>
      </c>
      <c r="H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>
        <v>23835</v>
      </c>
      <c r="B575" s="4" t="s">
        <v>755</v>
      </c>
      <c r="C575" s="4" t="s">
        <v>756</v>
      </c>
      <c r="D575" s="4" t="s">
        <v>9</v>
      </c>
      <c r="E575" s="4" t="s">
        <v>10</v>
      </c>
      <c r="F575" s="4">
        <v>116</v>
      </c>
      <c r="G575" s="7">
        <v>42450</v>
      </c>
      <c r="H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>
        <v>23836</v>
      </c>
      <c r="B576" s="4" t="s">
        <v>757</v>
      </c>
      <c r="C576" s="4" t="s">
        <v>57</v>
      </c>
      <c r="D576" s="4" t="s">
        <v>51</v>
      </c>
      <c r="E576" s="4" t="s">
        <v>17</v>
      </c>
      <c r="F576" s="4">
        <v>190</v>
      </c>
      <c r="G576" s="7">
        <v>42454</v>
      </c>
      <c r="H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>
        <v>23837</v>
      </c>
      <c r="B577" s="4" t="s">
        <v>758</v>
      </c>
      <c r="C577" s="4" t="s">
        <v>406</v>
      </c>
      <c r="D577" s="4" t="s">
        <v>34</v>
      </c>
      <c r="E577" s="4" t="s">
        <v>10</v>
      </c>
      <c r="F577" s="4">
        <v>151</v>
      </c>
      <c r="G577" s="7">
        <v>42418</v>
      </c>
      <c r="H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>
        <v>23838</v>
      </c>
      <c r="B578" s="4" t="s">
        <v>759</v>
      </c>
      <c r="C578" s="4" t="s">
        <v>43</v>
      </c>
      <c r="D578" s="4" t="s">
        <v>58</v>
      </c>
      <c r="E578" s="4" t="s">
        <v>17</v>
      </c>
      <c r="F578" s="4">
        <v>133</v>
      </c>
      <c r="G578" s="7">
        <v>42446</v>
      </c>
      <c r="H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>
        <v>23839</v>
      </c>
      <c r="B579" s="4" t="s">
        <v>760</v>
      </c>
      <c r="C579" s="4" t="s">
        <v>136</v>
      </c>
      <c r="D579" s="4" t="s">
        <v>9</v>
      </c>
      <c r="E579" s="4" t="s">
        <v>10</v>
      </c>
      <c r="F579" s="4">
        <v>182</v>
      </c>
      <c r="G579" s="7">
        <v>42391</v>
      </c>
      <c r="H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>
        <v>23840</v>
      </c>
      <c r="B580" s="4" t="s">
        <v>761</v>
      </c>
      <c r="C580" s="4" t="s">
        <v>40</v>
      </c>
      <c r="D580" s="4" t="s">
        <v>34</v>
      </c>
      <c r="E580" s="4" t="s">
        <v>10</v>
      </c>
      <c r="F580" s="4">
        <v>203</v>
      </c>
      <c r="G580" s="7">
        <v>42400</v>
      </c>
      <c r="H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>
        <v>23841</v>
      </c>
      <c r="B581" s="4" t="s">
        <v>762</v>
      </c>
      <c r="C581" s="4" t="s">
        <v>28</v>
      </c>
      <c r="D581" s="4" t="s">
        <v>23</v>
      </c>
      <c r="E581" s="4" t="s">
        <v>10</v>
      </c>
      <c r="F581" s="4">
        <v>170</v>
      </c>
      <c r="G581" s="7">
        <v>42369</v>
      </c>
      <c r="H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>
        <v>23842</v>
      </c>
      <c r="B582" s="4" t="s">
        <v>763</v>
      </c>
      <c r="C582" s="4" t="s">
        <v>38</v>
      </c>
      <c r="D582" s="4" t="s">
        <v>29</v>
      </c>
      <c r="E582" s="4" t="s">
        <v>10</v>
      </c>
      <c r="F582" s="4">
        <v>190</v>
      </c>
      <c r="G582" s="7">
        <v>42409</v>
      </c>
      <c r="H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>
        <v>23843</v>
      </c>
      <c r="B583" s="4" t="s">
        <v>764</v>
      </c>
      <c r="C583" s="4" t="s">
        <v>756</v>
      </c>
      <c r="D583" s="4" t="s">
        <v>34</v>
      </c>
      <c r="E583" s="4" t="s">
        <v>17</v>
      </c>
      <c r="F583" s="4">
        <v>211</v>
      </c>
      <c r="G583" s="7">
        <v>42375</v>
      </c>
      <c r="H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>
        <v>23844</v>
      </c>
      <c r="B584" s="4" t="s">
        <v>765</v>
      </c>
      <c r="C584" s="4" t="s">
        <v>285</v>
      </c>
      <c r="D584" s="4" t="s">
        <v>29</v>
      </c>
      <c r="E584" s="4" t="s">
        <v>10</v>
      </c>
      <c r="F584" s="4">
        <v>179</v>
      </c>
      <c r="G584" s="7">
        <v>42402</v>
      </c>
      <c r="H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>
        <v>23845</v>
      </c>
      <c r="B585" s="4" t="s">
        <v>766</v>
      </c>
      <c r="C585" s="4" t="s">
        <v>40</v>
      </c>
      <c r="D585" s="4" t="s">
        <v>58</v>
      </c>
      <c r="E585" s="4" t="s">
        <v>17</v>
      </c>
      <c r="F585" s="4">
        <v>142</v>
      </c>
      <c r="G585" s="7">
        <v>42374</v>
      </c>
      <c r="H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>
        <v>23846</v>
      </c>
      <c r="B586" s="4" t="s">
        <v>767</v>
      </c>
      <c r="C586" s="4" t="s">
        <v>81</v>
      </c>
      <c r="D586" s="4" t="s">
        <v>26</v>
      </c>
      <c r="E586" s="4" t="s">
        <v>17</v>
      </c>
      <c r="F586" s="4">
        <v>19</v>
      </c>
      <c r="G586" s="7">
        <v>42437</v>
      </c>
      <c r="H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>
        <v>23847</v>
      </c>
      <c r="B587" s="4" t="s">
        <v>768</v>
      </c>
      <c r="C587" s="4" t="s">
        <v>198</v>
      </c>
      <c r="D587" s="4" t="s">
        <v>13</v>
      </c>
      <c r="E587" s="4" t="s">
        <v>10</v>
      </c>
      <c r="F587" s="4">
        <v>108</v>
      </c>
      <c r="G587" s="7">
        <v>42391</v>
      </c>
      <c r="H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>
        <v>23848</v>
      </c>
      <c r="B588" s="4" t="s">
        <v>769</v>
      </c>
      <c r="C588" s="4" t="s">
        <v>390</v>
      </c>
      <c r="D588" s="4" t="s">
        <v>20</v>
      </c>
      <c r="E588" s="4" t="s">
        <v>10</v>
      </c>
      <c r="F588" s="4">
        <v>62</v>
      </c>
      <c r="G588" s="7">
        <v>42395</v>
      </c>
      <c r="H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>
        <v>23849</v>
      </c>
      <c r="B589" s="4" t="s">
        <v>770</v>
      </c>
      <c r="C589" s="4" t="s">
        <v>148</v>
      </c>
      <c r="D589" s="4" t="s">
        <v>29</v>
      </c>
      <c r="E589" s="4" t="s">
        <v>10</v>
      </c>
      <c r="F589" s="4">
        <v>50</v>
      </c>
      <c r="G589" s="7">
        <v>42428</v>
      </c>
      <c r="H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>
        <v>23850</v>
      </c>
      <c r="B590" s="4" t="s">
        <v>771</v>
      </c>
      <c r="C590" s="4" t="s">
        <v>97</v>
      </c>
      <c r="D590" s="4" t="s">
        <v>16</v>
      </c>
      <c r="E590" s="4" t="s">
        <v>17</v>
      </c>
      <c r="F590" s="4">
        <v>156</v>
      </c>
      <c r="G590" s="7">
        <v>42455</v>
      </c>
      <c r="H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>
        <v>23851</v>
      </c>
      <c r="B591" s="4" t="s">
        <v>772</v>
      </c>
      <c r="C591" s="4" t="s">
        <v>263</v>
      </c>
      <c r="D591" s="4" t="s">
        <v>23</v>
      </c>
      <c r="E591" s="4" t="s">
        <v>10</v>
      </c>
      <c r="F591" s="4">
        <v>171</v>
      </c>
      <c r="G591" s="7">
        <v>42416</v>
      </c>
      <c r="H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>
        <v>23852</v>
      </c>
      <c r="B592" s="4" t="s">
        <v>773</v>
      </c>
      <c r="C592" s="4" t="s">
        <v>429</v>
      </c>
      <c r="D592" s="4" t="s">
        <v>13</v>
      </c>
      <c r="E592" s="4" t="s">
        <v>10</v>
      </c>
      <c r="F592" s="4">
        <v>164</v>
      </c>
      <c r="G592" s="7">
        <v>42377</v>
      </c>
      <c r="H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>
        <v>23853</v>
      </c>
      <c r="B593" s="4" t="s">
        <v>774</v>
      </c>
      <c r="C593" s="4" t="s">
        <v>333</v>
      </c>
      <c r="D593" s="4" t="s">
        <v>16</v>
      </c>
      <c r="E593" s="4" t="s">
        <v>10</v>
      </c>
      <c r="F593" s="4">
        <v>34</v>
      </c>
      <c r="G593" s="7">
        <v>42431</v>
      </c>
      <c r="H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>
        <v>23854</v>
      </c>
      <c r="B594" s="4" t="s">
        <v>775</v>
      </c>
      <c r="C594" s="4" t="s">
        <v>119</v>
      </c>
      <c r="D594" s="4" t="s">
        <v>26</v>
      </c>
      <c r="E594" s="4" t="s">
        <v>10</v>
      </c>
      <c r="F594" s="4">
        <v>189</v>
      </c>
      <c r="G594" s="7">
        <v>42395</v>
      </c>
      <c r="H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>
        <v>23855</v>
      </c>
      <c r="B595" s="4" t="s">
        <v>776</v>
      </c>
      <c r="C595" s="4" t="s">
        <v>119</v>
      </c>
      <c r="D595" s="4" t="s">
        <v>26</v>
      </c>
      <c r="E595" s="4" t="s">
        <v>17</v>
      </c>
      <c r="F595" s="4">
        <v>145</v>
      </c>
      <c r="G595" s="7">
        <v>42386</v>
      </c>
      <c r="H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>
        <v>23856</v>
      </c>
      <c r="B596" s="4" t="s">
        <v>777</v>
      </c>
      <c r="C596" s="4" t="s">
        <v>408</v>
      </c>
      <c r="D596" s="4" t="s">
        <v>20</v>
      </c>
      <c r="E596" s="4" t="s">
        <v>10</v>
      </c>
      <c r="F596" s="4">
        <v>92</v>
      </c>
      <c r="G596" s="7">
        <v>42384</v>
      </c>
      <c r="H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>
        <v>23857</v>
      </c>
      <c r="B597" s="4" t="s">
        <v>778</v>
      </c>
      <c r="C597" s="4" t="s">
        <v>579</v>
      </c>
      <c r="D597" s="4" t="s">
        <v>26</v>
      </c>
      <c r="E597" s="4" t="s">
        <v>17</v>
      </c>
      <c r="F597" s="4">
        <v>45</v>
      </c>
      <c r="G597" s="7">
        <v>42369</v>
      </c>
      <c r="H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>
        <v>23858</v>
      </c>
      <c r="B598" s="4" t="s">
        <v>779</v>
      </c>
      <c r="C598" s="4" t="s">
        <v>535</v>
      </c>
      <c r="D598" s="4" t="s">
        <v>16</v>
      </c>
      <c r="E598" s="4" t="s">
        <v>17</v>
      </c>
      <c r="F598" s="4">
        <v>81</v>
      </c>
      <c r="G598" s="7">
        <v>42399</v>
      </c>
      <c r="H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>
        <v>23859</v>
      </c>
      <c r="B599" s="4" t="s">
        <v>780</v>
      </c>
      <c r="C599" s="4" t="s">
        <v>781</v>
      </c>
      <c r="D599" s="4" t="s">
        <v>46</v>
      </c>
      <c r="E599" s="4" t="s">
        <v>59</v>
      </c>
      <c r="F599" s="4">
        <v>185</v>
      </c>
      <c r="G599" s="7">
        <v>42405</v>
      </c>
      <c r="H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>
        <v>23860</v>
      </c>
      <c r="B600" s="4" t="s">
        <v>782</v>
      </c>
      <c r="C600" s="4" t="s">
        <v>61</v>
      </c>
      <c r="D600" s="4" t="s">
        <v>58</v>
      </c>
      <c r="E600" s="4" t="s">
        <v>17</v>
      </c>
      <c r="F600" s="4">
        <v>161</v>
      </c>
      <c r="G600" s="7">
        <v>42400</v>
      </c>
      <c r="H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>
        <v>23861</v>
      </c>
      <c r="B601" s="4" t="s">
        <v>783</v>
      </c>
      <c r="C601" s="4" t="s">
        <v>108</v>
      </c>
      <c r="D601" s="4" t="s">
        <v>29</v>
      </c>
      <c r="E601" s="4" t="s">
        <v>17</v>
      </c>
      <c r="F601" s="4">
        <v>12</v>
      </c>
      <c r="G601" s="7">
        <v>42352</v>
      </c>
      <c r="H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>
        <v>23862</v>
      </c>
      <c r="B602" s="4" t="s">
        <v>784</v>
      </c>
      <c r="C602" s="4" t="s">
        <v>278</v>
      </c>
      <c r="D602" s="4" t="s">
        <v>20</v>
      </c>
      <c r="E602" s="4" t="s">
        <v>59</v>
      </c>
      <c r="F602" s="4">
        <v>25</v>
      </c>
      <c r="G602" s="7">
        <v>42321</v>
      </c>
      <c r="H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>
        <v>23863</v>
      </c>
      <c r="B603" s="4" t="s">
        <v>785</v>
      </c>
      <c r="C603" s="4" t="s">
        <v>75</v>
      </c>
      <c r="D603" s="4" t="s">
        <v>26</v>
      </c>
      <c r="E603" s="4" t="s">
        <v>17</v>
      </c>
      <c r="F603" s="4">
        <v>184</v>
      </c>
      <c r="G603" s="7">
        <v>42355</v>
      </c>
      <c r="H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>
        <v>23864</v>
      </c>
      <c r="B604" s="4" t="s">
        <v>786</v>
      </c>
      <c r="C604" s="4" t="s">
        <v>40</v>
      </c>
      <c r="D604" s="4" t="s">
        <v>13</v>
      </c>
      <c r="E604" s="4" t="s">
        <v>10</v>
      </c>
      <c r="F604" s="4">
        <v>9</v>
      </c>
      <c r="G604" s="7">
        <v>42259</v>
      </c>
      <c r="H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>
        <v>23865</v>
      </c>
      <c r="B605" s="4" t="s">
        <v>787</v>
      </c>
      <c r="C605" s="4" t="s">
        <v>108</v>
      </c>
      <c r="D605" s="4" t="s">
        <v>13</v>
      </c>
      <c r="E605" s="4" t="s">
        <v>10</v>
      </c>
      <c r="F605" s="4">
        <v>37</v>
      </c>
      <c r="G605" s="7">
        <v>42345</v>
      </c>
      <c r="H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>
        <v>23866</v>
      </c>
      <c r="B606" s="4" t="s">
        <v>788</v>
      </c>
      <c r="C606" s="4" t="s">
        <v>22</v>
      </c>
      <c r="D606" s="4" t="s">
        <v>23</v>
      </c>
      <c r="E606" s="4" t="s">
        <v>17</v>
      </c>
      <c r="F606" s="4">
        <v>69</v>
      </c>
      <c r="G606" s="7">
        <v>42278</v>
      </c>
      <c r="H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>
        <v>23867</v>
      </c>
      <c r="B607" s="4" t="s">
        <v>789</v>
      </c>
      <c r="C607" s="4" t="s">
        <v>71</v>
      </c>
      <c r="D607" s="4" t="s">
        <v>58</v>
      </c>
      <c r="E607" s="4" t="s">
        <v>10</v>
      </c>
      <c r="F607" s="4">
        <v>132</v>
      </c>
      <c r="G607" s="7">
        <v>42313</v>
      </c>
      <c r="H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>
        <v>23868</v>
      </c>
      <c r="B608" s="4" t="s">
        <v>790</v>
      </c>
      <c r="C608" s="4" t="s">
        <v>557</v>
      </c>
      <c r="D608" s="4" t="s">
        <v>58</v>
      </c>
      <c r="E608" s="4" t="s">
        <v>10</v>
      </c>
      <c r="F608" s="4">
        <v>141</v>
      </c>
      <c r="G608" s="7">
        <v>42253</v>
      </c>
      <c r="H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>
        <v>23869</v>
      </c>
      <c r="B609" s="4" t="s">
        <v>791</v>
      </c>
      <c r="C609" s="4" t="s">
        <v>100</v>
      </c>
      <c r="D609" s="4" t="s">
        <v>16</v>
      </c>
      <c r="E609" s="4" t="s">
        <v>10</v>
      </c>
      <c r="F609" s="4">
        <v>44</v>
      </c>
      <c r="G609" s="7">
        <v>42353</v>
      </c>
      <c r="H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>
        <v>23870</v>
      </c>
      <c r="B610" s="4" t="s">
        <v>792</v>
      </c>
      <c r="C610" s="4" t="s">
        <v>92</v>
      </c>
      <c r="D610" s="4" t="s">
        <v>23</v>
      </c>
      <c r="E610" s="4" t="s">
        <v>10</v>
      </c>
      <c r="F610" s="4">
        <v>210</v>
      </c>
      <c r="G610" s="7">
        <v>42356</v>
      </c>
      <c r="H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>
        <v>23871</v>
      </c>
      <c r="B611" s="4" t="s">
        <v>793</v>
      </c>
      <c r="C611" s="4" t="s">
        <v>538</v>
      </c>
      <c r="D611" s="4" t="s">
        <v>23</v>
      </c>
      <c r="E611" s="4" t="s">
        <v>17</v>
      </c>
      <c r="F611" s="4">
        <v>152</v>
      </c>
      <c r="G611" s="7">
        <v>42276</v>
      </c>
      <c r="H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>
        <v>23872</v>
      </c>
      <c r="B612" s="4" t="s">
        <v>794</v>
      </c>
      <c r="C612" s="4" t="s">
        <v>57</v>
      </c>
      <c r="D612" s="4" t="s">
        <v>51</v>
      </c>
      <c r="E612" s="4" t="s">
        <v>17</v>
      </c>
      <c r="F612" s="4">
        <v>67</v>
      </c>
      <c r="G612" s="7">
        <v>42253</v>
      </c>
      <c r="H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>
        <v>23873</v>
      </c>
      <c r="B613" s="4" t="s">
        <v>795</v>
      </c>
      <c r="C613" s="4" t="s">
        <v>316</v>
      </c>
      <c r="D613" s="4" t="s">
        <v>23</v>
      </c>
      <c r="E613" s="4" t="s">
        <v>10</v>
      </c>
      <c r="F613" s="4">
        <v>41</v>
      </c>
      <c r="G613" s="7">
        <v>42364</v>
      </c>
      <c r="H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>
        <v>23874</v>
      </c>
      <c r="B614" s="4" t="s">
        <v>796</v>
      </c>
      <c r="C614" s="4" t="s">
        <v>352</v>
      </c>
      <c r="D614" s="4" t="s">
        <v>9</v>
      </c>
      <c r="E614" s="4" t="s">
        <v>17</v>
      </c>
      <c r="F614" s="4">
        <v>61</v>
      </c>
      <c r="G614" s="7">
        <v>42317</v>
      </c>
      <c r="H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>
        <v>23875</v>
      </c>
      <c r="B615" s="4" t="s">
        <v>797</v>
      </c>
      <c r="C615" s="4" t="s">
        <v>403</v>
      </c>
      <c r="D615" s="4" t="s">
        <v>26</v>
      </c>
      <c r="E615" s="4" t="s">
        <v>59</v>
      </c>
      <c r="F615" s="4">
        <v>92</v>
      </c>
      <c r="G615" s="7">
        <v>42265</v>
      </c>
      <c r="H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>
        <v>23876</v>
      </c>
      <c r="B616" s="4" t="s">
        <v>798</v>
      </c>
      <c r="C616" s="4" t="s">
        <v>57</v>
      </c>
      <c r="D616" s="4" t="s">
        <v>58</v>
      </c>
      <c r="E616" s="4" t="s">
        <v>10</v>
      </c>
      <c r="F616" s="4">
        <v>119</v>
      </c>
      <c r="G616" s="7">
        <v>42301</v>
      </c>
      <c r="H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>
        <v>23877</v>
      </c>
      <c r="B617" s="4" t="s">
        <v>799</v>
      </c>
      <c r="C617" s="4" t="s">
        <v>172</v>
      </c>
      <c r="D617" s="4" t="s">
        <v>16</v>
      </c>
      <c r="E617" s="4" t="s">
        <v>10</v>
      </c>
      <c r="F617" s="4">
        <v>119</v>
      </c>
      <c r="G617" s="7">
        <v>42328</v>
      </c>
      <c r="H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>
        <v>23878</v>
      </c>
      <c r="B618" s="4" t="s">
        <v>800</v>
      </c>
      <c r="C618" s="4" t="s">
        <v>756</v>
      </c>
      <c r="D618" s="4" t="s">
        <v>29</v>
      </c>
      <c r="E618" s="4" t="s">
        <v>59</v>
      </c>
      <c r="F618" s="4">
        <v>66</v>
      </c>
      <c r="G618" s="7">
        <v>42313</v>
      </c>
      <c r="H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>
        <v>23879</v>
      </c>
      <c r="B619" s="4" t="s">
        <v>801</v>
      </c>
      <c r="C619" s="4" t="s">
        <v>288</v>
      </c>
      <c r="D619" s="4" t="s">
        <v>26</v>
      </c>
      <c r="E619" s="4" t="s">
        <v>17</v>
      </c>
      <c r="F619" s="4">
        <v>9</v>
      </c>
      <c r="G619" s="7">
        <v>42256</v>
      </c>
      <c r="H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>
        <v>23880</v>
      </c>
      <c r="B620" s="4" t="s">
        <v>802</v>
      </c>
      <c r="C620" s="4" t="s">
        <v>518</v>
      </c>
      <c r="D620" s="4" t="s">
        <v>58</v>
      </c>
      <c r="E620" s="4" t="s">
        <v>10</v>
      </c>
      <c r="F620" s="4">
        <v>96</v>
      </c>
      <c r="G620" s="7">
        <v>42251</v>
      </c>
      <c r="H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>
        <v>23881</v>
      </c>
      <c r="B621" s="4" t="s">
        <v>803</v>
      </c>
      <c r="C621" s="4" t="s">
        <v>36</v>
      </c>
      <c r="D621" s="4" t="s">
        <v>23</v>
      </c>
      <c r="E621" s="4" t="s">
        <v>10</v>
      </c>
      <c r="F621" s="4">
        <v>104</v>
      </c>
      <c r="G621" s="7">
        <v>42347</v>
      </c>
      <c r="H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>
        <v>23882</v>
      </c>
      <c r="B622" s="4" t="s">
        <v>804</v>
      </c>
      <c r="C622" s="4" t="s">
        <v>283</v>
      </c>
      <c r="D622" s="4" t="s">
        <v>9</v>
      </c>
      <c r="E622" s="4" t="s">
        <v>10</v>
      </c>
      <c r="F622" s="4">
        <v>180</v>
      </c>
      <c r="G622" s="7">
        <v>42269</v>
      </c>
      <c r="H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>
        <v>23883</v>
      </c>
      <c r="B623" s="4" t="s">
        <v>805</v>
      </c>
      <c r="C623" s="4" t="s">
        <v>55</v>
      </c>
      <c r="D623" s="4" t="s">
        <v>58</v>
      </c>
      <c r="E623" s="4" t="s">
        <v>10</v>
      </c>
      <c r="F623" s="4">
        <v>7</v>
      </c>
      <c r="G623" s="7">
        <v>42287</v>
      </c>
      <c r="H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>
        <v>23884</v>
      </c>
      <c r="B624" s="4" t="s">
        <v>806</v>
      </c>
      <c r="C624" s="4" t="s">
        <v>157</v>
      </c>
      <c r="D624" s="4" t="s">
        <v>34</v>
      </c>
      <c r="E624" s="4" t="s">
        <v>59</v>
      </c>
      <c r="F624" s="4">
        <v>109</v>
      </c>
      <c r="G624" s="7">
        <v>42337</v>
      </c>
      <c r="H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>
        <v>23885</v>
      </c>
      <c r="B625" s="4" t="s">
        <v>807</v>
      </c>
      <c r="C625" s="4" t="s">
        <v>230</v>
      </c>
      <c r="D625" s="4" t="s">
        <v>9</v>
      </c>
      <c r="E625" s="4" t="s">
        <v>17</v>
      </c>
      <c r="F625" s="4">
        <v>146</v>
      </c>
      <c r="G625" s="7">
        <v>42273</v>
      </c>
      <c r="H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>
        <v>23886</v>
      </c>
      <c r="B626" s="4" t="s">
        <v>808</v>
      </c>
      <c r="C626" s="4" t="s">
        <v>181</v>
      </c>
      <c r="D626" s="4" t="s">
        <v>34</v>
      </c>
      <c r="E626" s="4" t="s">
        <v>17</v>
      </c>
      <c r="F626" s="4">
        <v>141</v>
      </c>
      <c r="G626" s="7">
        <v>42294</v>
      </c>
      <c r="H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>
        <v>23887</v>
      </c>
      <c r="B627" s="4" t="s">
        <v>809</v>
      </c>
      <c r="C627" s="4" t="s">
        <v>518</v>
      </c>
      <c r="D627" s="4" t="s">
        <v>23</v>
      </c>
      <c r="E627" s="4" t="s">
        <v>10</v>
      </c>
      <c r="F627" s="4">
        <v>201</v>
      </c>
      <c r="G627" s="7">
        <v>42327</v>
      </c>
      <c r="H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>
        <v>23888</v>
      </c>
      <c r="B628" s="4" t="s">
        <v>810</v>
      </c>
      <c r="C628" s="4" t="s">
        <v>331</v>
      </c>
      <c r="D628" s="4" t="s">
        <v>51</v>
      </c>
      <c r="E628" s="4" t="s">
        <v>10</v>
      </c>
      <c r="F628" s="4">
        <v>132</v>
      </c>
      <c r="G628" s="7">
        <v>42279</v>
      </c>
      <c r="H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>
        <v>23889</v>
      </c>
      <c r="B629" s="4" t="s">
        <v>811</v>
      </c>
      <c r="C629" s="4" t="s">
        <v>390</v>
      </c>
      <c r="D629" s="4" t="s">
        <v>34</v>
      </c>
      <c r="E629" s="4" t="s">
        <v>17</v>
      </c>
      <c r="F629" s="4">
        <v>148</v>
      </c>
      <c r="G629" s="7">
        <v>42357</v>
      </c>
      <c r="H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>
        <v>23890</v>
      </c>
      <c r="B630" s="4" t="s">
        <v>812</v>
      </c>
      <c r="C630" s="4" t="s">
        <v>252</v>
      </c>
      <c r="D630" s="4" t="s">
        <v>46</v>
      </c>
      <c r="E630" s="4" t="s">
        <v>17</v>
      </c>
      <c r="F630" s="4">
        <v>184</v>
      </c>
      <c r="G630" s="7">
        <v>42292</v>
      </c>
      <c r="H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>
        <v>23891</v>
      </c>
      <c r="B631" s="4" t="s">
        <v>813</v>
      </c>
      <c r="C631" s="4" t="s">
        <v>172</v>
      </c>
      <c r="D631" s="4" t="s">
        <v>46</v>
      </c>
      <c r="E631" s="4" t="s">
        <v>10</v>
      </c>
      <c r="F631" s="4">
        <v>197</v>
      </c>
      <c r="G631" s="7">
        <v>42334</v>
      </c>
      <c r="H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>
        <v>23892</v>
      </c>
      <c r="B632" s="4" t="s">
        <v>814</v>
      </c>
      <c r="C632" s="4" t="s">
        <v>19</v>
      </c>
      <c r="D632" s="4" t="s">
        <v>13</v>
      </c>
      <c r="E632" s="4" t="s">
        <v>10</v>
      </c>
      <c r="F632" s="4">
        <v>72</v>
      </c>
      <c r="G632" s="7">
        <v>42338</v>
      </c>
      <c r="H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>
        <v>23893</v>
      </c>
      <c r="B633" s="4" t="s">
        <v>815</v>
      </c>
      <c r="C633" s="4" t="s">
        <v>110</v>
      </c>
      <c r="D633" s="4" t="s">
        <v>51</v>
      </c>
      <c r="E633" s="4" t="s">
        <v>10</v>
      </c>
      <c r="F633" s="4">
        <v>46</v>
      </c>
      <c r="G633" s="7">
        <v>42262</v>
      </c>
      <c r="H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>
        <v>23894</v>
      </c>
      <c r="B634" s="4" t="s">
        <v>816</v>
      </c>
      <c r="C634" s="4" t="s">
        <v>94</v>
      </c>
      <c r="D634" s="4" t="s">
        <v>9</v>
      </c>
      <c r="E634" s="4" t="s">
        <v>10</v>
      </c>
      <c r="F634" s="4">
        <v>104</v>
      </c>
      <c r="G634" s="7">
        <v>42338</v>
      </c>
      <c r="H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>
        <v>23895</v>
      </c>
      <c r="B635" s="4" t="s">
        <v>817</v>
      </c>
      <c r="C635" s="4" t="s">
        <v>444</v>
      </c>
      <c r="D635" s="4" t="s">
        <v>26</v>
      </c>
      <c r="E635" s="4" t="s">
        <v>10</v>
      </c>
      <c r="F635" s="4">
        <v>197</v>
      </c>
      <c r="G635" s="7">
        <v>42318</v>
      </c>
      <c r="H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>
        <v>23896</v>
      </c>
      <c r="B636" s="4" t="s">
        <v>818</v>
      </c>
      <c r="C636" s="4" t="s">
        <v>290</v>
      </c>
      <c r="D636" s="4" t="s">
        <v>58</v>
      </c>
      <c r="E636" s="4" t="s">
        <v>10</v>
      </c>
      <c r="F636" s="4">
        <v>3</v>
      </c>
      <c r="G636" s="7">
        <v>42257</v>
      </c>
      <c r="H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>
        <v>23897</v>
      </c>
      <c r="B637" s="4" t="s">
        <v>819</v>
      </c>
      <c r="C637" s="4" t="s">
        <v>401</v>
      </c>
      <c r="D637" s="4" t="s">
        <v>16</v>
      </c>
      <c r="E637" s="4" t="s">
        <v>17</v>
      </c>
      <c r="F637" s="4">
        <v>202</v>
      </c>
      <c r="G637" s="7">
        <v>42318</v>
      </c>
      <c r="H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>
        <v>23898</v>
      </c>
      <c r="B638" s="4" t="s">
        <v>820</v>
      </c>
      <c r="C638" s="4" t="s">
        <v>369</v>
      </c>
      <c r="D638" s="4" t="s">
        <v>34</v>
      </c>
      <c r="E638" s="4" t="s">
        <v>10</v>
      </c>
      <c r="F638" s="4">
        <v>127</v>
      </c>
      <c r="G638" s="7">
        <v>42317</v>
      </c>
      <c r="H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>
        <v>23899</v>
      </c>
      <c r="B639" s="4" t="s">
        <v>821</v>
      </c>
      <c r="C639" s="4" t="s">
        <v>181</v>
      </c>
      <c r="D639" s="4" t="s">
        <v>9</v>
      </c>
      <c r="E639" s="4" t="s">
        <v>10</v>
      </c>
      <c r="F639" s="4">
        <v>178</v>
      </c>
      <c r="G639" s="7">
        <v>42359</v>
      </c>
      <c r="H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>
        <v>23900</v>
      </c>
      <c r="B640" s="4" t="s">
        <v>822</v>
      </c>
      <c r="C640" s="4" t="s">
        <v>83</v>
      </c>
      <c r="D640" s="4" t="s">
        <v>23</v>
      </c>
      <c r="E640" s="4" t="s">
        <v>10</v>
      </c>
      <c r="F640" s="4">
        <v>54</v>
      </c>
      <c r="G640" s="7">
        <v>42355</v>
      </c>
      <c r="H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>
        <v>23901</v>
      </c>
      <c r="B641" s="4" t="s">
        <v>823</v>
      </c>
      <c r="C641" s="4" t="s">
        <v>406</v>
      </c>
      <c r="D641" s="4" t="s">
        <v>26</v>
      </c>
      <c r="E641" s="4" t="s">
        <v>10</v>
      </c>
      <c r="F641" s="4">
        <v>169</v>
      </c>
      <c r="G641" s="7">
        <v>42273</v>
      </c>
      <c r="H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>
        <v>23902</v>
      </c>
      <c r="B642" s="4" t="s">
        <v>824</v>
      </c>
      <c r="C642" s="4" t="s">
        <v>331</v>
      </c>
      <c r="D642" s="4" t="s">
        <v>13</v>
      </c>
      <c r="E642" s="4" t="s">
        <v>10</v>
      </c>
      <c r="F642" s="4">
        <v>128</v>
      </c>
      <c r="G642" s="7">
        <v>42252</v>
      </c>
      <c r="H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>
        <v>23903</v>
      </c>
      <c r="B643" s="4" t="s">
        <v>825</v>
      </c>
      <c r="C643" s="4" t="s">
        <v>230</v>
      </c>
      <c r="D643" s="4" t="s">
        <v>58</v>
      </c>
      <c r="E643" s="4" t="s">
        <v>17</v>
      </c>
      <c r="F643" s="4">
        <v>2</v>
      </c>
      <c r="G643" s="7">
        <v>42266</v>
      </c>
      <c r="H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>
        <v>23904</v>
      </c>
      <c r="B644" s="4" t="s">
        <v>826</v>
      </c>
      <c r="C644" s="4" t="s">
        <v>86</v>
      </c>
      <c r="D644" s="4" t="s">
        <v>23</v>
      </c>
      <c r="E644" s="4" t="s">
        <v>17</v>
      </c>
      <c r="F644" s="4">
        <v>149</v>
      </c>
      <c r="G644" s="7">
        <v>42326</v>
      </c>
      <c r="H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>
        <v>23905</v>
      </c>
      <c r="B645" s="4" t="s">
        <v>827</v>
      </c>
      <c r="C645" s="4" t="s">
        <v>119</v>
      </c>
      <c r="D645" s="4" t="s">
        <v>46</v>
      </c>
      <c r="E645" s="4" t="s">
        <v>17</v>
      </c>
      <c r="F645" s="4">
        <v>56</v>
      </c>
      <c r="G645" s="7">
        <v>42343</v>
      </c>
      <c r="H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>
        <v>23906</v>
      </c>
      <c r="B646" s="4" t="s">
        <v>828</v>
      </c>
      <c r="C646" s="4" t="s">
        <v>75</v>
      </c>
      <c r="D646" s="4" t="s">
        <v>29</v>
      </c>
      <c r="E646" s="4" t="s">
        <v>10</v>
      </c>
      <c r="F646" s="4">
        <v>155</v>
      </c>
      <c r="G646" s="7">
        <v>42295</v>
      </c>
      <c r="H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>
        <v>23907</v>
      </c>
      <c r="B647" s="4" t="s">
        <v>829</v>
      </c>
      <c r="C647" s="4" t="s">
        <v>270</v>
      </c>
      <c r="D647" s="4" t="s">
        <v>9</v>
      </c>
      <c r="E647" s="4" t="s">
        <v>17</v>
      </c>
      <c r="F647" s="4">
        <v>162</v>
      </c>
      <c r="G647" s="7">
        <v>42340</v>
      </c>
      <c r="H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>
        <v>23908</v>
      </c>
      <c r="B648" s="4" t="s">
        <v>830</v>
      </c>
      <c r="C648" s="4" t="s">
        <v>257</v>
      </c>
      <c r="D648" s="4" t="s">
        <v>16</v>
      </c>
      <c r="E648" s="4" t="s">
        <v>59</v>
      </c>
      <c r="F648" s="4">
        <v>102</v>
      </c>
      <c r="G648" s="7">
        <v>42296</v>
      </c>
      <c r="H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>
        <v>23909</v>
      </c>
      <c r="B649" s="4" t="s">
        <v>831</v>
      </c>
      <c r="C649" s="4" t="s">
        <v>331</v>
      </c>
      <c r="D649" s="4" t="s">
        <v>34</v>
      </c>
      <c r="E649" s="4" t="s">
        <v>17</v>
      </c>
      <c r="F649" s="4">
        <v>66</v>
      </c>
      <c r="G649" s="7">
        <v>42304</v>
      </c>
      <c r="H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>
        <v>23910</v>
      </c>
      <c r="B650" s="4" t="s">
        <v>832</v>
      </c>
      <c r="C650" s="4" t="s">
        <v>33</v>
      </c>
      <c r="D650" s="4" t="s">
        <v>51</v>
      </c>
      <c r="E650" s="4" t="s">
        <v>10</v>
      </c>
      <c r="F650" s="4">
        <v>82</v>
      </c>
      <c r="G650" s="7">
        <v>42297</v>
      </c>
      <c r="H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>
        <v>23911</v>
      </c>
      <c r="B651" s="4" t="s">
        <v>833</v>
      </c>
      <c r="C651" s="4" t="s">
        <v>259</v>
      </c>
      <c r="D651" s="4" t="s">
        <v>26</v>
      </c>
      <c r="E651" s="4" t="s">
        <v>10</v>
      </c>
      <c r="F651" s="4">
        <v>180</v>
      </c>
      <c r="G651" s="7">
        <v>42306</v>
      </c>
      <c r="H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>
        <v>23912</v>
      </c>
      <c r="B652" s="4" t="s">
        <v>709</v>
      </c>
      <c r="C652" s="4" t="s">
        <v>369</v>
      </c>
      <c r="D652" s="4" t="s">
        <v>20</v>
      </c>
      <c r="E652" s="4" t="s">
        <v>17</v>
      </c>
      <c r="F652" s="4">
        <v>39</v>
      </c>
      <c r="G652" s="7">
        <v>42342</v>
      </c>
      <c r="H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>
        <v>23913</v>
      </c>
      <c r="B653" s="4" t="s">
        <v>834</v>
      </c>
      <c r="C653" s="4" t="s">
        <v>144</v>
      </c>
      <c r="D653" s="4" t="s">
        <v>58</v>
      </c>
      <c r="E653" s="4" t="s">
        <v>17</v>
      </c>
      <c r="F653" s="4">
        <v>6</v>
      </c>
      <c r="G653" s="7">
        <v>42302</v>
      </c>
      <c r="H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>
        <v>23914</v>
      </c>
      <c r="B654" s="4" t="s">
        <v>835</v>
      </c>
      <c r="C654" s="4" t="s">
        <v>12</v>
      </c>
      <c r="D654" s="4" t="s">
        <v>13</v>
      </c>
      <c r="E654" s="4" t="s">
        <v>17</v>
      </c>
      <c r="F654" s="4">
        <v>131</v>
      </c>
      <c r="G654" s="7">
        <v>42356</v>
      </c>
      <c r="H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>
        <v>23915</v>
      </c>
      <c r="B655" s="4" t="s">
        <v>836</v>
      </c>
      <c r="C655" s="4" t="s">
        <v>321</v>
      </c>
      <c r="D655" s="4" t="s">
        <v>9</v>
      </c>
      <c r="E655" s="4" t="s">
        <v>17</v>
      </c>
      <c r="F655" s="4">
        <v>134</v>
      </c>
      <c r="G655" s="7">
        <v>42310</v>
      </c>
      <c r="H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>
        <v>23916</v>
      </c>
      <c r="B656" s="4" t="s">
        <v>837</v>
      </c>
      <c r="C656" s="4" t="s">
        <v>366</v>
      </c>
      <c r="D656" s="4" t="s">
        <v>29</v>
      </c>
      <c r="E656" s="4" t="s">
        <v>10</v>
      </c>
      <c r="F656" s="4">
        <v>212</v>
      </c>
      <c r="G656" s="7">
        <v>42312</v>
      </c>
      <c r="H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>
        <v>23917</v>
      </c>
      <c r="B657" s="4" t="s">
        <v>838</v>
      </c>
      <c r="C657" s="4" t="s">
        <v>285</v>
      </c>
      <c r="D657" s="4" t="s">
        <v>51</v>
      </c>
      <c r="E657" s="4" t="s">
        <v>59</v>
      </c>
      <c r="F657" s="4">
        <v>106</v>
      </c>
      <c r="G657" s="7">
        <v>42301</v>
      </c>
      <c r="H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>
        <v>23918</v>
      </c>
      <c r="B658" s="4" t="s">
        <v>839</v>
      </c>
      <c r="C658" s="4" t="s">
        <v>168</v>
      </c>
      <c r="D658" s="4" t="s">
        <v>23</v>
      </c>
      <c r="E658" s="4" t="s">
        <v>10</v>
      </c>
      <c r="F658" s="4">
        <v>204</v>
      </c>
      <c r="G658" s="7">
        <v>42250</v>
      </c>
      <c r="H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>
        <v>23919</v>
      </c>
      <c r="B659" s="4" t="s">
        <v>840</v>
      </c>
      <c r="C659" s="4" t="s">
        <v>100</v>
      </c>
      <c r="D659" s="4" t="s">
        <v>26</v>
      </c>
      <c r="E659" s="4" t="s">
        <v>17</v>
      </c>
      <c r="F659" s="4">
        <v>120</v>
      </c>
      <c r="G659" s="7">
        <v>42254</v>
      </c>
      <c r="H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>
        <v>23920</v>
      </c>
      <c r="B660" s="4" t="s">
        <v>841</v>
      </c>
      <c r="C660" s="4" t="s">
        <v>842</v>
      </c>
      <c r="D660" s="4" t="s">
        <v>46</v>
      </c>
      <c r="E660" s="4" t="s">
        <v>17</v>
      </c>
      <c r="F660" s="4">
        <v>196</v>
      </c>
      <c r="G660" s="7">
        <v>42342</v>
      </c>
      <c r="H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>
        <v>23921</v>
      </c>
      <c r="B661" s="4" t="s">
        <v>843</v>
      </c>
      <c r="C661" s="4" t="s">
        <v>148</v>
      </c>
      <c r="D661" s="4" t="s">
        <v>16</v>
      </c>
      <c r="E661" s="4" t="s">
        <v>17</v>
      </c>
      <c r="F661" s="4">
        <v>145</v>
      </c>
      <c r="G661" s="7">
        <v>42280</v>
      </c>
      <c r="H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>
        <v>23922</v>
      </c>
      <c r="B662" s="4" t="s">
        <v>844</v>
      </c>
      <c r="C662" s="4" t="s">
        <v>442</v>
      </c>
      <c r="D662" s="4" t="s">
        <v>34</v>
      </c>
      <c r="E662" s="4" t="s">
        <v>59</v>
      </c>
      <c r="F662" s="4">
        <v>159</v>
      </c>
      <c r="G662" s="7">
        <v>42338</v>
      </c>
      <c r="H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>
        <v>23923</v>
      </c>
      <c r="B663" s="4" t="s">
        <v>845</v>
      </c>
      <c r="C663" s="4" t="s">
        <v>357</v>
      </c>
      <c r="D663" s="4" t="s">
        <v>16</v>
      </c>
      <c r="E663" s="4" t="s">
        <v>10</v>
      </c>
      <c r="F663" s="4">
        <v>196</v>
      </c>
      <c r="G663" s="7">
        <v>42357</v>
      </c>
      <c r="H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>
        <v>23924</v>
      </c>
      <c r="B664" s="4" t="s">
        <v>846</v>
      </c>
      <c r="C664" s="4" t="s">
        <v>146</v>
      </c>
      <c r="D664" s="4" t="s">
        <v>29</v>
      </c>
      <c r="E664" s="4" t="s">
        <v>10</v>
      </c>
      <c r="F664" s="4">
        <v>120</v>
      </c>
      <c r="G664" s="7">
        <v>42349</v>
      </c>
      <c r="H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>
        <v>23925</v>
      </c>
      <c r="B665" s="4" t="s">
        <v>847</v>
      </c>
      <c r="C665" s="4" t="s">
        <v>278</v>
      </c>
      <c r="D665" s="4" t="s">
        <v>9</v>
      </c>
      <c r="E665" s="4" t="s">
        <v>10</v>
      </c>
      <c r="F665" s="4">
        <v>118</v>
      </c>
      <c r="G665" s="7">
        <v>42361</v>
      </c>
      <c r="H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>
        <v>23926</v>
      </c>
      <c r="B666" s="4" t="s">
        <v>848</v>
      </c>
      <c r="C666" s="4" t="s">
        <v>521</v>
      </c>
      <c r="D666" s="4" t="s">
        <v>51</v>
      </c>
      <c r="E666" s="4" t="s">
        <v>10</v>
      </c>
      <c r="F666" s="4">
        <v>152</v>
      </c>
      <c r="G666" s="7">
        <v>42364</v>
      </c>
      <c r="H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>
        <v>23927</v>
      </c>
      <c r="B667" s="4" t="s">
        <v>849</v>
      </c>
      <c r="C667" s="4" t="s">
        <v>8</v>
      </c>
      <c r="D667" s="4" t="s">
        <v>16</v>
      </c>
      <c r="E667" s="4" t="s">
        <v>10</v>
      </c>
      <c r="F667" s="4">
        <v>151</v>
      </c>
      <c r="G667" s="7">
        <v>42292</v>
      </c>
      <c r="H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>
        <v>23928</v>
      </c>
      <c r="B668" s="4" t="s">
        <v>850</v>
      </c>
      <c r="C668" s="4" t="s">
        <v>131</v>
      </c>
      <c r="D668" s="4" t="s">
        <v>34</v>
      </c>
      <c r="E668" s="4" t="s">
        <v>10</v>
      </c>
      <c r="F668" s="4">
        <v>74</v>
      </c>
      <c r="G668" s="7">
        <v>42366</v>
      </c>
      <c r="H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>
        <v>23929</v>
      </c>
      <c r="B669" s="4" t="s">
        <v>851</v>
      </c>
      <c r="C669" s="4" t="s">
        <v>57</v>
      </c>
      <c r="D669" s="4" t="s">
        <v>20</v>
      </c>
      <c r="E669" s="4" t="s">
        <v>17</v>
      </c>
      <c r="F669" s="4">
        <v>47</v>
      </c>
      <c r="G669" s="7">
        <v>42281</v>
      </c>
      <c r="H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>
        <v>23930</v>
      </c>
      <c r="B670" s="4" t="s">
        <v>852</v>
      </c>
      <c r="C670" s="4" t="s">
        <v>8</v>
      </c>
      <c r="D670" s="4" t="s">
        <v>23</v>
      </c>
      <c r="E670" s="4" t="s">
        <v>10</v>
      </c>
      <c r="F670" s="4">
        <v>189</v>
      </c>
      <c r="G670" s="7">
        <v>42306</v>
      </c>
      <c r="H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>
        <v>23931</v>
      </c>
      <c r="B671" s="4" t="s">
        <v>853</v>
      </c>
      <c r="C671" s="4" t="s">
        <v>369</v>
      </c>
      <c r="D671" s="4" t="s">
        <v>23</v>
      </c>
      <c r="E671" s="4" t="s">
        <v>17</v>
      </c>
      <c r="F671" s="4">
        <v>138</v>
      </c>
      <c r="G671" s="7">
        <v>42260</v>
      </c>
      <c r="H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>
        <v>23932</v>
      </c>
      <c r="B672" s="4" t="s">
        <v>854</v>
      </c>
      <c r="C672" s="4" t="s">
        <v>307</v>
      </c>
      <c r="D672" s="4" t="s">
        <v>13</v>
      </c>
      <c r="E672" s="4" t="s">
        <v>17</v>
      </c>
      <c r="F672" s="4">
        <v>115</v>
      </c>
      <c r="G672" s="7">
        <v>42284</v>
      </c>
      <c r="H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>
        <v>23933</v>
      </c>
      <c r="B673" s="4" t="s">
        <v>855</v>
      </c>
      <c r="C673" s="4" t="s">
        <v>90</v>
      </c>
      <c r="D673" s="4" t="s">
        <v>20</v>
      </c>
      <c r="E673" s="4" t="s">
        <v>10</v>
      </c>
      <c r="F673" s="4">
        <v>208</v>
      </c>
      <c r="G673" s="7">
        <v>42362</v>
      </c>
      <c r="H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>
        <v>23934</v>
      </c>
      <c r="B674" s="4" t="s">
        <v>856</v>
      </c>
      <c r="C674" s="4" t="s">
        <v>86</v>
      </c>
      <c r="D674" s="4" t="s">
        <v>26</v>
      </c>
      <c r="E674" s="4" t="s">
        <v>59</v>
      </c>
      <c r="F674" s="4">
        <v>166</v>
      </c>
      <c r="G674" s="7">
        <v>42309</v>
      </c>
      <c r="H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>
        <v>23935</v>
      </c>
      <c r="B675" s="4" t="s">
        <v>857</v>
      </c>
      <c r="C675" s="4" t="s">
        <v>25</v>
      </c>
      <c r="D675" s="4" t="s">
        <v>34</v>
      </c>
      <c r="E675" s="4" t="s">
        <v>10</v>
      </c>
      <c r="F675" s="4">
        <v>17</v>
      </c>
      <c r="G675" s="7">
        <v>42295</v>
      </c>
      <c r="H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>
        <v>23936</v>
      </c>
      <c r="B676" s="4" t="s">
        <v>858</v>
      </c>
      <c r="C676" s="4" t="s">
        <v>129</v>
      </c>
      <c r="D676" s="4" t="s">
        <v>58</v>
      </c>
      <c r="E676" s="4" t="s">
        <v>10</v>
      </c>
      <c r="F676" s="4">
        <v>195</v>
      </c>
      <c r="G676" s="7">
        <v>42305</v>
      </c>
      <c r="H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>
        <v>23937</v>
      </c>
      <c r="B677" s="4" t="s">
        <v>859</v>
      </c>
      <c r="C677" s="4" t="s">
        <v>83</v>
      </c>
      <c r="D677" s="4" t="s">
        <v>16</v>
      </c>
      <c r="E677" s="4" t="s">
        <v>17</v>
      </c>
      <c r="F677" s="4">
        <v>162</v>
      </c>
      <c r="G677" s="7">
        <v>42342</v>
      </c>
      <c r="H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>
        <v>23938</v>
      </c>
      <c r="B678" s="4" t="s">
        <v>860</v>
      </c>
      <c r="C678" s="4" t="s">
        <v>203</v>
      </c>
      <c r="D678" s="4" t="s">
        <v>51</v>
      </c>
      <c r="E678" s="4" t="s">
        <v>17</v>
      </c>
      <c r="F678" s="4">
        <v>45</v>
      </c>
      <c r="G678" s="7">
        <v>42307</v>
      </c>
      <c r="H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>
        <v>23939</v>
      </c>
      <c r="B679" s="4" t="s">
        <v>861</v>
      </c>
      <c r="C679" s="4" t="s">
        <v>129</v>
      </c>
      <c r="D679" s="4" t="s">
        <v>13</v>
      </c>
      <c r="E679" s="4" t="s">
        <v>10</v>
      </c>
      <c r="F679" s="4">
        <v>163</v>
      </c>
      <c r="G679" s="7">
        <v>42269</v>
      </c>
      <c r="H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>
        <v>23940</v>
      </c>
      <c r="B680" s="4" t="s">
        <v>862</v>
      </c>
      <c r="C680" s="4" t="s">
        <v>90</v>
      </c>
      <c r="D680" s="4" t="s">
        <v>26</v>
      </c>
      <c r="E680" s="4" t="s">
        <v>10</v>
      </c>
      <c r="F680" s="4">
        <v>131</v>
      </c>
      <c r="G680" s="7">
        <v>42318</v>
      </c>
      <c r="H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>
        <v>23941</v>
      </c>
      <c r="B681" s="4" t="s">
        <v>863</v>
      </c>
      <c r="C681" s="4" t="s">
        <v>188</v>
      </c>
      <c r="D681" s="4" t="s">
        <v>58</v>
      </c>
      <c r="E681" s="4" t="s">
        <v>10</v>
      </c>
      <c r="F681" s="4">
        <v>54</v>
      </c>
      <c r="G681" s="7">
        <v>42259</v>
      </c>
      <c r="H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>
        <v>23942</v>
      </c>
      <c r="B682" s="4" t="s">
        <v>864</v>
      </c>
      <c r="C682" s="4" t="s">
        <v>295</v>
      </c>
      <c r="D682" s="4" t="s">
        <v>51</v>
      </c>
      <c r="E682" s="4" t="s">
        <v>10</v>
      </c>
      <c r="F682" s="4">
        <v>117</v>
      </c>
      <c r="G682" s="7">
        <v>42340</v>
      </c>
      <c r="H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>
        <v>23943</v>
      </c>
      <c r="B683" s="4" t="s">
        <v>865</v>
      </c>
      <c r="C683" s="4" t="s">
        <v>152</v>
      </c>
      <c r="D683" s="4" t="s">
        <v>16</v>
      </c>
      <c r="E683" s="4" t="s">
        <v>10</v>
      </c>
      <c r="F683" s="4">
        <v>128</v>
      </c>
      <c r="G683" s="7">
        <v>42359</v>
      </c>
      <c r="H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>
        <v>23944</v>
      </c>
      <c r="B684" s="4" t="s">
        <v>866</v>
      </c>
      <c r="C684" s="4" t="s">
        <v>196</v>
      </c>
      <c r="D684" s="4" t="s">
        <v>13</v>
      </c>
      <c r="E684" s="4" t="s">
        <v>10</v>
      </c>
      <c r="F684" s="4">
        <v>170</v>
      </c>
      <c r="G684" s="7">
        <v>42335</v>
      </c>
      <c r="H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>
        <v>23945</v>
      </c>
      <c r="B685" s="4" t="s">
        <v>867</v>
      </c>
      <c r="C685" s="4" t="s">
        <v>181</v>
      </c>
      <c r="D685" s="4" t="s">
        <v>46</v>
      </c>
      <c r="E685" s="4" t="s">
        <v>10</v>
      </c>
      <c r="F685" s="4">
        <v>183</v>
      </c>
      <c r="G685" s="7">
        <v>42318</v>
      </c>
      <c r="H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>
        <v>23946</v>
      </c>
      <c r="B686" s="4" t="s">
        <v>868</v>
      </c>
      <c r="C686" s="4" t="s">
        <v>521</v>
      </c>
      <c r="D686" s="4" t="s">
        <v>29</v>
      </c>
      <c r="E686" s="4" t="s">
        <v>10</v>
      </c>
      <c r="F686" s="4">
        <v>139</v>
      </c>
      <c r="G686" s="7">
        <v>42319</v>
      </c>
      <c r="H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>
        <v>23947</v>
      </c>
      <c r="B687" s="4" t="s">
        <v>869</v>
      </c>
      <c r="C687" s="4" t="s">
        <v>40</v>
      </c>
      <c r="D687" s="4" t="s">
        <v>58</v>
      </c>
      <c r="E687" s="4" t="s">
        <v>10</v>
      </c>
      <c r="F687" s="4">
        <v>113</v>
      </c>
      <c r="G687" s="7">
        <v>42363</v>
      </c>
      <c r="H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>
        <v>23948</v>
      </c>
      <c r="B688" s="4" t="s">
        <v>870</v>
      </c>
      <c r="C688" s="4" t="s">
        <v>333</v>
      </c>
      <c r="D688" s="4" t="s">
        <v>26</v>
      </c>
      <c r="E688" s="4" t="s">
        <v>10</v>
      </c>
      <c r="F688" s="4">
        <v>170</v>
      </c>
      <c r="G688" s="7">
        <v>42321</v>
      </c>
      <c r="H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>
        <v>23949</v>
      </c>
      <c r="B689" s="4" t="s">
        <v>871</v>
      </c>
      <c r="C689" s="4" t="s">
        <v>166</v>
      </c>
      <c r="D689" s="4" t="s">
        <v>29</v>
      </c>
      <c r="E689" s="4" t="s">
        <v>10</v>
      </c>
      <c r="F689" s="4">
        <v>19</v>
      </c>
      <c r="G689" s="7">
        <v>42254</v>
      </c>
      <c r="H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>
        <v>23950</v>
      </c>
      <c r="B690" s="4" t="s">
        <v>872</v>
      </c>
      <c r="C690" s="4" t="s">
        <v>97</v>
      </c>
      <c r="D690" s="4" t="s">
        <v>23</v>
      </c>
      <c r="E690" s="4" t="s">
        <v>17</v>
      </c>
      <c r="F690" s="4">
        <v>93</v>
      </c>
      <c r="G690" s="7">
        <v>42339</v>
      </c>
      <c r="H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>
        <v>23951</v>
      </c>
      <c r="B691" s="4" t="s">
        <v>873</v>
      </c>
      <c r="C691" s="4" t="s">
        <v>316</v>
      </c>
      <c r="D691" s="4" t="s">
        <v>46</v>
      </c>
      <c r="E691" s="4" t="s">
        <v>10</v>
      </c>
      <c r="F691" s="4">
        <v>10</v>
      </c>
      <c r="G691" s="7">
        <v>42366</v>
      </c>
      <c r="H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>
        <v>23952</v>
      </c>
      <c r="B692" s="4" t="s">
        <v>874</v>
      </c>
      <c r="C692" s="4" t="s">
        <v>164</v>
      </c>
      <c r="D692" s="4" t="s">
        <v>46</v>
      </c>
      <c r="E692" s="4" t="s">
        <v>17</v>
      </c>
      <c r="F692" s="4">
        <v>81</v>
      </c>
      <c r="G692" s="7">
        <v>42334</v>
      </c>
      <c r="H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>
        <v>23953</v>
      </c>
      <c r="B693" s="4" t="s">
        <v>875</v>
      </c>
      <c r="C693" s="4" t="s">
        <v>83</v>
      </c>
      <c r="D693" s="4" t="s">
        <v>26</v>
      </c>
      <c r="E693" s="4" t="s">
        <v>10</v>
      </c>
      <c r="F693" s="4">
        <v>164</v>
      </c>
      <c r="G693" s="7">
        <v>42252</v>
      </c>
      <c r="H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>
        <v>23954</v>
      </c>
      <c r="B694" s="4" t="s">
        <v>876</v>
      </c>
      <c r="C694" s="4" t="s">
        <v>155</v>
      </c>
      <c r="D694" s="4" t="s">
        <v>26</v>
      </c>
      <c r="E694" s="4" t="s">
        <v>10</v>
      </c>
      <c r="F694" s="4">
        <v>106</v>
      </c>
      <c r="G694" s="7">
        <v>42301</v>
      </c>
      <c r="H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>
        <v>23955</v>
      </c>
      <c r="B695" s="4" t="s">
        <v>877</v>
      </c>
      <c r="C695" s="4" t="s">
        <v>756</v>
      </c>
      <c r="D695" s="4" t="s">
        <v>23</v>
      </c>
      <c r="E695" s="4" t="s">
        <v>10</v>
      </c>
      <c r="F695" s="4">
        <v>26</v>
      </c>
      <c r="G695" s="7">
        <v>42302</v>
      </c>
      <c r="H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>
        <v>23956</v>
      </c>
      <c r="B696" s="4" t="s">
        <v>878</v>
      </c>
      <c r="C696" s="4" t="s">
        <v>152</v>
      </c>
      <c r="D696" s="4" t="s">
        <v>29</v>
      </c>
      <c r="E696" s="4" t="s">
        <v>17</v>
      </c>
      <c r="F696" s="4">
        <v>183</v>
      </c>
      <c r="G696" s="7">
        <v>42313</v>
      </c>
      <c r="H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>
        <v>23957</v>
      </c>
      <c r="B697" s="4" t="s">
        <v>879</v>
      </c>
      <c r="C697" s="4" t="s">
        <v>188</v>
      </c>
      <c r="D697" s="4" t="s">
        <v>9</v>
      </c>
      <c r="E697" s="4" t="s">
        <v>17</v>
      </c>
      <c r="F697" s="4">
        <v>81</v>
      </c>
      <c r="G697" s="7">
        <v>42302</v>
      </c>
      <c r="H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>
        <v>23958</v>
      </c>
      <c r="B698" s="4" t="s">
        <v>880</v>
      </c>
      <c r="C698" s="4" t="s">
        <v>152</v>
      </c>
      <c r="D698" s="4" t="s">
        <v>16</v>
      </c>
      <c r="E698" s="4" t="s">
        <v>10</v>
      </c>
      <c r="F698" s="4">
        <v>45</v>
      </c>
      <c r="G698" s="7">
        <v>42352</v>
      </c>
      <c r="H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>
        <v>23959</v>
      </c>
      <c r="B699" s="4" t="s">
        <v>881</v>
      </c>
      <c r="C699" s="4" t="s">
        <v>48</v>
      </c>
      <c r="D699" s="4" t="s">
        <v>9</v>
      </c>
      <c r="E699" s="4" t="s">
        <v>17</v>
      </c>
      <c r="F699" s="4">
        <v>148</v>
      </c>
      <c r="G699" s="7">
        <v>42341</v>
      </c>
      <c r="H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>
        <v>23960</v>
      </c>
      <c r="B700" s="4" t="s">
        <v>882</v>
      </c>
      <c r="C700" s="4" t="s">
        <v>57</v>
      </c>
      <c r="D700" s="4" t="s">
        <v>20</v>
      </c>
      <c r="E700" s="4" t="s">
        <v>10</v>
      </c>
      <c r="F700" s="4">
        <v>78</v>
      </c>
      <c r="G700" s="7">
        <v>42270</v>
      </c>
      <c r="H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>
        <v>23961</v>
      </c>
      <c r="B701" s="4" t="s">
        <v>883</v>
      </c>
      <c r="C701" s="4" t="s">
        <v>357</v>
      </c>
      <c r="D701" s="4" t="s">
        <v>13</v>
      </c>
      <c r="E701" s="4" t="s">
        <v>10</v>
      </c>
      <c r="F701" s="4">
        <v>133</v>
      </c>
      <c r="G701" s="7">
        <v>42347</v>
      </c>
      <c r="H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>
        <v>23962</v>
      </c>
      <c r="B702" s="4" t="s">
        <v>884</v>
      </c>
      <c r="C702" s="4" t="s">
        <v>190</v>
      </c>
      <c r="D702" s="4" t="s">
        <v>46</v>
      </c>
      <c r="E702" s="4" t="s">
        <v>17</v>
      </c>
      <c r="F702" s="4">
        <v>17</v>
      </c>
      <c r="G702" s="7">
        <v>42274</v>
      </c>
      <c r="H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>
        <v>23963</v>
      </c>
      <c r="B703" s="4" t="s">
        <v>885</v>
      </c>
      <c r="C703" s="4" t="s">
        <v>422</v>
      </c>
      <c r="D703" s="4" t="s">
        <v>46</v>
      </c>
      <c r="E703" s="4" t="s">
        <v>10</v>
      </c>
      <c r="F703" s="4">
        <v>145</v>
      </c>
      <c r="G703" s="7">
        <v>42366</v>
      </c>
      <c r="H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>
        <v>23964</v>
      </c>
      <c r="B704" s="4" t="s">
        <v>886</v>
      </c>
      <c r="C704" s="4" t="s">
        <v>119</v>
      </c>
      <c r="D704" s="4" t="s">
        <v>26</v>
      </c>
      <c r="E704" s="4" t="s">
        <v>59</v>
      </c>
      <c r="F704" s="4">
        <v>141</v>
      </c>
      <c r="G704" s="7">
        <v>42299</v>
      </c>
      <c r="H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>
        <v>23965</v>
      </c>
      <c r="B705" s="4" t="s">
        <v>887</v>
      </c>
      <c r="C705" s="4" t="s">
        <v>136</v>
      </c>
      <c r="D705" s="4" t="s">
        <v>13</v>
      </c>
      <c r="E705" s="4" t="s">
        <v>10</v>
      </c>
      <c r="F705" s="4">
        <v>44</v>
      </c>
      <c r="G705" s="7">
        <v>42283</v>
      </c>
      <c r="H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>
        <v>23966</v>
      </c>
      <c r="B706" s="4" t="s">
        <v>888</v>
      </c>
      <c r="C706" s="4" t="s">
        <v>397</v>
      </c>
      <c r="D706" s="4" t="s">
        <v>34</v>
      </c>
      <c r="E706" s="4" t="s">
        <v>10</v>
      </c>
      <c r="F706" s="4">
        <v>167</v>
      </c>
      <c r="G706" s="7">
        <v>42315</v>
      </c>
      <c r="H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>
        <v>23967</v>
      </c>
      <c r="B707" s="4" t="s">
        <v>889</v>
      </c>
      <c r="C707" s="4" t="s">
        <v>106</v>
      </c>
      <c r="D707" s="4" t="s">
        <v>20</v>
      </c>
      <c r="E707" s="4" t="s">
        <v>10</v>
      </c>
      <c r="F707" s="4">
        <v>143</v>
      </c>
      <c r="G707" s="7">
        <v>42263</v>
      </c>
      <c r="H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>
        <v>23968</v>
      </c>
      <c r="B708" s="4" t="s">
        <v>890</v>
      </c>
      <c r="C708" s="4" t="s">
        <v>228</v>
      </c>
      <c r="D708" s="4" t="s">
        <v>29</v>
      </c>
      <c r="E708" s="4" t="s">
        <v>59</v>
      </c>
      <c r="F708" s="4">
        <v>208</v>
      </c>
      <c r="G708" s="7">
        <v>42269</v>
      </c>
      <c r="H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>
        <v>23969</v>
      </c>
      <c r="B709" s="4" t="s">
        <v>891</v>
      </c>
      <c r="C709" s="4" t="s">
        <v>892</v>
      </c>
      <c r="D709" s="4" t="s">
        <v>26</v>
      </c>
      <c r="E709" s="4" t="s">
        <v>10</v>
      </c>
      <c r="F709" s="4">
        <v>124</v>
      </c>
      <c r="G709" s="7">
        <v>42342</v>
      </c>
      <c r="H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>
        <v>23970</v>
      </c>
      <c r="B710" s="4" t="s">
        <v>893</v>
      </c>
      <c r="C710" s="4" t="s">
        <v>263</v>
      </c>
      <c r="D710" s="4" t="s">
        <v>26</v>
      </c>
      <c r="E710" s="4" t="s">
        <v>17</v>
      </c>
      <c r="F710" s="4">
        <v>148</v>
      </c>
      <c r="G710" s="7">
        <v>42333</v>
      </c>
      <c r="H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>
        <v>23971</v>
      </c>
      <c r="B711" s="4" t="s">
        <v>894</v>
      </c>
      <c r="C711" s="4" t="s">
        <v>125</v>
      </c>
      <c r="D711" s="4" t="s">
        <v>23</v>
      </c>
      <c r="E711" s="4" t="s">
        <v>59</v>
      </c>
      <c r="F711" s="4">
        <v>114</v>
      </c>
      <c r="G711" s="7">
        <v>42329</v>
      </c>
      <c r="H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>
        <v>23972</v>
      </c>
      <c r="B712" s="4" t="s">
        <v>895</v>
      </c>
      <c r="C712" s="4" t="s">
        <v>63</v>
      </c>
      <c r="D712" s="4" t="s">
        <v>58</v>
      </c>
      <c r="E712" s="4" t="s">
        <v>10</v>
      </c>
      <c r="F712" s="4">
        <v>192</v>
      </c>
      <c r="G712" s="7">
        <v>42248</v>
      </c>
      <c r="H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>
        <v>23973</v>
      </c>
      <c r="B713" s="4" t="s">
        <v>896</v>
      </c>
      <c r="C713" s="4" t="s">
        <v>133</v>
      </c>
      <c r="D713" s="4" t="s">
        <v>26</v>
      </c>
      <c r="E713" s="4" t="s">
        <v>17</v>
      </c>
      <c r="F713" s="4">
        <v>142</v>
      </c>
      <c r="G713" s="7">
        <v>42339</v>
      </c>
      <c r="H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>
        <v>23974</v>
      </c>
      <c r="B714" s="4" t="s">
        <v>897</v>
      </c>
      <c r="C714" s="4" t="s">
        <v>110</v>
      </c>
      <c r="D714" s="4" t="s">
        <v>58</v>
      </c>
      <c r="E714" s="4" t="s">
        <v>17</v>
      </c>
      <c r="F714" s="4">
        <v>156</v>
      </c>
      <c r="G714" s="7">
        <v>42355</v>
      </c>
      <c r="H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>
        <v>23975</v>
      </c>
      <c r="B715" s="4" t="s">
        <v>898</v>
      </c>
      <c r="C715" s="4" t="s">
        <v>164</v>
      </c>
      <c r="D715" s="4" t="s">
        <v>29</v>
      </c>
      <c r="E715" s="4" t="s">
        <v>59</v>
      </c>
      <c r="F715" s="4">
        <v>123</v>
      </c>
      <c r="G715" s="7">
        <v>42326</v>
      </c>
      <c r="H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>
        <v>23976</v>
      </c>
      <c r="B716" s="4" t="s">
        <v>899</v>
      </c>
      <c r="C716" s="4" t="s">
        <v>131</v>
      </c>
      <c r="D716" s="4" t="s">
        <v>9</v>
      </c>
      <c r="E716" s="4" t="s">
        <v>10</v>
      </c>
      <c r="F716" s="4">
        <v>70</v>
      </c>
      <c r="G716" s="7">
        <v>42366</v>
      </c>
      <c r="H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>
        <v>23977</v>
      </c>
      <c r="B717" s="4" t="s">
        <v>900</v>
      </c>
      <c r="C717" s="4" t="s">
        <v>274</v>
      </c>
      <c r="D717" s="4" t="s">
        <v>26</v>
      </c>
      <c r="E717" s="4" t="s">
        <v>10</v>
      </c>
      <c r="F717" s="4">
        <v>161</v>
      </c>
      <c r="G717" s="7">
        <v>42316</v>
      </c>
      <c r="H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>
        <v>23978</v>
      </c>
      <c r="B718" s="4" t="s">
        <v>901</v>
      </c>
      <c r="C718" s="4" t="s">
        <v>380</v>
      </c>
      <c r="D718" s="4" t="s">
        <v>16</v>
      </c>
      <c r="E718" s="4" t="s">
        <v>10</v>
      </c>
      <c r="F718" s="4">
        <v>16</v>
      </c>
      <c r="G718" s="7">
        <v>42356</v>
      </c>
      <c r="H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>
        <v>23979</v>
      </c>
      <c r="B719" s="4" t="s">
        <v>902</v>
      </c>
      <c r="C719" s="4" t="s">
        <v>83</v>
      </c>
      <c r="D719" s="4" t="s">
        <v>23</v>
      </c>
      <c r="E719" s="4" t="s">
        <v>10</v>
      </c>
      <c r="F719" s="4">
        <v>163</v>
      </c>
      <c r="G719" s="7">
        <v>42323</v>
      </c>
      <c r="H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>
        <v>23980</v>
      </c>
      <c r="B720" s="4" t="s">
        <v>903</v>
      </c>
      <c r="C720" s="4" t="s">
        <v>453</v>
      </c>
      <c r="D720" s="4" t="s">
        <v>9</v>
      </c>
      <c r="E720" s="4" t="s">
        <v>10</v>
      </c>
      <c r="F720" s="4">
        <v>52</v>
      </c>
      <c r="G720" s="7">
        <v>42315</v>
      </c>
      <c r="H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>
        <v>23981</v>
      </c>
      <c r="B721" s="4" t="s">
        <v>904</v>
      </c>
      <c r="C721" s="4" t="s">
        <v>472</v>
      </c>
      <c r="D721" s="4" t="s">
        <v>20</v>
      </c>
      <c r="E721" s="4" t="s">
        <v>17</v>
      </c>
      <c r="F721" s="4">
        <v>39</v>
      </c>
      <c r="G721" s="7">
        <v>42346</v>
      </c>
      <c r="H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>
        <v>23982</v>
      </c>
      <c r="B722" s="4" t="s">
        <v>561</v>
      </c>
      <c r="C722" s="4" t="s">
        <v>538</v>
      </c>
      <c r="D722" s="4" t="s">
        <v>51</v>
      </c>
      <c r="E722" s="4" t="s">
        <v>17</v>
      </c>
      <c r="F722" s="4">
        <v>67</v>
      </c>
      <c r="G722" s="7">
        <v>42277</v>
      </c>
      <c r="H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>
        <v>23983</v>
      </c>
      <c r="B723" s="4" t="s">
        <v>905</v>
      </c>
      <c r="C723" s="4" t="s">
        <v>100</v>
      </c>
      <c r="D723" s="4" t="s">
        <v>13</v>
      </c>
      <c r="E723" s="4" t="s">
        <v>10</v>
      </c>
      <c r="F723" s="4">
        <v>30</v>
      </c>
      <c r="G723" s="7">
        <v>42281</v>
      </c>
      <c r="H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>
        <v>23984</v>
      </c>
      <c r="B724" s="4" t="s">
        <v>906</v>
      </c>
      <c r="C724" s="4" t="s">
        <v>422</v>
      </c>
      <c r="D724" s="4" t="s">
        <v>34</v>
      </c>
      <c r="E724" s="4" t="s">
        <v>10</v>
      </c>
      <c r="F724" s="4">
        <v>32</v>
      </c>
      <c r="G724" s="7">
        <v>42361</v>
      </c>
      <c r="H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>
        <v>23985</v>
      </c>
      <c r="B725" s="4" t="s">
        <v>907</v>
      </c>
      <c r="C725" s="4" t="s">
        <v>606</v>
      </c>
      <c r="D725" s="4" t="s">
        <v>51</v>
      </c>
      <c r="E725" s="4" t="s">
        <v>17</v>
      </c>
      <c r="F725" s="4">
        <v>48</v>
      </c>
      <c r="G725" s="7">
        <v>42310</v>
      </c>
      <c r="H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>
        <v>23986</v>
      </c>
      <c r="B726" s="4" t="s">
        <v>908</v>
      </c>
      <c r="C726" s="4" t="s">
        <v>196</v>
      </c>
      <c r="D726" s="4" t="s">
        <v>26</v>
      </c>
      <c r="E726" s="4" t="s">
        <v>17</v>
      </c>
      <c r="F726" s="4">
        <v>61</v>
      </c>
      <c r="G726" s="7">
        <v>42331</v>
      </c>
      <c r="H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>
        <v>23987</v>
      </c>
      <c r="B727" s="4" t="s">
        <v>909</v>
      </c>
      <c r="C727" s="4" t="s">
        <v>288</v>
      </c>
      <c r="D727" s="4" t="s">
        <v>9</v>
      </c>
      <c r="E727" s="4" t="s">
        <v>10</v>
      </c>
      <c r="F727" s="4">
        <v>35</v>
      </c>
      <c r="G727" s="7">
        <v>42281</v>
      </c>
      <c r="H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>
        <v>23988</v>
      </c>
      <c r="B728" s="4" t="s">
        <v>910</v>
      </c>
      <c r="C728" s="4" t="s">
        <v>255</v>
      </c>
      <c r="D728" s="4" t="s">
        <v>20</v>
      </c>
      <c r="E728" s="4" t="s">
        <v>59</v>
      </c>
      <c r="F728" s="4">
        <v>81</v>
      </c>
      <c r="G728" s="7">
        <v>42250</v>
      </c>
      <c r="H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>
        <v>23989</v>
      </c>
      <c r="B729" s="4" t="s">
        <v>911</v>
      </c>
      <c r="C729" s="4" t="s">
        <v>274</v>
      </c>
      <c r="D729" s="4" t="s">
        <v>16</v>
      </c>
      <c r="E729" s="4" t="s">
        <v>10</v>
      </c>
      <c r="F729" s="4">
        <v>58</v>
      </c>
      <c r="G729" s="7">
        <v>42249</v>
      </c>
      <c r="H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>
        <v>23990</v>
      </c>
      <c r="B730" s="4" t="s">
        <v>912</v>
      </c>
      <c r="C730" s="4" t="s">
        <v>442</v>
      </c>
      <c r="D730" s="4" t="s">
        <v>29</v>
      </c>
      <c r="E730" s="4" t="s">
        <v>17</v>
      </c>
      <c r="F730" s="4">
        <v>71</v>
      </c>
      <c r="G730" s="7">
        <v>42272</v>
      </c>
      <c r="H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>
        <v>23991</v>
      </c>
      <c r="B731" s="4" t="s">
        <v>913</v>
      </c>
      <c r="C731" s="4" t="s">
        <v>412</v>
      </c>
      <c r="D731" s="4" t="s">
        <v>9</v>
      </c>
      <c r="E731" s="4" t="s">
        <v>17</v>
      </c>
      <c r="F731" s="4">
        <v>55</v>
      </c>
      <c r="G731" s="7">
        <v>42266</v>
      </c>
      <c r="H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>
        <v>23992</v>
      </c>
      <c r="B732" s="4" t="s">
        <v>914</v>
      </c>
      <c r="C732" s="4" t="s">
        <v>92</v>
      </c>
      <c r="D732" s="4" t="s">
        <v>29</v>
      </c>
      <c r="E732" s="4" t="s">
        <v>17</v>
      </c>
      <c r="F732" s="4">
        <v>34</v>
      </c>
      <c r="G732" s="7">
        <v>42276</v>
      </c>
      <c r="H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>
        <v>23993</v>
      </c>
      <c r="B733" s="4" t="s">
        <v>915</v>
      </c>
      <c r="C733" s="4" t="s">
        <v>444</v>
      </c>
      <c r="D733" s="4" t="s">
        <v>26</v>
      </c>
      <c r="E733" s="4" t="s">
        <v>17</v>
      </c>
      <c r="F733" s="4">
        <v>161</v>
      </c>
      <c r="G733" s="7">
        <v>42264</v>
      </c>
      <c r="H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>
        <v>23994</v>
      </c>
      <c r="B734" s="4" t="s">
        <v>916</v>
      </c>
      <c r="C734" s="4" t="s">
        <v>290</v>
      </c>
      <c r="D734" s="4" t="s">
        <v>13</v>
      </c>
      <c r="E734" s="4" t="s">
        <v>17</v>
      </c>
      <c r="F734" s="4">
        <v>171</v>
      </c>
      <c r="G734" s="7">
        <v>42290</v>
      </c>
      <c r="H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>
        <v>23995</v>
      </c>
      <c r="B735" s="4" t="s">
        <v>917</v>
      </c>
      <c r="C735" s="4" t="s">
        <v>140</v>
      </c>
      <c r="D735" s="4" t="s">
        <v>13</v>
      </c>
      <c r="E735" s="4" t="s">
        <v>10</v>
      </c>
      <c r="F735" s="4">
        <v>188</v>
      </c>
      <c r="G735" s="7">
        <v>42351</v>
      </c>
      <c r="H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>
        <v>23996</v>
      </c>
      <c r="B736" s="4" t="s">
        <v>918</v>
      </c>
      <c r="C736" s="4" t="s">
        <v>611</v>
      </c>
      <c r="D736" s="4" t="s">
        <v>26</v>
      </c>
      <c r="E736" s="4" t="s">
        <v>59</v>
      </c>
      <c r="F736" s="4">
        <v>58</v>
      </c>
      <c r="G736" s="7">
        <v>42342</v>
      </c>
      <c r="H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>
        <v>23997</v>
      </c>
      <c r="B737" s="4" t="s">
        <v>919</v>
      </c>
      <c r="C737" s="4" t="s">
        <v>198</v>
      </c>
      <c r="D737" s="4" t="s">
        <v>23</v>
      </c>
      <c r="E737" s="4" t="s">
        <v>17</v>
      </c>
      <c r="F737" s="4">
        <v>161</v>
      </c>
      <c r="G737" s="7">
        <v>42257</v>
      </c>
      <c r="H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>
        <v>23998</v>
      </c>
      <c r="B738" s="4" t="s">
        <v>920</v>
      </c>
      <c r="C738" s="4" t="s">
        <v>40</v>
      </c>
      <c r="D738" s="4" t="s">
        <v>23</v>
      </c>
      <c r="E738" s="4" t="s">
        <v>17</v>
      </c>
      <c r="F738" s="4">
        <v>127</v>
      </c>
      <c r="G738" s="7">
        <v>42270</v>
      </c>
      <c r="H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>
        <v>23999</v>
      </c>
      <c r="B739" s="4" t="s">
        <v>921</v>
      </c>
      <c r="C739" s="4" t="s">
        <v>114</v>
      </c>
      <c r="D739" s="4" t="s">
        <v>34</v>
      </c>
      <c r="E739" s="4" t="s">
        <v>59</v>
      </c>
      <c r="F739" s="4">
        <v>94</v>
      </c>
      <c r="G739" s="7">
        <v>42264</v>
      </c>
      <c r="H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>
        <v>24000</v>
      </c>
      <c r="B740" s="4" t="s">
        <v>922</v>
      </c>
      <c r="C740" s="4" t="s">
        <v>923</v>
      </c>
      <c r="D740" s="4" t="s">
        <v>46</v>
      </c>
      <c r="E740" s="4" t="s">
        <v>17</v>
      </c>
      <c r="F740" s="4">
        <v>4</v>
      </c>
      <c r="G740" s="7">
        <v>42348</v>
      </c>
      <c r="H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>
        <v>24001</v>
      </c>
      <c r="B741" s="4" t="s">
        <v>924</v>
      </c>
      <c r="C741" s="4" t="s">
        <v>164</v>
      </c>
      <c r="D741" s="4" t="s">
        <v>23</v>
      </c>
      <c r="E741" s="4" t="s">
        <v>10</v>
      </c>
      <c r="F741" s="4">
        <v>83</v>
      </c>
      <c r="G741" s="7">
        <v>42348</v>
      </c>
      <c r="H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>
        <v>24002</v>
      </c>
      <c r="B742" s="4" t="s">
        <v>925</v>
      </c>
      <c r="C742" s="4" t="s">
        <v>926</v>
      </c>
      <c r="D742" s="4" t="s">
        <v>23</v>
      </c>
      <c r="E742" s="4" t="s">
        <v>10</v>
      </c>
      <c r="F742" s="4">
        <v>22</v>
      </c>
      <c r="G742" s="7">
        <v>42260</v>
      </c>
      <c r="H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>
        <v>24003</v>
      </c>
      <c r="B743" s="4" t="s">
        <v>927</v>
      </c>
      <c r="C743" s="4" t="s">
        <v>267</v>
      </c>
      <c r="D743" s="4" t="s">
        <v>20</v>
      </c>
      <c r="E743" s="4" t="s">
        <v>59</v>
      </c>
      <c r="F743" s="4">
        <v>62</v>
      </c>
      <c r="G743" s="7">
        <v>42269</v>
      </c>
      <c r="H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>
        <v>24004</v>
      </c>
      <c r="B744" s="4" t="s">
        <v>928</v>
      </c>
      <c r="C744" s="4" t="s">
        <v>136</v>
      </c>
      <c r="D744" s="4" t="s">
        <v>16</v>
      </c>
      <c r="E744" s="4" t="s">
        <v>17</v>
      </c>
      <c r="F744" s="4">
        <v>140</v>
      </c>
      <c r="G744" s="7">
        <v>42336</v>
      </c>
      <c r="H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>
        <v>24005</v>
      </c>
      <c r="B745" s="4" t="s">
        <v>929</v>
      </c>
      <c r="C745" s="4" t="s">
        <v>408</v>
      </c>
      <c r="D745" s="4" t="s">
        <v>13</v>
      </c>
      <c r="E745" s="4" t="s">
        <v>10</v>
      </c>
      <c r="F745" s="4">
        <v>203</v>
      </c>
      <c r="G745" s="7">
        <v>42347</v>
      </c>
      <c r="H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>
        <v>24006</v>
      </c>
      <c r="B746" s="4" t="s">
        <v>930</v>
      </c>
      <c r="C746" s="4" t="s">
        <v>127</v>
      </c>
      <c r="D746" s="4" t="s">
        <v>16</v>
      </c>
      <c r="E746" s="4" t="s">
        <v>17</v>
      </c>
      <c r="F746" s="4">
        <v>94</v>
      </c>
      <c r="G746" s="7">
        <v>42294</v>
      </c>
      <c r="H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>
        <v>24007</v>
      </c>
      <c r="B747" s="4" t="s">
        <v>931</v>
      </c>
      <c r="C747" s="4" t="s">
        <v>97</v>
      </c>
      <c r="D747" s="4" t="s">
        <v>16</v>
      </c>
      <c r="E747" s="4" t="s">
        <v>10</v>
      </c>
      <c r="F747" s="4">
        <v>57</v>
      </c>
      <c r="G747" s="7">
        <v>42282</v>
      </c>
      <c r="H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>
        <v>24008</v>
      </c>
      <c r="B748" s="4" t="s">
        <v>932</v>
      </c>
      <c r="C748" s="4" t="s">
        <v>174</v>
      </c>
      <c r="D748" s="4" t="s">
        <v>23</v>
      </c>
      <c r="E748" s="4" t="s">
        <v>59</v>
      </c>
      <c r="F748" s="4">
        <v>139</v>
      </c>
      <c r="G748" s="7">
        <v>42261</v>
      </c>
      <c r="H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>
        <v>24009</v>
      </c>
      <c r="B749" s="4" t="s">
        <v>933</v>
      </c>
      <c r="C749" s="4" t="s">
        <v>172</v>
      </c>
      <c r="D749" s="4" t="s">
        <v>58</v>
      </c>
      <c r="E749" s="4" t="s">
        <v>10</v>
      </c>
      <c r="F749" s="4">
        <v>92</v>
      </c>
      <c r="G749" s="7">
        <v>42317</v>
      </c>
      <c r="H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>
        <v>24010</v>
      </c>
      <c r="B750" s="4" t="s">
        <v>934</v>
      </c>
      <c r="C750" s="4" t="s">
        <v>515</v>
      </c>
      <c r="D750" s="4" t="s">
        <v>58</v>
      </c>
      <c r="E750" s="4" t="s">
        <v>17</v>
      </c>
      <c r="F750" s="4">
        <v>23</v>
      </c>
      <c r="G750" s="7">
        <v>42289</v>
      </c>
      <c r="H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>
        <v>24011</v>
      </c>
      <c r="B751" s="4" t="s">
        <v>935</v>
      </c>
      <c r="C751" s="4" t="s">
        <v>146</v>
      </c>
      <c r="D751" s="4" t="s">
        <v>26</v>
      </c>
      <c r="E751" s="4" t="s">
        <v>17</v>
      </c>
      <c r="F751" s="4">
        <v>60</v>
      </c>
      <c r="G751" s="7">
        <v>42288</v>
      </c>
      <c r="H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>
        <v>24012</v>
      </c>
      <c r="B752" s="4" t="s">
        <v>936</v>
      </c>
      <c r="C752" s="4" t="s">
        <v>295</v>
      </c>
      <c r="D752" s="4" t="s">
        <v>9</v>
      </c>
      <c r="E752" s="4" t="s">
        <v>17</v>
      </c>
      <c r="F752" s="4">
        <v>133</v>
      </c>
      <c r="G752" s="7">
        <v>42297</v>
      </c>
      <c r="H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>
        <v>24013</v>
      </c>
      <c r="B753" s="4" t="s">
        <v>937</v>
      </c>
      <c r="C753" s="4" t="s">
        <v>938</v>
      </c>
      <c r="D753" s="4" t="s">
        <v>20</v>
      </c>
      <c r="E753" s="4" t="s">
        <v>17</v>
      </c>
      <c r="F753" s="4">
        <v>68</v>
      </c>
      <c r="G753" s="7">
        <v>42338</v>
      </c>
      <c r="H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>
        <v>24014</v>
      </c>
      <c r="B754" s="4" t="s">
        <v>939</v>
      </c>
      <c r="C754" s="4" t="s">
        <v>140</v>
      </c>
      <c r="D754" s="4" t="s">
        <v>58</v>
      </c>
      <c r="E754" s="4" t="s">
        <v>17</v>
      </c>
      <c r="F754" s="4">
        <v>38</v>
      </c>
      <c r="G754" s="7">
        <v>42259</v>
      </c>
      <c r="H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>
        <v>24015</v>
      </c>
      <c r="B755" s="4" t="s">
        <v>940</v>
      </c>
      <c r="C755" s="4" t="s">
        <v>164</v>
      </c>
      <c r="D755" s="4" t="s">
        <v>16</v>
      </c>
      <c r="E755" s="4" t="s">
        <v>17</v>
      </c>
      <c r="F755" s="4">
        <v>70</v>
      </c>
      <c r="G755" s="7">
        <v>42358</v>
      </c>
      <c r="H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>
        <v>24016</v>
      </c>
      <c r="B756" s="4" t="s">
        <v>941</v>
      </c>
      <c r="C756" s="4" t="s">
        <v>127</v>
      </c>
      <c r="D756" s="4" t="s">
        <v>9</v>
      </c>
      <c r="E756" s="4" t="s">
        <v>17</v>
      </c>
      <c r="F756" s="4">
        <v>63</v>
      </c>
      <c r="G756" s="7">
        <v>42353</v>
      </c>
      <c r="H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>
        <v>24017</v>
      </c>
      <c r="B757" s="4" t="s">
        <v>942</v>
      </c>
      <c r="C757" s="4" t="s">
        <v>88</v>
      </c>
      <c r="D757" s="4" t="s">
        <v>23</v>
      </c>
      <c r="E757" s="4" t="s">
        <v>59</v>
      </c>
      <c r="F757" s="4">
        <v>208</v>
      </c>
      <c r="G757" s="7">
        <v>42320</v>
      </c>
      <c r="H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>
        <v>24018</v>
      </c>
      <c r="B758" s="4" t="s">
        <v>943</v>
      </c>
      <c r="C758" s="4" t="s">
        <v>112</v>
      </c>
      <c r="D758" s="4" t="s">
        <v>34</v>
      </c>
      <c r="E758" s="4" t="s">
        <v>10</v>
      </c>
      <c r="F758" s="4">
        <v>37</v>
      </c>
      <c r="G758" s="7">
        <v>42291</v>
      </c>
      <c r="H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>
        <v>24019</v>
      </c>
      <c r="B759" s="4" t="s">
        <v>944</v>
      </c>
      <c r="C759" s="4" t="s">
        <v>157</v>
      </c>
      <c r="D759" s="4" t="s">
        <v>51</v>
      </c>
      <c r="E759" s="4" t="s">
        <v>17</v>
      </c>
      <c r="F759" s="4">
        <v>52</v>
      </c>
      <c r="G759" s="7">
        <v>42275</v>
      </c>
      <c r="H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>
        <v>24020</v>
      </c>
      <c r="B760" s="4" t="s">
        <v>945</v>
      </c>
      <c r="C760" s="4" t="s">
        <v>57</v>
      </c>
      <c r="D760" s="4" t="s">
        <v>46</v>
      </c>
      <c r="E760" s="4" t="s">
        <v>17</v>
      </c>
      <c r="F760" s="4">
        <v>138</v>
      </c>
      <c r="G760" s="7">
        <v>42367</v>
      </c>
      <c r="H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>
        <v>24021</v>
      </c>
      <c r="B761" s="4" t="s">
        <v>946</v>
      </c>
      <c r="C761" s="4" t="s">
        <v>547</v>
      </c>
      <c r="D761" s="4" t="s">
        <v>51</v>
      </c>
      <c r="E761" s="4" t="s">
        <v>17</v>
      </c>
      <c r="F761" s="4">
        <v>182</v>
      </c>
      <c r="G761" s="7">
        <v>42275</v>
      </c>
      <c r="H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>
        <v>24022</v>
      </c>
      <c r="B762" s="4" t="s">
        <v>947</v>
      </c>
      <c r="C762" s="4" t="s">
        <v>257</v>
      </c>
      <c r="D762" s="4" t="s">
        <v>26</v>
      </c>
      <c r="E762" s="4" t="s">
        <v>10</v>
      </c>
      <c r="F762" s="4">
        <v>84</v>
      </c>
      <c r="G762" s="7">
        <v>42271</v>
      </c>
      <c r="H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>
        <v>24023</v>
      </c>
      <c r="B763" s="4" t="s">
        <v>948</v>
      </c>
      <c r="C763" s="4" t="s">
        <v>926</v>
      </c>
      <c r="D763" s="4" t="s">
        <v>29</v>
      </c>
      <c r="E763" s="4" t="s">
        <v>17</v>
      </c>
      <c r="F763" s="4">
        <v>172</v>
      </c>
      <c r="G763" s="7">
        <v>42359</v>
      </c>
      <c r="H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>
        <v>24024</v>
      </c>
      <c r="B764" s="4" t="s">
        <v>949</v>
      </c>
      <c r="C764" s="4" t="s">
        <v>75</v>
      </c>
      <c r="D764" s="4" t="s">
        <v>23</v>
      </c>
      <c r="E764" s="4" t="s">
        <v>10</v>
      </c>
      <c r="F764" s="4">
        <v>208</v>
      </c>
      <c r="G764" s="7">
        <v>42250</v>
      </c>
      <c r="H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>
        <v>24025</v>
      </c>
      <c r="B765" s="4" t="s">
        <v>942</v>
      </c>
      <c r="C765" s="4" t="s">
        <v>244</v>
      </c>
      <c r="D765" s="4" t="s">
        <v>16</v>
      </c>
      <c r="E765" s="4" t="s">
        <v>10</v>
      </c>
      <c r="F765" s="4">
        <v>44</v>
      </c>
      <c r="G765" s="7">
        <v>42290</v>
      </c>
      <c r="H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>
        <v>24026</v>
      </c>
      <c r="B766" s="4" t="s">
        <v>950</v>
      </c>
      <c r="C766" s="4" t="s">
        <v>8</v>
      </c>
      <c r="D766" s="4" t="s">
        <v>26</v>
      </c>
      <c r="E766" s="4" t="s">
        <v>17</v>
      </c>
      <c r="F766" s="4">
        <v>210</v>
      </c>
      <c r="G766" s="7">
        <v>42268</v>
      </c>
      <c r="H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>
        <v>24027</v>
      </c>
      <c r="B767" s="4" t="s">
        <v>951</v>
      </c>
      <c r="C767" s="4" t="s">
        <v>19</v>
      </c>
      <c r="D767" s="4" t="s">
        <v>34</v>
      </c>
      <c r="E767" s="4" t="s">
        <v>17</v>
      </c>
      <c r="F767" s="4">
        <v>156</v>
      </c>
      <c r="G767" s="7">
        <v>42304</v>
      </c>
      <c r="H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>
        <v>24028</v>
      </c>
      <c r="B768" s="4" t="s">
        <v>952</v>
      </c>
      <c r="C768" s="4" t="s">
        <v>938</v>
      </c>
      <c r="D768" s="4" t="s">
        <v>58</v>
      </c>
      <c r="E768" s="4" t="s">
        <v>17</v>
      </c>
      <c r="F768" s="4">
        <v>181</v>
      </c>
      <c r="G768" s="7">
        <v>42310</v>
      </c>
      <c r="H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>
        <v>24029</v>
      </c>
      <c r="B769" s="4" t="s">
        <v>953</v>
      </c>
      <c r="C769" s="4" t="s">
        <v>352</v>
      </c>
      <c r="D769" s="4" t="s">
        <v>26</v>
      </c>
      <c r="E769" s="4" t="s">
        <v>10</v>
      </c>
      <c r="F769" s="4">
        <v>98</v>
      </c>
      <c r="G769" s="7">
        <v>42314</v>
      </c>
      <c r="H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>
        <v>24030</v>
      </c>
      <c r="B770" s="4" t="s">
        <v>954</v>
      </c>
      <c r="C770" s="4" t="s">
        <v>456</v>
      </c>
      <c r="D770" s="4" t="s">
        <v>13</v>
      </c>
      <c r="E770" s="4" t="s">
        <v>17</v>
      </c>
      <c r="F770" s="4">
        <v>118</v>
      </c>
      <c r="G770" s="7">
        <v>42309</v>
      </c>
      <c r="H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>
        <v>24031</v>
      </c>
      <c r="B771" s="4" t="s">
        <v>955</v>
      </c>
      <c r="C771" s="4" t="s">
        <v>228</v>
      </c>
      <c r="D771" s="4" t="s">
        <v>29</v>
      </c>
      <c r="E771" s="4" t="s">
        <v>59</v>
      </c>
      <c r="F771" s="4">
        <v>161</v>
      </c>
      <c r="G771" s="7">
        <v>42307</v>
      </c>
      <c r="H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>
        <v>24032</v>
      </c>
      <c r="B772" s="4" t="s">
        <v>956</v>
      </c>
      <c r="C772" s="4" t="s">
        <v>92</v>
      </c>
      <c r="D772" s="4" t="s">
        <v>29</v>
      </c>
      <c r="E772" s="4" t="s">
        <v>17</v>
      </c>
      <c r="F772" s="4">
        <v>196</v>
      </c>
      <c r="G772" s="7">
        <v>42272</v>
      </c>
      <c r="H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>
        <v>24033</v>
      </c>
      <c r="B773" s="4" t="s">
        <v>957</v>
      </c>
      <c r="C773" s="4" t="s">
        <v>515</v>
      </c>
      <c r="D773" s="4" t="s">
        <v>34</v>
      </c>
      <c r="E773" s="4" t="s">
        <v>10</v>
      </c>
      <c r="F773" s="4">
        <v>35</v>
      </c>
      <c r="G773" s="7">
        <v>42360</v>
      </c>
      <c r="H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>
        <v>24034</v>
      </c>
      <c r="B774" s="4" t="s">
        <v>958</v>
      </c>
      <c r="C774" s="4" t="s">
        <v>297</v>
      </c>
      <c r="D774" s="4" t="s">
        <v>29</v>
      </c>
      <c r="E774" s="4" t="s">
        <v>17</v>
      </c>
      <c r="F774" s="4">
        <v>47</v>
      </c>
      <c r="G774" s="7">
        <v>42339</v>
      </c>
      <c r="H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>
        <v>24035</v>
      </c>
      <c r="B775" s="4" t="s">
        <v>506</v>
      </c>
      <c r="C775" s="4" t="s">
        <v>22</v>
      </c>
      <c r="D775" s="4" t="s">
        <v>20</v>
      </c>
      <c r="E775" s="4" t="s">
        <v>10</v>
      </c>
      <c r="F775" s="4">
        <v>91</v>
      </c>
      <c r="G775" s="7">
        <v>42363</v>
      </c>
      <c r="H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>
        <v>24036</v>
      </c>
      <c r="B776" s="4" t="s">
        <v>959</v>
      </c>
      <c r="C776" s="4" t="s">
        <v>40</v>
      </c>
      <c r="D776" s="4" t="s">
        <v>23</v>
      </c>
      <c r="E776" s="4" t="s">
        <v>17</v>
      </c>
      <c r="F776" s="4">
        <v>173</v>
      </c>
      <c r="G776" s="7">
        <v>42324</v>
      </c>
      <c r="H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>
        <v>24037</v>
      </c>
      <c r="B777" s="4" t="s">
        <v>960</v>
      </c>
      <c r="C777" s="4" t="s">
        <v>244</v>
      </c>
      <c r="D777" s="4" t="s">
        <v>13</v>
      </c>
      <c r="E777" s="4" t="s">
        <v>10</v>
      </c>
      <c r="F777" s="4">
        <v>43</v>
      </c>
      <c r="G777" s="7">
        <v>42288</v>
      </c>
      <c r="H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>
        <v>24038</v>
      </c>
      <c r="B778" s="4" t="s">
        <v>961</v>
      </c>
      <c r="C778" s="4" t="s">
        <v>333</v>
      </c>
      <c r="D778" s="4" t="s">
        <v>26</v>
      </c>
      <c r="E778" s="4" t="s">
        <v>17</v>
      </c>
      <c r="F778" s="4">
        <v>115</v>
      </c>
      <c r="G778" s="7">
        <v>42329</v>
      </c>
      <c r="H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>
        <v>24039</v>
      </c>
      <c r="B779" s="4" t="s">
        <v>962</v>
      </c>
      <c r="C779" s="4" t="s">
        <v>40</v>
      </c>
      <c r="D779" s="4" t="s">
        <v>16</v>
      </c>
      <c r="E779" s="4" t="s">
        <v>10</v>
      </c>
      <c r="F779" s="4">
        <v>102</v>
      </c>
      <c r="G779" s="7">
        <v>42263</v>
      </c>
      <c r="H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>
        <v>24040</v>
      </c>
      <c r="B780" s="4" t="s">
        <v>963</v>
      </c>
      <c r="C780" s="4" t="s">
        <v>196</v>
      </c>
      <c r="D780" s="4" t="s">
        <v>34</v>
      </c>
      <c r="E780" s="4" t="s">
        <v>10</v>
      </c>
      <c r="F780" s="4">
        <v>155</v>
      </c>
      <c r="G780" s="7">
        <v>42318</v>
      </c>
      <c r="H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>
        <v>24041</v>
      </c>
      <c r="B781" s="4" t="s">
        <v>964</v>
      </c>
      <c r="C781" s="4" t="s">
        <v>329</v>
      </c>
      <c r="D781" s="4" t="s">
        <v>46</v>
      </c>
      <c r="E781" s="4" t="s">
        <v>17</v>
      </c>
      <c r="F781" s="4">
        <v>35</v>
      </c>
      <c r="G781" s="7">
        <v>42365</v>
      </c>
      <c r="H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>
        <v>24042</v>
      </c>
      <c r="B782" s="4" t="s">
        <v>965</v>
      </c>
      <c r="C782" s="4" t="s">
        <v>390</v>
      </c>
      <c r="D782" s="4" t="s">
        <v>23</v>
      </c>
      <c r="E782" s="4" t="s">
        <v>10</v>
      </c>
      <c r="F782" s="4">
        <v>170</v>
      </c>
      <c r="G782" s="7">
        <v>42318</v>
      </c>
      <c r="H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>
        <v>24043</v>
      </c>
      <c r="B783" s="4" t="s">
        <v>966</v>
      </c>
      <c r="C783" s="4" t="s">
        <v>129</v>
      </c>
      <c r="D783" s="4" t="s">
        <v>9</v>
      </c>
      <c r="E783" s="4" t="s">
        <v>17</v>
      </c>
      <c r="F783" s="4">
        <v>42</v>
      </c>
      <c r="G783" s="7">
        <v>42346</v>
      </c>
      <c r="H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>
        <v>24044</v>
      </c>
      <c r="B784" s="4" t="s">
        <v>967</v>
      </c>
      <c r="C784" s="4" t="s">
        <v>83</v>
      </c>
      <c r="D784" s="4" t="s">
        <v>23</v>
      </c>
      <c r="E784" s="4" t="s">
        <v>10</v>
      </c>
      <c r="F784" s="4">
        <v>82</v>
      </c>
      <c r="G784" s="7">
        <v>42278</v>
      </c>
      <c r="H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>
        <v>24045</v>
      </c>
      <c r="B785" s="4" t="s">
        <v>968</v>
      </c>
      <c r="C785" s="4" t="s">
        <v>40</v>
      </c>
      <c r="D785" s="4" t="s">
        <v>16</v>
      </c>
      <c r="E785" s="4" t="s">
        <v>10</v>
      </c>
      <c r="F785" s="4">
        <v>3</v>
      </c>
      <c r="G785" s="7">
        <v>42321</v>
      </c>
      <c r="H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>
        <v>24046</v>
      </c>
      <c r="B786" s="4" t="s">
        <v>660</v>
      </c>
      <c r="C786" s="4" t="s">
        <v>28</v>
      </c>
      <c r="D786" s="4" t="s">
        <v>46</v>
      </c>
      <c r="E786" s="4" t="s">
        <v>17</v>
      </c>
      <c r="F786" s="4">
        <v>68</v>
      </c>
      <c r="G786" s="7">
        <v>42315</v>
      </c>
      <c r="H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>
        <v>24047</v>
      </c>
      <c r="B787" s="4" t="s">
        <v>969</v>
      </c>
      <c r="C787" s="4" t="s">
        <v>65</v>
      </c>
      <c r="D787" s="4" t="s">
        <v>20</v>
      </c>
      <c r="E787" s="4" t="s">
        <v>10</v>
      </c>
      <c r="F787" s="4">
        <v>58</v>
      </c>
      <c r="G787" s="7">
        <v>42299</v>
      </c>
      <c r="H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>
        <v>24048</v>
      </c>
      <c r="B788" s="4" t="s">
        <v>955</v>
      </c>
      <c r="C788" s="4" t="s">
        <v>25</v>
      </c>
      <c r="D788" s="4" t="s">
        <v>13</v>
      </c>
      <c r="E788" s="4" t="s">
        <v>10</v>
      </c>
      <c r="F788" s="4">
        <v>178</v>
      </c>
      <c r="G788" s="7">
        <v>42268</v>
      </c>
      <c r="H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>
        <v>24049</v>
      </c>
      <c r="B789" s="4" t="s">
        <v>970</v>
      </c>
      <c r="C789" s="4" t="s">
        <v>196</v>
      </c>
      <c r="D789" s="4" t="s">
        <v>29</v>
      </c>
      <c r="E789" s="4" t="s">
        <v>10</v>
      </c>
      <c r="F789" s="4">
        <v>156</v>
      </c>
      <c r="G789" s="7">
        <v>42345</v>
      </c>
      <c r="H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>
        <v>24050</v>
      </c>
      <c r="B790" s="4" t="s">
        <v>971</v>
      </c>
      <c r="C790" s="4" t="s">
        <v>606</v>
      </c>
      <c r="D790" s="4" t="s">
        <v>58</v>
      </c>
      <c r="E790" s="4" t="s">
        <v>17</v>
      </c>
      <c r="F790" s="4">
        <v>147</v>
      </c>
      <c r="G790" s="7">
        <v>42355</v>
      </c>
      <c r="H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>
        <v>24051</v>
      </c>
      <c r="B791" s="4" t="s">
        <v>972</v>
      </c>
      <c r="C791" s="4" t="s">
        <v>228</v>
      </c>
      <c r="D791" s="4" t="s">
        <v>9</v>
      </c>
      <c r="E791" s="4" t="s">
        <v>17</v>
      </c>
      <c r="F791" s="4">
        <v>74</v>
      </c>
      <c r="G791" s="7">
        <v>42315</v>
      </c>
      <c r="H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>
        <v>24052</v>
      </c>
      <c r="B792" s="4" t="s">
        <v>973</v>
      </c>
      <c r="C792" s="4" t="s">
        <v>401</v>
      </c>
      <c r="D792" s="4" t="s">
        <v>9</v>
      </c>
      <c r="E792" s="4" t="s">
        <v>59</v>
      </c>
      <c r="F792" s="4">
        <v>189</v>
      </c>
      <c r="G792" s="7">
        <v>42318</v>
      </c>
      <c r="H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>
        <v>24053</v>
      </c>
      <c r="B793" s="4" t="s">
        <v>974</v>
      </c>
      <c r="C793" s="4" t="s">
        <v>384</v>
      </c>
      <c r="D793" s="4" t="s">
        <v>23</v>
      </c>
      <c r="E793" s="4" t="s">
        <v>17</v>
      </c>
      <c r="F793" s="4">
        <v>104</v>
      </c>
      <c r="G793" s="7">
        <v>42340</v>
      </c>
      <c r="H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>
        <v>24054</v>
      </c>
      <c r="B794" s="4" t="s">
        <v>975</v>
      </c>
      <c r="C794" s="4" t="s">
        <v>119</v>
      </c>
      <c r="D794" s="4" t="s">
        <v>20</v>
      </c>
      <c r="E794" s="4" t="s">
        <v>10</v>
      </c>
      <c r="F794" s="4">
        <v>56</v>
      </c>
      <c r="G794" s="7">
        <v>42344</v>
      </c>
      <c r="H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>
        <v>24055</v>
      </c>
      <c r="B795" s="4" t="s">
        <v>976</v>
      </c>
      <c r="C795" s="4" t="s">
        <v>114</v>
      </c>
      <c r="D795" s="4" t="s">
        <v>13</v>
      </c>
      <c r="E795" s="4" t="s">
        <v>59</v>
      </c>
      <c r="F795" s="4">
        <v>33</v>
      </c>
      <c r="G795" s="7">
        <v>42282</v>
      </c>
      <c r="H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>
        <v>24056</v>
      </c>
      <c r="B796" s="4" t="s">
        <v>977</v>
      </c>
      <c r="C796" s="4" t="s">
        <v>442</v>
      </c>
      <c r="D796" s="4" t="s">
        <v>34</v>
      </c>
      <c r="E796" s="4" t="s">
        <v>17</v>
      </c>
      <c r="F796" s="4">
        <v>204</v>
      </c>
      <c r="G796" s="7">
        <v>42307</v>
      </c>
      <c r="H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>
        <v>24057</v>
      </c>
      <c r="B797" s="4" t="s">
        <v>978</v>
      </c>
      <c r="C797" s="4" t="s">
        <v>217</v>
      </c>
      <c r="D797" s="4" t="s">
        <v>9</v>
      </c>
      <c r="E797" s="4" t="s">
        <v>17</v>
      </c>
      <c r="F797" s="4">
        <v>5</v>
      </c>
      <c r="G797" s="7">
        <v>42359</v>
      </c>
      <c r="H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>
        <v>24058</v>
      </c>
      <c r="B798" s="4" t="s">
        <v>979</v>
      </c>
      <c r="C798" s="4" t="s">
        <v>48</v>
      </c>
      <c r="D798" s="4" t="s">
        <v>23</v>
      </c>
      <c r="E798" s="4" t="s">
        <v>59</v>
      </c>
      <c r="F798" s="4">
        <v>199</v>
      </c>
      <c r="G798" s="7">
        <v>42349</v>
      </c>
      <c r="H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>
        <v>24059</v>
      </c>
      <c r="B799" s="4" t="s">
        <v>980</v>
      </c>
      <c r="C799" s="4" t="s">
        <v>412</v>
      </c>
      <c r="D799" s="4" t="s">
        <v>9</v>
      </c>
      <c r="E799" s="4" t="s">
        <v>10</v>
      </c>
      <c r="F799" s="4">
        <v>129</v>
      </c>
      <c r="G799" s="7">
        <v>42346</v>
      </c>
      <c r="H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>
        <v>24060</v>
      </c>
      <c r="B800" s="4" t="s">
        <v>981</v>
      </c>
      <c r="C800" s="4" t="s">
        <v>178</v>
      </c>
      <c r="D800" s="4" t="s">
        <v>26</v>
      </c>
      <c r="E800" s="4" t="s">
        <v>10</v>
      </c>
      <c r="F800" s="4">
        <v>14</v>
      </c>
      <c r="G800" s="7">
        <v>42239</v>
      </c>
      <c r="H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>
        <v>24061</v>
      </c>
      <c r="B801" s="4" t="s">
        <v>982</v>
      </c>
      <c r="C801" s="4" t="s">
        <v>136</v>
      </c>
      <c r="D801" s="4" t="s">
        <v>13</v>
      </c>
      <c r="E801" s="4" t="s">
        <v>10</v>
      </c>
      <c r="F801" s="4">
        <v>91</v>
      </c>
      <c r="G801" s="7">
        <v>42216</v>
      </c>
      <c r="H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>
        <v>24062</v>
      </c>
      <c r="B802" s="4" t="s">
        <v>983</v>
      </c>
      <c r="C802" s="4" t="s">
        <v>316</v>
      </c>
      <c r="D802" s="4" t="s">
        <v>51</v>
      </c>
      <c r="E802" s="4" t="s">
        <v>10</v>
      </c>
      <c r="F802" s="4">
        <v>43</v>
      </c>
      <c r="G802" s="7">
        <v>42054</v>
      </c>
      <c r="H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>
        <v>24063</v>
      </c>
      <c r="B803" s="4" t="s">
        <v>984</v>
      </c>
      <c r="C803" s="4" t="s">
        <v>121</v>
      </c>
      <c r="D803" s="4" t="s">
        <v>16</v>
      </c>
      <c r="E803" s="4" t="s">
        <v>17</v>
      </c>
      <c r="F803" s="4">
        <v>140</v>
      </c>
      <c r="G803" s="7">
        <v>42122</v>
      </c>
      <c r="H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>
        <v>24064</v>
      </c>
      <c r="B804" s="4" t="s">
        <v>985</v>
      </c>
      <c r="C804" s="4" t="s">
        <v>246</v>
      </c>
      <c r="D804" s="4" t="s">
        <v>9</v>
      </c>
      <c r="E804" s="4" t="s">
        <v>10</v>
      </c>
      <c r="F804" s="4">
        <v>38</v>
      </c>
      <c r="G804" s="7">
        <v>42102</v>
      </c>
      <c r="H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>
        <v>24065</v>
      </c>
      <c r="B805" s="4" t="s">
        <v>986</v>
      </c>
      <c r="C805" s="4" t="s">
        <v>244</v>
      </c>
      <c r="D805" s="4" t="s">
        <v>23</v>
      </c>
      <c r="E805" s="4" t="s">
        <v>17</v>
      </c>
      <c r="F805" s="4">
        <v>57</v>
      </c>
      <c r="G805" s="7">
        <v>42045</v>
      </c>
      <c r="H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>
        <v>24066</v>
      </c>
      <c r="B806" s="4" t="s">
        <v>987</v>
      </c>
      <c r="C806" s="4" t="s">
        <v>842</v>
      </c>
      <c r="D806" s="4" t="s">
        <v>34</v>
      </c>
      <c r="E806" s="4" t="s">
        <v>10</v>
      </c>
      <c r="F806" s="4">
        <v>34</v>
      </c>
      <c r="G806" s="7">
        <v>42155</v>
      </c>
      <c r="H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>
        <v>24067</v>
      </c>
      <c r="B807" s="4" t="s">
        <v>988</v>
      </c>
      <c r="C807" s="4" t="s">
        <v>57</v>
      </c>
      <c r="D807" s="4" t="s">
        <v>23</v>
      </c>
      <c r="E807" s="4" t="s">
        <v>10</v>
      </c>
      <c r="F807" s="4">
        <v>4</v>
      </c>
      <c r="G807" s="7">
        <v>42015</v>
      </c>
      <c r="H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>
        <v>24068</v>
      </c>
      <c r="B808" s="4" t="s">
        <v>989</v>
      </c>
      <c r="C808" s="4" t="s">
        <v>990</v>
      </c>
      <c r="D808" s="4" t="s">
        <v>13</v>
      </c>
      <c r="E808" s="4" t="s">
        <v>17</v>
      </c>
      <c r="F808" s="4">
        <v>208</v>
      </c>
      <c r="G808" s="7">
        <v>42165</v>
      </c>
      <c r="H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>
        <v>24069</v>
      </c>
      <c r="B809" s="4" t="s">
        <v>991</v>
      </c>
      <c r="C809" s="4" t="s">
        <v>69</v>
      </c>
      <c r="D809" s="4" t="s">
        <v>26</v>
      </c>
      <c r="E809" s="4" t="s">
        <v>17</v>
      </c>
      <c r="F809" s="4">
        <v>132</v>
      </c>
      <c r="G809" s="7">
        <v>42152</v>
      </c>
      <c r="H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>
        <v>24070</v>
      </c>
      <c r="B810" s="4" t="s">
        <v>992</v>
      </c>
      <c r="C810" s="4" t="s">
        <v>133</v>
      </c>
      <c r="D810" s="4" t="s">
        <v>29</v>
      </c>
      <c r="E810" s="4" t="s">
        <v>17</v>
      </c>
      <c r="F810" s="4">
        <v>94</v>
      </c>
      <c r="G810" s="7">
        <v>42049</v>
      </c>
      <c r="H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>
        <v>24071</v>
      </c>
      <c r="B811" s="4" t="s">
        <v>993</v>
      </c>
      <c r="C811" s="4" t="s">
        <v>270</v>
      </c>
      <c r="D811" s="4" t="s">
        <v>51</v>
      </c>
      <c r="E811" s="4" t="s">
        <v>10</v>
      </c>
      <c r="F811" s="4">
        <v>38</v>
      </c>
      <c r="G811" s="7">
        <v>42087</v>
      </c>
      <c r="H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>
        <v>24072</v>
      </c>
      <c r="B812" s="4" t="s">
        <v>994</v>
      </c>
      <c r="C812" s="4" t="s">
        <v>357</v>
      </c>
      <c r="D812" s="4" t="s">
        <v>20</v>
      </c>
      <c r="E812" s="4" t="s">
        <v>10</v>
      </c>
      <c r="F812" s="4">
        <v>159</v>
      </c>
      <c r="G812" s="7">
        <v>42089</v>
      </c>
      <c r="H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>
        <v>24073</v>
      </c>
      <c r="B813" s="4" t="s">
        <v>995</v>
      </c>
      <c r="C813" s="4" t="s">
        <v>278</v>
      </c>
      <c r="D813" s="4" t="s">
        <v>9</v>
      </c>
      <c r="E813" s="4" t="s">
        <v>10</v>
      </c>
      <c r="F813" s="4">
        <v>15</v>
      </c>
      <c r="G813" s="7">
        <v>42009</v>
      </c>
      <c r="H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>
        <v>24074</v>
      </c>
      <c r="B814" s="4" t="s">
        <v>996</v>
      </c>
      <c r="C814" s="4" t="s">
        <v>198</v>
      </c>
      <c r="D814" s="4" t="s">
        <v>34</v>
      </c>
      <c r="E814" s="4" t="s">
        <v>10</v>
      </c>
      <c r="F814" s="4">
        <v>147</v>
      </c>
      <c r="G814" s="7">
        <v>42211</v>
      </c>
      <c r="H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>
        <v>24075</v>
      </c>
      <c r="B815" s="4" t="s">
        <v>997</v>
      </c>
      <c r="C815" s="4" t="s">
        <v>384</v>
      </c>
      <c r="D815" s="4" t="s">
        <v>23</v>
      </c>
      <c r="E815" s="4" t="s">
        <v>10</v>
      </c>
      <c r="F815" s="4">
        <v>4</v>
      </c>
      <c r="G815" s="7">
        <v>42017</v>
      </c>
      <c r="H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>
        <v>24076</v>
      </c>
      <c r="B816" s="4" t="s">
        <v>998</v>
      </c>
      <c r="C816" s="4" t="s">
        <v>781</v>
      </c>
      <c r="D816" s="4" t="s">
        <v>13</v>
      </c>
      <c r="E816" s="4" t="s">
        <v>59</v>
      </c>
      <c r="F816" s="4">
        <v>200</v>
      </c>
      <c r="G816" s="7">
        <v>42091</v>
      </c>
      <c r="H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>
        <v>24077</v>
      </c>
      <c r="B817" s="4" t="s">
        <v>999</v>
      </c>
      <c r="C817" s="4" t="s">
        <v>252</v>
      </c>
      <c r="D817" s="4" t="s">
        <v>20</v>
      </c>
      <c r="E817" s="4" t="s">
        <v>17</v>
      </c>
      <c r="F817" s="4">
        <v>61</v>
      </c>
      <c r="G817" s="7">
        <v>42207</v>
      </c>
      <c r="H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>
        <v>24078</v>
      </c>
      <c r="B818" s="4" t="s">
        <v>1000</v>
      </c>
      <c r="C818" s="4" t="s">
        <v>557</v>
      </c>
      <c r="D818" s="4" t="s">
        <v>16</v>
      </c>
      <c r="E818" s="4" t="s">
        <v>10</v>
      </c>
      <c r="F818" s="4">
        <v>63</v>
      </c>
      <c r="G818" s="7">
        <v>42149</v>
      </c>
      <c r="H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>
        <v>24079</v>
      </c>
      <c r="B819" s="4" t="s">
        <v>1001</v>
      </c>
      <c r="C819" s="4" t="s">
        <v>157</v>
      </c>
      <c r="D819" s="4" t="s">
        <v>46</v>
      </c>
      <c r="E819" s="4" t="s">
        <v>17</v>
      </c>
      <c r="F819" s="4">
        <v>129</v>
      </c>
      <c r="G819" s="7">
        <v>42133</v>
      </c>
      <c r="H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>
        <v>24080</v>
      </c>
      <c r="B820" s="4" t="s">
        <v>1002</v>
      </c>
      <c r="C820" s="4" t="s">
        <v>146</v>
      </c>
      <c r="D820" s="4" t="s">
        <v>23</v>
      </c>
      <c r="E820" s="4" t="s">
        <v>10</v>
      </c>
      <c r="F820" s="4">
        <v>48</v>
      </c>
      <c r="G820" s="7">
        <v>42226</v>
      </c>
      <c r="H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>
        <v>24081</v>
      </c>
      <c r="B821" s="4" t="s">
        <v>1003</v>
      </c>
      <c r="C821" s="4" t="s">
        <v>259</v>
      </c>
      <c r="D821" s="4" t="s">
        <v>26</v>
      </c>
      <c r="E821" s="4" t="s">
        <v>17</v>
      </c>
      <c r="F821" s="4">
        <v>192</v>
      </c>
      <c r="G821" s="7">
        <v>42009</v>
      </c>
      <c r="H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>
        <v>24082</v>
      </c>
      <c r="B822" s="4" t="s">
        <v>1004</v>
      </c>
      <c r="C822" s="4" t="s">
        <v>146</v>
      </c>
      <c r="D822" s="4" t="s">
        <v>26</v>
      </c>
      <c r="E822" s="4" t="s">
        <v>17</v>
      </c>
      <c r="F822" s="4">
        <v>150</v>
      </c>
      <c r="G822" s="7">
        <v>42005</v>
      </c>
      <c r="H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>
        <v>24083</v>
      </c>
      <c r="B823" s="4" t="s">
        <v>1005</v>
      </c>
      <c r="C823" s="4" t="s">
        <v>331</v>
      </c>
      <c r="D823" s="4" t="s">
        <v>34</v>
      </c>
      <c r="E823" s="4" t="s">
        <v>17</v>
      </c>
      <c r="F823" s="4">
        <v>125</v>
      </c>
      <c r="G823" s="7">
        <v>42245</v>
      </c>
      <c r="H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>
        <v>24084</v>
      </c>
      <c r="B824" s="4" t="s">
        <v>1006</v>
      </c>
      <c r="C824" s="4" t="s">
        <v>75</v>
      </c>
      <c r="D824" s="4" t="s">
        <v>34</v>
      </c>
      <c r="E824" s="4" t="s">
        <v>10</v>
      </c>
      <c r="F824" s="4">
        <v>135</v>
      </c>
      <c r="G824" s="7">
        <v>42237</v>
      </c>
      <c r="H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>
        <v>24085</v>
      </c>
      <c r="B825" s="4" t="s">
        <v>1007</v>
      </c>
      <c r="C825" s="4" t="s">
        <v>257</v>
      </c>
      <c r="D825" s="4" t="s">
        <v>23</v>
      </c>
      <c r="E825" s="4" t="s">
        <v>10</v>
      </c>
      <c r="F825" s="4">
        <v>128</v>
      </c>
      <c r="G825" s="7">
        <v>42145</v>
      </c>
      <c r="H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>
        <v>24086</v>
      </c>
      <c r="B826" s="4" t="s">
        <v>1008</v>
      </c>
      <c r="C826" s="4" t="s">
        <v>316</v>
      </c>
      <c r="D826" s="4" t="s">
        <v>29</v>
      </c>
      <c r="E826" s="4" t="s">
        <v>10</v>
      </c>
      <c r="F826" s="4">
        <v>5</v>
      </c>
      <c r="G826" s="7">
        <v>42188</v>
      </c>
      <c r="H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>
        <v>24087</v>
      </c>
      <c r="B827" s="4" t="s">
        <v>1009</v>
      </c>
      <c r="C827" s="4" t="s">
        <v>100</v>
      </c>
      <c r="D827" s="4" t="s">
        <v>23</v>
      </c>
      <c r="E827" s="4" t="s">
        <v>10</v>
      </c>
      <c r="F827" s="4">
        <v>43</v>
      </c>
      <c r="G827" s="7">
        <v>42148</v>
      </c>
      <c r="H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>
        <v>24088</v>
      </c>
      <c r="B828" s="4" t="s">
        <v>1010</v>
      </c>
      <c r="C828" s="4" t="s">
        <v>390</v>
      </c>
      <c r="D828" s="4" t="s">
        <v>29</v>
      </c>
      <c r="E828" s="4" t="s">
        <v>17</v>
      </c>
      <c r="F828" s="4">
        <v>44</v>
      </c>
      <c r="G828" s="7">
        <v>42227</v>
      </c>
      <c r="H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>
        <v>24089</v>
      </c>
      <c r="B829" s="4" t="s">
        <v>1011</v>
      </c>
      <c r="C829" s="4" t="s">
        <v>295</v>
      </c>
      <c r="D829" s="4" t="s">
        <v>23</v>
      </c>
      <c r="E829" s="4" t="s">
        <v>10</v>
      </c>
      <c r="F829" s="4">
        <v>124</v>
      </c>
      <c r="G829" s="7">
        <v>42032</v>
      </c>
      <c r="H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>
        <v>24090</v>
      </c>
      <c r="B830" s="4" t="s">
        <v>1012</v>
      </c>
      <c r="C830" s="4" t="s">
        <v>57</v>
      </c>
      <c r="D830" s="4" t="s">
        <v>23</v>
      </c>
      <c r="E830" s="4" t="s">
        <v>10</v>
      </c>
      <c r="F830" s="4">
        <v>42</v>
      </c>
      <c r="G830" s="7">
        <v>42035</v>
      </c>
      <c r="H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>
        <v>24091</v>
      </c>
      <c r="B831" s="4" t="s">
        <v>1013</v>
      </c>
      <c r="C831" s="4" t="s">
        <v>267</v>
      </c>
      <c r="D831" s="4" t="s">
        <v>46</v>
      </c>
      <c r="E831" s="4" t="s">
        <v>10</v>
      </c>
      <c r="F831" s="4">
        <v>187</v>
      </c>
      <c r="G831" s="7">
        <v>42178</v>
      </c>
      <c r="H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>
        <v>24092</v>
      </c>
      <c r="B832" s="4" t="s">
        <v>1014</v>
      </c>
      <c r="C832" s="4" t="s">
        <v>547</v>
      </c>
      <c r="D832" s="4" t="s">
        <v>20</v>
      </c>
      <c r="E832" s="4" t="s">
        <v>17</v>
      </c>
      <c r="F832" s="4">
        <v>147</v>
      </c>
      <c r="G832" s="7">
        <v>42173</v>
      </c>
      <c r="H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>
        <v>24093</v>
      </c>
      <c r="B833" s="4" t="s">
        <v>1015</v>
      </c>
      <c r="C833" s="4" t="s">
        <v>288</v>
      </c>
      <c r="D833" s="4" t="s">
        <v>58</v>
      </c>
      <c r="E833" s="4" t="s">
        <v>17</v>
      </c>
      <c r="F833" s="4">
        <v>53</v>
      </c>
      <c r="G833" s="7">
        <v>42097</v>
      </c>
      <c r="H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>
        <v>24094</v>
      </c>
      <c r="B834" s="4" t="s">
        <v>1016</v>
      </c>
      <c r="C834" s="4" t="s">
        <v>81</v>
      </c>
      <c r="D834" s="4" t="s">
        <v>9</v>
      </c>
      <c r="E834" s="4" t="s">
        <v>10</v>
      </c>
      <c r="F834" s="4">
        <v>71</v>
      </c>
      <c r="G834" s="7">
        <v>42107</v>
      </c>
      <c r="H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>
        <v>24095</v>
      </c>
      <c r="B835" s="4" t="s">
        <v>1017</v>
      </c>
      <c r="C835" s="4" t="s">
        <v>357</v>
      </c>
      <c r="D835" s="4" t="s">
        <v>13</v>
      </c>
      <c r="E835" s="4" t="s">
        <v>17</v>
      </c>
      <c r="F835" s="4">
        <v>50</v>
      </c>
      <c r="G835" s="7">
        <v>42135</v>
      </c>
      <c r="H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>
        <v>24096</v>
      </c>
      <c r="B836" s="4" t="s">
        <v>1018</v>
      </c>
      <c r="C836" s="4" t="s">
        <v>352</v>
      </c>
      <c r="D836" s="4" t="s">
        <v>34</v>
      </c>
      <c r="E836" s="4" t="s">
        <v>10</v>
      </c>
      <c r="F836" s="4">
        <v>54</v>
      </c>
      <c r="G836" s="7">
        <v>42108</v>
      </c>
      <c r="H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>
        <v>24097</v>
      </c>
      <c r="B837" s="4" t="s">
        <v>1019</v>
      </c>
      <c r="C837" s="4" t="s">
        <v>53</v>
      </c>
      <c r="D837" s="4" t="s">
        <v>29</v>
      </c>
      <c r="E837" s="4" t="s">
        <v>10</v>
      </c>
      <c r="F837" s="4">
        <v>164</v>
      </c>
      <c r="G837" s="7">
        <v>42126</v>
      </c>
      <c r="H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>
        <v>24098</v>
      </c>
      <c r="B838" s="4" t="s">
        <v>1020</v>
      </c>
      <c r="C838" s="4" t="s">
        <v>521</v>
      </c>
      <c r="D838" s="4" t="s">
        <v>20</v>
      </c>
      <c r="E838" s="4" t="s">
        <v>10</v>
      </c>
      <c r="F838" s="4">
        <v>77</v>
      </c>
      <c r="G838" s="7">
        <v>42085</v>
      </c>
      <c r="H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>
        <v>24099</v>
      </c>
      <c r="B839" s="4" t="s">
        <v>1021</v>
      </c>
      <c r="C839" s="4" t="s">
        <v>472</v>
      </c>
      <c r="D839" s="4" t="s">
        <v>16</v>
      </c>
      <c r="E839" s="4" t="s">
        <v>10</v>
      </c>
      <c r="F839" s="4">
        <v>175</v>
      </c>
      <c r="G839" s="7">
        <v>42245</v>
      </c>
      <c r="H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>
        <v>24100</v>
      </c>
      <c r="B840" s="4" t="s">
        <v>1022</v>
      </c>
      <c r="C840" s="4" t="s">
        <v>114</v>
      </c>
      <c r="D840" s="4" t="s">
        <v>58</v>
      </c>
      <c r="E840" s="4" t="s">
        <v>17</v>
      </c>
      <c r="F840" s="4">
        <v>177</v>
      </c>
      <c r="G840" s="7">
        <v>42168</v>
      </c>
      <c r="H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>
        <v>24101</v>
      </c>
      <c r="B841" s="4" t="s">
        <v>1023</v>
      </c>
      <c r="C841" s="4" t="s">
        <v>136</v>
      </c>
      <c r="D841" s="4" t="s">
        <v>20</v>
      </c>
      <c r="E841" s="4" t="s">
        <v>10</v>
      </c>
      <c r="F841" s="4">
        <v>143</v>
      </c>
      <c r="G841" s="7">
        <v>42052</v>
      </c>
      <c r="H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>
        <v>24102</v>
      </c>
      <c r="B842" s="4" t="s">
        <v>1024</v>
      </c>
      <c r="C842" s="4" t="s">
        <v>164</v>
      </c>
      <c r="D842" s="4" t="s">
        <v>58</v>
      </c>
      <c r="E842" s="4" t="s">
        <v>17</v>
      </c>
      <c r="F842" s="4">
        <v>183</v>
      </c>
      <c r="G842" s="7">
        <v>42054</v>
      </c>
      <c r="H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>
        <v>24103</v>
      </c>
      <c r="B843" s="4" t="s">
        <v>1025</v>
      </c>
      <c r="C843" s="4" t="s">
        <v>168</v>
      </c>
      <c r="D843" s="4" t="s">
        <v>46</v>
      </c>
      <c r="E843" s="4" t="s">
        <v>10</v>
      </c>
      <c r="F843" s="4">
        <v>25</v>
      </c>
      <c r="G843" s="7">
        <v>42195</v>
      </c>
      <c r="H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>
        <v>24104</v>
      </c>
      <c r="B844" s="4" t="s">
        <v>1026</v>
      </c>
      <c r="C844" s="4" t="s">
        <v>133</v>
      </c>
      <c r="D844" s="4" t="s">
        <v>34</v>
      </c>
      <c r="E844" s="4" t="s">
        <v>17</v>
      </c>
      <c r="F844" s="4">
        <v>169</v>
      </c>
      <c r="G844" s="7">
        <v>42167</v>
      </c>
      <c r="H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>
        <v>24105</v>
      </c>
      <c r="B845" s="4" t="s">
        <v>1027</v>
      </c>
      <c r="C845" s="4" t="s">
        <v>157</v>
      </c>
      <c r="D845" s="4" t="s">
        <v>29</v>
      </c>
      <c r="E845" s="4" t="s">
        <v>17</v>
      </c>
      <c r="F845" s="4">
        <v>98</v>
      </c>
      <c r="G845" s="7">
        <v>42196</v>
      </c>
      <c r="H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>
        <v>24106</v>
      </c>
      <c r="B846" s="4" t="s">
        <v>1028</v>
      </c>
      <c r="C846" s="4" t="s">
        <v>100</v>
      </c>
      <c r="D846" s="4" t="s">
        <v>16</v>
      </c>
      <c r="E846" s="4" t="s">
        <v>10</v>
      </c>
      <c r="F846" s="4">
        <v>102</v>
      </c>
      <c r="G846" s="7">
        <v>42030</v>
      </c>
      <c r="H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>
        <v>24107</v>
      </c>
      <c r="B847" s="4" t="s">
        <v>1029</v>
      </c>
      <c r="C847" s="4" t="s">
        <v>157</v>
      </c>
      <c r="D847" s="4" t="s">
        <v>9</v>
      </c>
      <c r="E847" s="4" t="s">
        <v>17</v>
      </c>
      <c r="F847" s="4">
        <v>29</v>
      </c>
      <c r="G847" s="7">
        <v>42243</v>
      </c>
      <c r="H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>
        <v>24108</v>
      </c>
      <c r="B848" s="4" t="s">
        <v>1030</v>
      </c>
      <c r="C848" s="4" t="s">
        <v>125</v>
      </c>
      <c r="D848" s="4" t="s">
        <v>34</v>
      </c>
      <c r="E848" s="4" t="s">
        <v>10</v>
      </c>
      <c r="F848" s="4">
        <v>42</v>
      </c>
      <c r="G848" s="7">
        <v>42153</v>
      </c>
      <c r="H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>
        <v>24109</v>
      </c>
      <c r="B849" s="4" t="s">
        <v>1031</v>
      </c>
      <c r="C849" s="4" t="s">
        <v>142</v>
      </c>
      <c r="D849" s="4" t="s">
        <v>23</v>
      </c>
      <c r="E849" s="4" t="s">
        <v>17</v>
      </c>
      <c r="F849" s="4">
        <v>182</v>
      </c>
      <c r="G849" s="7">
        <v>42080</v>
      </c>
      <c r="H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>
        <v>24110</v>
      </c>
      <c r="B850" s="4" t="s">
        <v>1032</v>
      </c>
      <c r="C850" s="4" t="s">
        <v>263</v>
      </c>
      <c r="D850" s="4" t="s">
        <v>58</v>
      </c>
      <c r="E850" s="4" t="s">
        <v>10</v>
      </c>
      <c r="F850" s="4">
        <v>39</v>
      </c>
      <c r="G850" s="7">
        <v>42244</v>
      </c>
      <c r="H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>
        <v>24111</v>
      </c>
      <c r="B851" s="4" t="s">
        <v>1033</v>
      </c>
      <c r="C851" s="4" t="s">
        <v>104</v>
      </c>
      <c r="D851" s="4" t="s">
        <v>29</v>
      </c>
      <c r="E851" s="4" t="s">
        <v>17</v>
      </c>
      <c r="F851" s="4">
        <v>166</v>
      </c>
      <c r="G851" s="7">
        <v>42201</v>
      </c>
      <c r="H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>
        <v>24112</v>
      </c>
      <c r="B852" s="4" t="s">
        <v>1034</v>
      </c>
      <c r="C852" s="4" t="s">
        <v>406</v>
      </c>
      <c r="D852" s="4" t="s">
        <v>34</v>
      </c>
      <c r="E852" s="4" t="s">
        <v>10</v>
      </c>
      <c r="F852" s="4">
        <v>20</v>
      </c>
      <c r="G852" s="7">
        <v>42198</v>
      </c>
      <c r="H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>
        <v>24113</v>
      </c>
      <c r="B853" s="4" t="s">
        <v>1035</v>
      </c>
      <c r="C853" s="4" t="s">
        <v>481</v>
      </c>
      <c r="D853" s="4" t="s">
        <v>34</v>
      </c>
      <c r="E853" s="4" t="s">
        <v>10</v>
      </c>
      <c r="F853" s="4">
        <v>5</v>
      </c>
      <c r="G853" s="7">
        <v>42165</v>
      </c>
      <c r="H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>
        <v>24114</v>
      </c>
      <c r="B854" s="4" t="s">
        <v>1036</v>
      </c>
      <c r="C854" s="4" t="s">
        <v>481</v>
      </c>
      <c r="D854" s="4" t="s">
        <v>51</v>
      </c>
      <c r="E854" s="4" t="s">
        <v>17</v>
      </c>
      <c r="F854" s="4">
        <v>179</v>
      </c>
      <c r="G854" s="7">
        <v>42006</v>
      </c>
      <c r="H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>
        <v>24115</v>
      </c>
      <c r="B855" s="4" t="s">
        <v>1037</v>
      </c>
      <c r="C855" s="4" t="s">
        <v>1038</v>
      </c>
      <c r="D855" s="4" t="s">
        <v>20</v>
      </c>
      <c r="E855" s="4" t="s">
        <v>17</v>
      </c>
      <c r="F855" s="4">
        <v>169</v>
      </c>
      <c r="G855" s="7">
        <v>42042</v>
      </c>
      <c r="H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>
        <v>24116</v>
      </c>
      <c r="B856" s="4" t="s">
        <v>1039</v>
      </c>
      <c r="C856" s="4" t="s">
        <v>290</v>
      </c>
      <c r="D856" s="4" t="s">
        <v>26</v>
      </c>
      <c r="E856" s="4" t="s">
        <v>10</v>
      </c>
      <c r="F856" s="4">
        <v>153</v>
      </c>
      <c r="G856" s="7">
        <v>42170</v>
      </c>
      <c r="H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>
        <v>24117</v>
      </c>
      <c r="B857" s="4" t="s">
        <v>1040</v>
      </c>
      <c r="C857" s="4" t="s">
        <v>61</v>
      </c>
      <c r="D857" s="4" t="s">
        <v>51</v>
      </c>
      <c r="E857" s="4" t="s">
        <v>17</v>
      </c>
      <c r="F857" s="4">
        <v>199</v>
      </c>
      <c r="G857" s="7">
        <v>42151</v>
      </c>
      <c r="H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>
        <v>24118</v>
      </c>
      <c r="B858" s="4" t="s">
        <v>1041</v>
      </c>
      <c r="C858" s="4" t="s">
        <v>161</v>
      </c>
      <c r="D858" s="4" t="s">
        <v>46</v>
      </c>
      <c r="E858" s="4" t="s">
        <v>17</v>
      </c>
      <c r="F858" s="4">
        <v>41</v>
      </c>
      <c r="G858" s="7">
        <v>42053</v>
      </c>
      <c r="H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>
        <v>24119</v>
      </c>
      <c r="B859" s="4" t="s">
        <v>1042</v>
      </c>
      <c r="C859" s="4" t="s">
        <v>190</v>
      </c>
      <c r="D859" s="4" t="s">
        <v>16</v>
      </c>
      <c r="E859" s="4" t="s">
        <v>17</v>
      </c>
      <c r="F859" s="4">
        <v>197</v>
      </c>
      <c r="G859" s="7">
        <v>42103</v>
      </c>
      <c r="H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>
        <v>24120</v>
      </c>
      <c r="B860" s="4" t="s">
        <v>1043</v>
      </c>
      <c r="C860" s="4" t="s">
        <v>55</v>
      </c>
      <c r="D860" s="4" t="s">
        <v>23</v>
      </c>
      <c r="E860" s="4" t="s">
        <v>10</v>
      </c>
      <c r="F860" s="4">
        <v>99</v>
      </c>
      <c r="G860" s="7">
        <v>42090</v>
      </c>
      <c r="H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>
        <v>24121</v>
      </c>
      <c r="B861" s="4" t="s">
        <v>1044</v>
      </c>
      <c r="C861" s="4" t="s">
        <v>57</v>
      </c>
      <c r="D861" s="4" t="s">
        <v>16</v>
      </c>
      <c r="E861" s="4" t="s">
        <v>10</v>
      </c>
      <c r="F861" s="4">
        <v>91</v>
      </c>
      <c r="G861" s="7">
        <v>42073</v>
      </c>
      <c r="H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>
        <v>24122</v>
      </c>
      <c r="B862" s="4" t="s">
        <v>1045</v>
      </c>
      <c r="C862" s="4" t="s">
        <v>333</v>
      </c>
      <c r="D862" s="4" t="s">
        <v>23</v>
      </c>
      <c r="E862" s="4" t="s">
        <v>10</v>
      </c>
      <c r="F862" s="4">
        <v>125</v>
      </c>
      <c r="G862" s="7">
        <v>42048</v>
      </c>
      <c r="H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>
        <v>24123</v>
      </c>
      <c r="B863" s="4" t="s">
        <v>1046</v>
      </c>
      <c r="C863" s="4" t="s">
        <v>442</v>
      </c>
      <c r="D863" s="4" t="s">
        <v>26</v>
      </c>
      <c r="E863" s="4" t="s">
        <v>10</v>
      </c>
      <c r="F863" s="4">
        <v>18</v>
      </c>
      <c r="G863" s="7">
        <v>42229</v>
      </c>
      <c r="H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>
        <v>24124</v>
      </c>
      <c r="B864" s="4" t="s">
        <v>1047</v>
      </c>
      <c r="C864" s="4" t="s">
        <v>288</v>
      </c>
      <c r="D864" s="4" t="s">
        <v>26</v>
      </c>
      <c r="E864" s="4" t="s">
        <v>10</v>
      </c>
      <c r="F864" s="4">
        <v>159</v>
      </c>
      <c r="G864" s="7">
        <v>42085</v>
      </c>
      <c r="H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>
        <v>24125</v>
      </c>
      <c r="B865" s="4" t="s">
        <v>1048</v>
      </c>
      <c r="C865" s="4" t="s">
        <v>406</v>
      </c>
      <c r="D865" s="4" t="s">
        <v>29</v>
      </c>
      <c r="E865" s="4" t="s">
        <v>17</v>
      </c>
      <c r="F865" s="4">
        <v>104</v>
      </c>
      <c r="G865" s="7">
        <v>42237</v>
      </c>
      <c r="H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>
        <v>24126</v>
      </c>
      <c r="B866" s="4" t="s">
        <v>1049</v>
      </c>
      <c r="C866" s="4" t="s">
        <v>290</v>
      </c>
      <c r="D866" s="4" t="s">
        <v>23</v>
      </c>
      <c r="E866" s="4" t="s">
        <v>10</v>
      </c>
      <c r="F866" s="4">
        <v>125</v>
      </c>
      <c r="G866" s="7">
        <v>42100</v>
      </c>
      <c r="H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>
        <v>24127</v>
      </c>
      <c r="B867" s="4" t="s">
        <v>1050</v>
      </c>
      <c r="C867" s="4" t="s">
        <v>412</v>
      </c>
      <c r="D867" s="4" t="s">
        <v>58</v>
      </c>
      <c r="E867" s="4" t="s">
        <v>17</v>
      </c>
      <c r="F867" s="4">
        <v>25</v>
      </c>
      <c r="G867" s="7">
        <v>42180</v>
      </c>
      <c r="H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>
        <v>24128</v>
      </c>
      <c r="B868" s="4" t="s">
        <v>1051</v>
      </c>
      <c r="C868" s="4" t="s">
        <v>83</v>
      </c>
      <c r="D868" s="4" t="s">
        <v>26</v>
      </c>
      <c r="E868" s="4" t="s">
        <v>10</v>
      </c>
      <c r="F868" s="4">
        <v>183</v>
      </c>
      <c r="G868" s="7">
        <v>42032</v>
      </c>
      <c r="H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>
        <v>24129</v>
      </c>
      <c r="B869" s="4" t="s">
        <v>1052</v>
      </c>
      <c r="C869" s="4" t="s">
        <v>73</v>
      </c>
      <c r="D869" s="4" t="s">
        <v>23</v>
      </c>
      <c r="E869" s="4" t="s">
        <v>10</v>
      </c>
      <c r="F869" s="4">
        <v>197</v>
      </c>
      <c r="G869" s="7">
        <v>42122</v>
      </c>
      <c r="H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>
        <v>24130</v>
      </c>
      <c r="B870" s="4" t="s">
        <v>1053</v>
      </c>
      <c r="C870" s="4" t="s">
        <v>55</v>
      </c>
      <c r="D870" s="4" t="s">
        <v>20</v>
      </c>
      <c r="E870" s="4" t="s">
        <v>10</v>
      </c>
      <c r="F870" s="4">
        <v>84</v>
      </c>
      <c r="G870" s="7">
        <v>42054</v>
      </c>
      <c r="H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>
        <v>24131</v>
      </c>
      <c r="B871" s="4" t="s">
        <v>1054</v>
      </c>
      <c r="C871" s="4" t="s">
        <v>518</v>
      </c>
      <c r="D871" s="4" t="s">
        <v>29</v>
      </c>
      <c r="E871" s="4" t="s">
        <v>17</v>
      </c>
      <c r="F871" s="4">
        <v>198</v>
      </c>
      <c r="G871" s="7">
        <v>42011</v>
      </c>
      <c r="H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>
        <v>24132</v>
      </c>
      <c r="B872" s="4" t="s">
        <v>1055</v>
      </c>
      <c r="C872" s="4" t="s">
        <v>172</v>
      </c>
      <c r="D872" s="4" t="s">
        <v>29</v>
      </c>
      <c r="E872" s="4" t="s">
        <v>10</v>
      </c>
      <c r="F872" s="4">
        <v>206</v>
      </c>
      <c r="G872" s="7">
        <v>42211</v>
      </c>
      <c r="H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>
        <v>24133</v>
      </c>
      <c r="B873" s="4" t="s">
        <v>1056</v>
      </c>
      <c r="C873" s="4" t="s">
        <v>108</v>
      </c>
      <c r="D873" s="4" t="s">
        <v>51</v>
      </c>
      <c r="E873" s="4" t="s">
        <v>17</v>
      </c>
      <c r="F873" s="4">
        <v>42</v>
      </c>
      <c r="G873" s="7">
        <v>42218</v>
      </c>
      <c r="H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>
        <v>24134</v>
      </c>
      <c r="B874" s="4" t="s">
        <v>1057</v>
      </c>
      <c r="C874" s="4" t="s">
        <v>297</v>
      </c>
      <c r="D874" s="4" t="s">
        <v>34</v>
      </c>
      <c r="E874" s="4" t="s">
        <v>17</v>
      </c>
      <c r="F874" s="4">
        <v>47</v>
      </c>
      <c r="G874" s="7">
        <v>42051</v>
      </c>
      <c r="H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>
        <v>24135</v>
      </c>
      <c r="B875" s="4" t="s">
        <v>1058</v>
      </c>
      <c r="C875" s="4" t="s">
        <v>434</v>
      </c>
      <c r="D875" s="4" t="s">
        <v>34</v>
      </c>
      <c r="E875" s="4" t="s">
        <v>17</v>
      </c>
      <c r="F875" s="4">
        <v>108</v>
      </c>
      <c r="G875" s="7">
        <v>42101</v>
      </c>
      <c r="H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>
        <v>24136</v>
      </c>
      <c r="B876" s="4" t="s">
        <v>1059</v>
      </c>
      <c r="C876" s="4" t="s">
        <v>390</v>
      </c>
      <c r="D876" s="4" t="s">
        <v>34</v>
      </c>
      <c r="E876" s="4" t="s">
        <v>10</v>
      </c>
      <c r="F876" s="4">
        <v>174</v>
      </c>
      <c r="G876" s="7">
        <v>42010</v>
      </c>
      <c r="H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>
        <v>24137</v>
      </c>
      <c r="B877" s="4" t="s">
        <v>1060</v>
      </c>
      <c r="C877" s="4" t="s">
        <v>295</v>
      </c>
      <c r="D877" s="4" t="s">
        <v>58</v>
      </c>
      <c r="E877" s="4" t="s">
        <v>17</v>
      </c>
      <c r="F877" s="4">
        <v>68</v>
      </c>
      <c r="G877" s="7">
        <v>42214</v>
      </c>
      <c r="H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>
        <v>24138</v>
      </c>
      <c r="B878" s="4" t="s">
        <v>1061</v>
      </c>
      <c r="C878" s="4" t="s">
        <v>295</v>
      </c>
      <c r="D878" s="4" t="s">
        <v>51</v>
      </c>
      <c r="E878" s="4" t="s">
        <v>10</v>
      </c>
      <c r="F878" s="4">
        <v>108</v>
      </c>
      <c r="G878" s="7">
        <v>42121</v>
      </c>
      <c r="H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>
        <v>24139</v>
      </c>
      <c r="B879" s="4" t="s">
        <v>1062</v>
      </c>
      <c r="C879" s="4" t="s">
        <v>248</v>
      </c>
      <c r="D879" s="4" t="s">
        <v>23</v>
      </c>
      <c r="E879" s="4" t="s">
        <v>17</v>
      </c>
      <c r="F879" s="4">
        <v>10</v>
      </c>
      <c r="G879" s="7">
        <v>42240</v>
      </c>
      <c r="H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>
        <v>24140</v>
      </c>
      <c r="B880" s="4" t="s">
        <v>1063</v>
      </c>
      <c r="C880" s="4" t="s">
        <v>144</v>
      </c>
      <c r="D880" s="4" t="s">
        <v>23</v>
      </c>
      <c r="E880" s="4" t="s">
        <v>17</v>
      </c>
      <c r="F880" s="4">
        <v>58</v>
      </c>
      <c r="G880" s="7">
        <v>42107</v>
      </c>
      <c r="H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>
        <v>24141</v>
      </c>
      <c r="B881" s="4" t="s">
        <v>1064</v>
      </c>
      <c r="C881" s="4" t="s">
        <v>380</v>
      </c>
      <c r="D881" s="4" t="s">
        <v>23</v>
      </c>
      <c r="E881" s="4" t="s">
        <v>10</v>
      </c>
      <c r="F881" s="4">
        <v>203</v>
      </c>
      <c r="G881" s="7">
        <v>42050</v>
      </c>
      <c r="H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>
        <v>24142</v>
      </c>
      <c r="B882" s="4" t="s">
        <v>1065</v>
      </c>
      <c r="C882" s="4" t="s">
        <v>335</v>
      </c>
      <c r="D882" s="4" t="s">
        <v>26</v>
      </c>
      <c r="E882" s="4" t="s">
        <v>10</v>
      </c>
      <c r="F882" s="4">
        <v>201</v>
      </c>
      <c r="G882" s="7">
        <v>42147</v>
      </c>
      <c r="H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>
        <v>24143</v>
      </c>
      <c r="B883" s="4" t="s">
        <v>1066</v>
      </c>
      <c r="C883" s="4" t="s">
        <v>465</v>
      </c>
      <c r="D883" s="4" t="s">
        <v>34</v>
      </c>
      <c r="E883" s="4" t="s">
        <v>10</v>
      </c>
      <c r="F883" s="4">
        <v>13</v>
      </c>
      <c r="G883" s="7">
        <v>42141</v>
      </c>
      <c r="H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>
        <v>24144</v>
      </c>
      <c r="B884" s="4" t="s">
        <v>1067</v>
      </c>
      <c r="C884" s="4" t="s">
        <v>694</v>
      </c>
      <c r="D884" s="4" t="s">
        <v>58</v>
      </c>
      <c r="E884" s="4" t="s">
        <v>17</v>
      </c>
      <c r="F884" s="4">
        <v>168</v>
      </c>
      <c r="G884" s="7">
        <v>42147</v>
      </c>
      <c r="H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>
        <v>24145</v>
      </c>
      <c r="B885" s="4" t="s">
        <v>1068</v>
      </c>
      <c r="C885" s="4" t="s">
        <v>250</v>
      </c>
      <c r="D885" s="4" t="s">
        <v>16</v>
      </c>
      <c r="E885" s="4" t="s">
        <v>17</v>
      </c>
      <c r="F885" s="4">
        <v>89</v>
      </c>
      <c r="G885" s="7">
        <v>42132</v>
      </c>
      <c r="H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>
        <v>24146</v>
      </c>
      <c r="B886" s="4" t="s">
        <v>1069</v>
      </c>
      <c r="C886" s="4" t="s">
        <v>515</v>
      </c>
      <c r="D886" s="4" t="s">
        <v>13</v>
      </c>
      <c r="E886" s="4" t="s">
        <v>17</v>
      </c>
      <c r="F886" s="4">
        <v>64</v>
      </c>
      <c r="G886" s="7">
        <v>42178</v>
      </c>
      <c r="H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>
        <v>24147</v>
      </c>
      <c r="B887" s="4" t="s">
        <v>1070</v>
      </c>
      <c r="C887" s="4" t="s">
        <v>127</v>
      </c>
      <c r="D887" s="4" t="s">
        <v>9</v>
      </c>
      <c r="E887" s="4" t="s">
        <v>59</v>
      </c>
      <c r="F887" s="4">
        <v>12</v>
      </c>
      <c r="G887" s="7">
        <v>42208</v>
      </c>
      <c r="H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>
        <v>24148</v>
      </c>
      <c r="B888" s="4" t="s">
        <v>1071</v>
      </c>
      <c r="C888" s="4" t="s">
        <v>422</v>
      </c>
      <c r="D888" s="4" t="s">
        <v>23</v>
      </c>
      <c r="E888" s="4" t="s">
        <v>17</v>
      </c>
      <c r="F888" s="4">
        <v>58</v>
      </c>
      <c r="G888" s="7">
        <v>42078</v>
      </c>
      <c r="H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>
        <v>24149</v>
      </c>
      <c r="B889" s="4" t="s">
        <v>1072</v>
      </c>
      <c r="C889" s="4" t="s">
        <v>252</v>
      </c>
      <c r="D889" s="4" t="s">
        <v>26</v>
      </c>
      <c r="E889" s="4" t="s">
        <v>10</v>
      </c>
      <c r="F889" s="4">
        <v>142</v>
      </c>
      <c r="G889" s="7">
        <v>42080</v>
      </c>
      <c r="H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>
        <v>24150</v>
      </c>
      <c r="B890" s="4" t="s">
        <v>1073</v>
      </c>
      <c r="C890" s="4" t="s">
        <v>57</v>
      </c>
      <c r="D890" s="4" t="s">
        <v>9</v>
      </c>
      <c r="E890" s="4" t="s">
        <v>17</v>
      </c>
      <c r="F890" s="4">
        <v>46</v>
      </c>
      <c r="G890" s="7">
        <v>42101</v>
      </c>
      <c r="H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>
        <v>24151</v>
      </c>
      <c r="B891" s="4" t="s">
        <v>1074</v>
      </c>
      <c r="C891" s="4" t="s">
        <v>164</v>
      </c>
      <c r="D891" s="4" t="s">
        <v>29</v>
      </c>
      <c r="E891" s="4" t="s">
        <v>10</v>
      </c>
      <c r="F891" s="4">
        <v>210</v>
      </c>
      <c r="G891" s="7">
        <v>42188</v>
      </c>
      <c r="H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>
        <v>24152</v>
      </c>
      <c r="B892" s="4" t="s">
        <v>1075</v>
      </c>
      <c r="C892" s="4" t="s">
        <v>283</v>
      </c>
      <c r="D892" s="4" t="s">
        <v>9</v>
      </c>
      <c r="E892" s="4" t="s">
        <v>10</v>
      </c>
      <c r="F892" s="4">
        <v>130</v>
      </c>
      <c r="G892" s="7">
        <v>42005</v>
      </c>
      <c r="H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>
        <v>24153</v>
      </c>
      <c r="B893" s="4" t="s">
        <v>1076</v>
      </c>
      <c r="C893" s="4" t="s">
        <v>97</v>
      </c>
      <c r="D893" s="4" t="s">
        <v>16</v>
      </c>
      <c r="E893" s="4" t="s">
        <v>59</v>
      </c>
      <c r="F893" s="4">
        <v>173</v>
      </c>
      <c r="G893" s="7">
        <v>42015</v>
      </c>
      <c r="H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>
        <v>24154</v>
      </c>
      <c r="B894" s="4" t="s">
        <v>1077</v>
      </c>
      <c r="C894" s="4" t="s">
        <v>63</v>
      </c>
      <c r="D894" s="4" t="s">
        <v>58</v>
      </c>
      <c r="E894" s="4" t="s">
        <v>10</v>
      </c>
      <c r="F894" s="4">
        <v>54</v>
      </c>
      <c r="G894" s="7">
        <v>42233</v>
      </c>
      <c r="H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>
        <v>24155</v>
      </c>
      <c r="B895" s="4" t="s">
        <v>1078</v>
      </c>
      <c r="C895" s="4" t="s">
        <v>390</v>
      </c>
      <c r="D895" s="4" t="s">
        <v>58</v>
      </c>
      <c r="E895" s="4" t="s">
        <v>10</v>
      </c>
      <c r="F895" s="4">
        <v>44</v>
      </c>
      <c r="G895" s="7">
        <v>42020</v>
      </c>
      <c r="H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>
        <v>24156</v>
      </c>
      <c r="B896" s="4" t="s">
        <v>1079</v>
      </c>
      <c r="C896" s="4" t="s">
        <v>406</v>
      </c>
      <c r="D896" s="4" t="s">
        <v>13</v>
      </c>
      <c r="E896" s="4" t="s">
        <v>59</v>
      </c>
      <c r="F896" s="4">
        <v>71</v>
      </c>
      <c r="G896" s="7">
        <v>42075</v>
      </c>
      <c r="H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>
        <v>24157</v>
      </c>
      <c r="B897" s="4" t="s">
        <v>1080</v>
      </c>
      <c r="C897" s="4" t="s">
        <v>146</v>
      </c>
      <c r="D897" s="4" t="s">
        <v>23</v>
      </c>
      <c r="E897" s="4" t="s">
        <v>10</v>
      </c>
      <c r="F897" s="4">
        <v>132</v>
      </c>
      <c r="G897" s="7">
        <v>42134</v>
      </c>
      <c r="H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>
        <v>24158</v>
      </c>
      <c r="B898" s="4" t="s">
        <v>1081</v>
      </c>
      <c r="C898" s="4" t="s">
        <v>380</v>
      </c>
      <c r="D898" s="4" t="s">
        <v>46</v>
      </c>
      <c r="E898" s="4" t="s">
        <v>17</v>
      </c>
      <c r="F898" s="4">
        <v>38</v>
      </c>
      <c r="G898" s="7">
        <v>42211</v>
      </c>
      <c r="H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>
        <v>24159</v>
      </c>
      <c r="B899" s="4" t="s">
        <v>1082</v>
      </c>
      <c r="C899" s="4" t="s">
        <v>172</v>
      </c>
      <c r="D899" s="4" t="s">
        <v>58</v>
      </c>
      <c r="E899" s="4" t="s">
        <v>17</v>
      </c>
      <c r="F899" s="4">
        <v>40</v>
      </c>
      <c r="G899" s="7">
        <v>42068</v>
      </c>
      <c r="H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>
        <v>24160</v>
      </c>
      <c r="B900" s="4" t="s">
        <v>1083</v>
      </c>
      <c r="C900" s="4" t="s">
        <v>938</v>
      </c>
      <c r="D900" s="4" t="s">
        <v>16</v>
      </c>
      <c r="E900" s="4" t="s">
        <v>10</v>
      </c>
      <c r="F900" s="4">
        <v>58</v>
      </c>
      <c r="G900" s="7">
        <v>42242</v>
      </c>
      <c r="H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>
        <v>24161</v>
      </c>
      <c r="B901" s="4" t="s">
        <v>1084</v>
      </c>
      <c r="C901" s="4" t="s">
        <v>36</v>
      </c>
      <c r="D901" s="4" t="s">
        <v>34</v>
      </c>
      <c r="E901" s="4" t="s">
        <v>17</v>
      </c>
      <c r="F901" s="4">
        <v>185</v>
      </c>
      <c r="G901" s="7">
        <v>42152</v>
      </c>
      <c r="H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>
        <v>24162</v>
      </c>
      <c r="B902" s="4" t="s">
        <v>1085</v>
      </c>
      <c r="C902" s="4" t="s">
        <v>71</v>
      </c>
      <c r="D902" s="4" t="s">
        <v>23</v>
      </c>
      <c r="E902" s="4" t="s">
        <v>10</v>
      </c>
      <c r="F902" s="4">
        <v>61</v>
      </c>
      <c r="G902" s="7">
        <v>42176</v>
      </c>
      <c r="H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>
        <v>24163</v>
      </c>
      <c r="B903" s="4" t="s">
        <v>1086</v>
      </c>
      <c r="C903" s="4" t="s">
        <v>53</v>
      </c>
      <c r="D903" s="4" t="s">
        <v>9</v>
      </c>
      <c r="E903" s="4" t="s">
        <v>17</v>
      </c>
      <c r="F903" s="4">
        <v>84</v>
      </c>
      <c r="G903" s="7">
        <v>42182</v>
      </c>
      <c r="H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>
        <v>24164</v>
      </c>
      <c r="B904" s="4" t="s">
        <v>1087</v>
      </c>
      <c r="C904" s="4" t="s">
        <v>349</v>
      </c>
      <c r="D904" s="4" t="s">
        <v>23</v>
      </c>
      <c r="E904" s="4" t="s">
        <v>10</v>
      </c>
      <c r="F904" s="4">
        <v>119</v>
      </c>
      <c r="G904" s="7">
        <v>42028</v>
      </c>
      <c r="H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>
        <v>24165</v>
      </c>
      <c r="B905" s="4" t="s">
        <v>1088</v>
      </c>
      <c r="C905" s="4" t="s">
        <v>119</v>
      </c>
      <c r="D905" s="4" t="s">
        <v>51</v>
      </c>
      <c r="E905" s="4" t="s">
        <v>17</v>
      </c>
      <c r="F905" s="4">
        <v>54</v>
      </c>
      <c r="G905" s="7">
        <v>42079</v>
      </c>
      <c r="H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>
        <v>24166</v>
      </c>
      <c r="B906" s="4" t="s">
        <v>1089</v>
      </c>
      <c r="C906" s="4" t="s">
        <v>83</v>
      </c>
      <c r="D906" s="4" t="s">
        <v>26</v>
      </c>
      <c r="E906" s="4" t="s">
        <v>10</v>
      </c>
      <c r="F906" s="4">
        <v>191</v>
      </c>
      <c r="G906" s="7">
        <v>42020</v>
      </c>
      <c r="H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>
        <v>24167</v>
      </c>
      <c r="B907" s="4" t="s">
        <v>1090</v>
      </c>
      <c r="C907" s="4" t="s">
        <v>1091</v>
      </c>
      <c r="D907" s="4" t="s">
        <v>13</v>
      </c>
      <c r="E907" s="4" t="s">
        <v>10</v>
      </c>
      <c r="F907" s="4">
        <v>181</v>
      </c>
      <c r="G907" s="7">
        <v>42207</v>
      </c>
      <c r="H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>
        <v>24168</v>
      </c>
      <c r="B908" s="4" t="s">
        <v>1092</v>
      </c>
      <c r="C908" s="4" t="s">
        <v>166</v>
      </c>
      <c r="D908" s="4" t="s">
        <v>23</v>
      </c>
      <c r="E908" s="4" t="s">
        <v>17</v>
      </c>
      <c r="F908" s="4">
        <v>99</v>
      </c>
      <c r="G908" s="7">
        <v>42142</v>
      </c>
      <c r="H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>
        <v>24169</v>
      </c>
      <c r="B909" s="4" t="s">
        <v>1093</v>
      </c>
      <c r="C909" s="4" t="s">
        <v>456</v>
      </c>
      <c r="D909" s="4" t="s">
        <v>29</v>
      </c>
      <c r="E909" s="4" t="s">
        <v>10</v>
      </c>
      <c r="F909" s="4">
        <v>120</v>
      </c>
      <c r="G909" s="7">
        <v>42192</v>
      </c>
      <c r="H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>
        <v>24170</v>
      </c>
      <c r="B910" s="4" t="s">
        <v>1094</v>
      </c>
      <c r="C910" s="4" t="s">
        <v>69</v>
      </c>
      <c r="D910" s="4" t="s">
        <v>29</v>
      </c>
      <c r="E910" s="4" t="s">
        <v>10</v>
      </c>
      <c r="F910" s="4">
        <v>38</v>
      </c>
      <c r="G910" s="7">
        <v>42216</v>
      </c>
      <c r="H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>
        <v>24171</v>
      </c>
      <c r="B911" s="4" t="s">
        <v>1095</v>
      </c>
      <c r="C911" s="4" t="s">
        <v>65</v>
      </c>
      <c r="D911" s="4" t="s">
        <v>20</v>
      </c>
      <c r="E911" s="4" t="s">
        <v>10</v>
      </c>
      <c r="F911" s="4">
        <v>2</v>
      </c>
      <c r="G911" s="7">
        <v>42222</v>
      </c>
      <c r="H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>
        <v>24172</v>
      </c>
      <c r="B912" s="4" t="s">
        <v>1096</v>
      </c>
      <c r="C912" s="4" t="s">
        <v>341</v>
      </c>
      <c r="D912" s="4" t="s">
        <v>26</v>
      </c>
      <c r="E912" s="4" t="s">
        <v>17</v>
      </c>
      <c r="F912" s="4">
        <v>99</v>
      </c>
      <c r="G912" s="7">
        <v>42203</v>
      </c>
      <c r="H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>
        <v>24173</v>
      </c>
      <c r="B913" s="4" t="s">
        <v>1097</v>
      </c>
      <c r="C913" s="4" t="s">
        <v>22</v>
      </c>
      <c r="D913" s="4" t="s">
        <v>20</v>
      </c>
      <c r="E913" s="4" t="s">
        <v>10</v>
      </c>
      <c r="F913" s="4">
        <v>136</v>
      </c>
      <c r="G913" s="7">
        <v>42009</v>
      </c>
      <c r="H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>
        <v>24174</v>
      </c>
      <c r="B914" s="4" t="s">
        <v>1098</v>
      </c>
      <c r="C914" s="4" t="s">
        <v>100</v>
      </c>
      <c r="D914" s="4" t="s">
        <v>23</v>
      </c>
      <c r="E914" s="4" t="s">
        <v>10</v>
      </c>
      <c r="F914" s="4">
        <v>163</v>
      </c>
      <c r="G914" s="7">
        <v>42194</v>
      </c>
      <c r="H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>
        <v>24175</v>
      </c>
      <c r="B915" s="4" t="s">
        <v>1099</v>
      </c>
      <c r="C915" s="4" t="s">
        <v>341</v>
      </c>
      <c r="D915" s="4" t="s">
        <v>23</v>
      </c>
      <c r="E915" s="4" t="s">
        <v>17</v>
      </c>
      <c r="F915" s="4">
        <v>97</v>
      </c>
      <c r="G915" s="7">
        <v>42063</v>
      </c>
      <c r="H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>
        <v>24176</v>
      </c>
      <c r="B916" s="4" t="s">
        <v>1100</v>
      </c>
      <c r="C916" s="4" t="s">
        <v>140</v>
      </c>
      <c r="D916" s="4" t="s">
        <v>13</v>
      </c>
      <c r="E916" s="4" t="s">
        <v>17</v>
      </c>
      <c r="F916" s="4">
        <v>209</v>
      </c>
      <c r="G916" s="7">
        <v>42114</v>
      </c>
      <c r="H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>
        <v>24177</v>
      </c>
      <c r="B917" s="4" t="s">
        <v>1101</v>
      </c>
      <c r="C917" s="4" t="s">
        <v>515</v>
      </c>
      <c r="D917" s="4" t="s">
        <v>13</v>
      </c>
      <c r="E917" s="4" t="s">
        <v>17</v>
      </c>
      <c r="F917" s="4">
        <v>33</v>
      </c>
      <c r="G917" s="7">
        <v>42080</v>
      </c>
      <c r="H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>
        <v>24178</v>
      </c>
      <c r="B918" s="4" t="s">
        <v>1102</v>
      </c>
      <c r="C918" s="4" t="s">
        <v>83</v>
      </c>
      <c r="D918" s="4" t="s">
        <v>26</v>
      </c>
      <c r="E918" s="4" t="s">
        <v>17</v>
      </c>
      <c r="F918" s="4">
        <v>80</v>
      </c>
      <c r="G918" s="7">
        <v>42159</v>
      </c>
      <c r="H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>
        <v>24179</v>
      </c>
      <c r="B919" s="4" t="s">
        <v>1103</v>
      </c>
      <c r="C919" s="4" t="s">
        <v>366</v>
      </c>
      <c r="D919" s="4" t="s">
        <v>46</v>
      </c>
      <c r="E919" s="4" t="s">
        <v>17</v>
      </c>
      <c r="F919" s="4">
        <v>190</v>
      </c>
      <c r="G919" s="7">
        <v>42239</v>
      </c>
      <c r="H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>
        <v>24180</v>
      </c>
      <c r="B920" s="4" t="s">
        <v>1104</v>
      </c>
      <c r="C920" s="4" t="s">
        <v>263</v>
      </c>
      <c r="D920" s="4" t="s">
        <v>9</v>
      </c>
      <c r="E920" s="4" t="s">
        <v>10</v>
      </c>
      <c r="F920" s="4">
        <v>168</v>
      </c>
      <c r="G920" s="7">
        <v>42025</v>
      </c>
      <c r="H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>
        <v>24181</v>
      </c>
      <c r="B921" s="4" t="s">
        <v>1105</v>
      </c>
      <c r="C921" s="4" t="s">
        <v>188</v>
      </c>
      <c r="D921" s="4" t="s">
        <v>58</v>
      </c>
      <c r="E921" s="4" t="s">
        <v>10</v>
      </c>
      <c r="F921" s="4">
        <v>12</v>
      </c>
      <c r="G921" s="7">
        <v>42070</v>
      </c>
      <c r="H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>
        <v>24182</v>
      </c>
      <c r="B922" s="4" t="s">
        <v>1106</v>
      </c>
      <c r="C922" s="4" t="s">
        <v>456</v>
      </c>
      <c r="D922" s="4" t="s">
        <v>34</v>
      </c>
      <c r="E922" s="4" t="s">
        <v>59</v>
      </c>
      <c r="F922" s="4">
        <v>31</v>
      </c>
      <c r="G922" s="7">
        <v>42107</v>
      </c>
      <c r="H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>
        <v>24183</v>
      </c>
      <c r="B923" s="4" t="s">
        <v>1107</v>
      </c>
      <c r="C923" s="4" t="s">
        <v>57</v>
      </c>
      <c r="D923" s="4" t="s">
        <v>26</v>
      </c>
      <c r="E923" s="4" t="s">
        <v>17</v>
      </c>
      <c r="F923" s="4">
        <v>51</v>
      </c>
      <c r="G923" s="7">
        <v>42110</v>
      </c>
      <c r="H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>
        <v>24184</v>
      </c>
      <c r="B924" s="4" t="s">
        <v>1108</v>
      </c>
      <c r="C924" s="4" t="s">
        <v>926</v>
      </c>
      <c r="D924" s="4" t="s">
        <v>51</v>
      </c>
      <c r="E924" s="4" t="s">
        <v>10</v>
      </c>
      <c r="F924" s="4">
        <v>135</v>
      </c>
      <c r="G924" s="7">
        <v>42053</v>
      </c>
      <c r="H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>
        <v>24185</v>
      </c>
      <c r="B925" s="4" t="s">
        <v>1109</v>
      </c>
      <c r="C925" s="4" t="s">
        <v>263</v>
      </c>
      <c r="D925" s="4" t="s">
        <v>29</v>
      </c>
      <c r="E925" s="4" t="s">
        <v>10</v>
      </c>
      <c r="F925" s="4">
        <v>80</v>
      </c>
      <c r="G925" s="7">
        <v>42180</v>
      </c>
      <c r="H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>
        <v>24186</v>
      </c>
      <c r="B926" s="4" t="s">
        <v>1110</v>
      </c>
      <c r="C926" s="4" t="s">
        <v>28</v>
      </c>
      <c r="D926" s="4" t="s">
        <v>13</v>
      </c>
      <c r="E926" s="4" t="s">
        <v>10</v>
      </c>
      <c r="F926" s="4">
        <v>15</v>
      </c>
      <c r="G926" s="7">
        <v>42072</v>
      </c>
      <c r="H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>
        <v>24187</v>
      </c>
      <c r="B927" s="4" t="s">
        <v>1111</v>
      </c>
      <c r="C927" s="4" t="s">
        <v>278</v>
      </c>
      <c r="D927" s="4" t="s">
        <v>23</v>
      </c>
      <c r="E927" s="4" t="s">
        <v>17</v>
      </c>
      <c r="F927" s="4">
        <v>81</v>
      </c>
      <c r="G927" s="7">
        <v>42136</v>
      </c>
      <c r="H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>
        <v>24188</v>
      </c>
      <c r="B928" s="4" t="s">
        <v>1112</v>
      </c>
      <c r="C928" s="4" t="s">
        <v>380</v>
      </c>
      <c r="D928" s="4" t="s">
        <v>23</v>
      </c>
      <c r="E928" s="4" t="s">
        <v>17</v>
      </c>
      <c r="F928" s="4">
        <v>185</v>
      </c>
      <c r="G928" s="7">
        <v>42063</v>
      </c>
      <c r="H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>
        <v>24189</v>
      </c>
      <c r="B929" s="4" t="s">
        <v>1113</v>
      </c>
      <c r="C929" s="4" t="s">
        <v>65</v>
      </c>
      <c r="D929" s="4" t="s">
        <v>9</v>
      </c>
      <c r="E929" s="4" t="s">
        <v>17</v>
      </c>
      <c r="F929" s="4">
        <v>3</v>
      </c>
      <c r="G929" s="7">
        <v>42242</v>
      </c>
      <c r="H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>
        <v>24190</v>
      </c>
      <c r="B930" s="4" t="s">
        <v>1114</v>
      </c>
      <c r="C930" s="4" t="s">
        <v>272</v>
      </c>
      <c r="D930" s="4" t="s">
        <v>46</v>
      </c>
      <c r="E930" s="4" t="s">
        <v>17</v>
      </c>
      <c r="F930" s="4">
        <v>185</v>
      </c>
      <c r="G930" s="7">
        <v>42056</v>
      </c>
      <c r="H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>
        <v>24191</v>
      </c>
      <c r="B931" s="4" t="s">
        <v>1115</v>
      </c>
      <c r="C931" s="4" t="s">
        <v>31</v>
      </c>
      <c r="D931" s="4" t="s">
        <v>34</v>
      </c>
      <c r="E931" s="4" t="s">
        <v>17</v>
      </c>
      <c r="F931" s="4">
        <v>127</v>
      </c>
      <c r="G931" s="7">
        <v>42006</v>
      </c>
      <c r="H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>
        <v>24192</v>
      </c>
      <c r="B932" s="4" t="s">
        <v>1116</v>
      </c>
      <c r="C932" s="4" t="s">
        <v>290</v>
      </c>
      <c r="D932" s="4" t="s">
        <v>16</v>
      </c>
      <c r="E932" s="4" t="s">
        <v>10</v>
      </c>
      <c r="F932" s="4">
        <v>15</v>
      </c>
      <c r="G932" s="7">
        <v>42112</v>
      </c>
      <c r="H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>
        <v>24193</v>
      </c>
      <c r="B933" s="4" t="s">
        <v>1117</v>
      </c>
      <c r="C933" s="4" t="s">
        <v>22</v>
      </c>
      <c r="D933" s="4" t="s">
        <v>34</v>
      </c>
      <c r="E933" s="4" t="s">
        <v>10</v>
      </c>
      <c r="F933" s="4">
        <v>133</v>
      </c>
      <c r="G933" s="7">
        <v>42022</v>
      </c>
      <c r="H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>
        <v>24194</v>
      </c>
      <c r="B934" s="4" t="s">
        <v>1118</v>
      </c>
      <c r="C934" s="4" t="s">
        <v>92</v>
      </c>
      <c r="D934" s="4" t="s">
        <v>58</v>
      </c>
      <c r="E934" s="4" t="s">
        <v>17</v>
      </c>
      <c r="F934" s="4">
        <v>138</v>
      </c>
      <c r="G934" s="7">
        <v>42046</v>
      </c>
      <c r="H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>
        <v>24195</v>
      </c>
      <c r="B935" s="4" t="s">
        <v>1119</v>
      </c>
      <c r="C935" s="4" t="s">
        <v>756</v>
      </c>
      <c r="D935" s="4" t="s">
        <v>9</v>
      </c>
      <c r="E935" s="4" t="s">
        <v>17</v>
      </c>
      <c r="F935" s="4">
        <v>132</v>
      </c>
      <c r="G935" s="7">
        <v>42020</v>
      </c>
      <c r="H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>
        <v>24196</v>
      </c>
      <c r="B936" s="4" t="s">
        <v>1120</v>
      </c>
      <c r="C936" s="4" t="s">
        <v>551</v>
      </c>
      <c r="D936" s="4" t="s">
        <v>20</v>
      </c>
      <c r="E936" s="4" t="s">
        <v>17</v>
      </c>
      <c r="F936" s="4">
        <v>13</v>
      </c>
      <c r="G936" s="7">
        <v>42202</v>
      </c>
      <c r="H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>
        <v>24197</v>
      </c>
      <c r="B937" s="4" t="s">
        <v>1121</v>
      </c>
      <c r="C937" s="4" t="s">
        <v>146</v>
      </c>
      <c r="D937" s="4" t="s">
        <v>23</v>
      </c>
      <c r="E937" s="4" t="s">
        <v>17</v>
      </c>
      <c r="F937" s="4">
        <v>136</v>
      </c>
      <c r="G937" s="7">
        <v>42211</v>
      </c>
      <c r="H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>
        <v>24198</v>
      </c>
      <c r="B938" s="4" t="s">
        <v>1122</v>
      </c>
      <c r="C938" s="4" t="s">
        <v>57</v>
      </c>
      <c r="D938" s="4" t="s">
        <v>23</v>
      </c>
      <c r="E938" s="4" t="s">
        <v>17</v>
      </c>
      <c r="F938" s="4">
        <v>25</v>
      </c>
      <c r="G938" s="7">
        <v>42122</v>
      </c>
      <c r="H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>
        <v>24199</v>
      </c>
      <c r="B939" s="4" t="s">
        <v>1123</v>
      </c>
      <c r="C939" s="4" t="s">
        <v>140</v>
      </c>
      <c r="D939" s="4" t="s">
        <v>16</v>
      </c>
      <c r="E939" s="4" t="s">
        <v>17</v>
      </c>
      <c r="F939" s="4">
        <v>200</v>
      </c>
      <c r="G939" s="7">
        <v>42096</v>
      </c>
      <c r="H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>
        <v>24200</v>
      </c>
      <c r="B940" s="4" t="s">
        <v>1124</v>
      </c>
      <c r="C940" s="4" t="s">
        <v>316</v>
      </c>
      <c r="D940" s="4" t="s">
        <v>23</v>
      </c>
      <c r="E940" s="4" t="s">
        <v>10</v>
      </c>
      <c r="F940" s="4">
        <v>148</v>
      </c>
      <c r="G940" s="7">
        <v>42195</v>
      </c>
      <c r="H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>
        <v>24201</v>
      </c>
      <c r="B941" s="4" t="s">
        <v>1125</v>
      </c>
      <c r="C941" s="4" t="s">
        <v>8</v>
      </c>
      <c r="D941" s="4" t="s">
        <v>58</v>
      </c>
      <c r="E941" s="4" t="s">
        <v>10</v>
      </c>
      <c r="F941" s="4">
        <v>175</v>
      </c>
      <c r="G941" s="7">
        <v>42115</v>
      </c>
      <c r="H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>
        <v>24202</v>
      </c>
      <c r="B942" s="4" t="s">
        <v>1126</v>
      </c>
      <c r="C942" s="4" t="s">
        <v>8</v>
      </c>
      <c r="D942" s="4" t="s">
        <v>13</v>
      </c>
      <c r="E942" s="4" t="s">
        <v>59</v>
      </c>
      <c r="F942" s="4">
        <v>44</v>
      </c>
      <c r="G942" s="7">
        <v>42031</v>
      </c>
      <c r="H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>
        <v>24203</v>
      </c>
      <c r="B943" s="4" t="s">
        <v>1127</v>
      </c>
      <c r="C943" s="4" t="s">
        <v>83</v>
      </c>
      <c r="D943" s="4" t="s">
        <v>20</v>
      </c>
      <c r="E943" s="4" t="s">
        <v>17</v>
      </c>
      <c r="F943" s="4">
        <v>39</v>
      </c>
      <c r="G943" s="7">
        <v>42186</v>
      </c>
      <c r="H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>
        <v>24204</v>
      </c>
      <c r="B944" s="4" t="s">
        <v>1128</v>
      </c>
      <c r="C944" s="4" t="s">
        <v>662</v>
      </c>
      <c r="D944" s="4" t="s">
        <v>51</v>
      </c>
      <c r="E944" s="4" t="s">
        <v>17</v>
      </c>
      <c r="F944" s="4">
        <v>80</v>
      </c>
      <c r="G944" s="7">
        <v>42167</v>
      </c>
      <c r="H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>
        <v>24205</v>
      </c>
      <c r="B945" s="4" t="s">
        <v>1129</v>
      </c>
      <c r="C945" s="4" t="s">
        <v>181</v>
      </c>
      <c r="D945" s="4" t="s">
        <v>23</v>
      </c>
      <c r="E945" s="4" t="s">
        <v>17</v>
      </c>
      <c r="F945" s="4">
        <v>198</v>
      </c>
      <c r="G945" s="7">
        <v>42150</v>
      </c>
      <c r="H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>
        <v>24206</v>
      </c>
      <c r="B946" s="4" t="s">
        <v>1130</v>
      </c>
      <c r="C946" s="4" t="s">
        <v>560</v>
      </c>
      <c r="D946" s="4" t="s">
        <v>46</v>
      </c>
      <c r="E946" s="4" t="s">
        <v>10</v>
      </c>
      <c r="F946" s="4">
        <v>203</v>
      </c>
      <c r="G946" s="7">
        <v>42149</v>
      </c>
      <c r="H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>
        <v>24207</v>
      </c>
      <c r="B947" s="4" t="s">
        <v>1131</v>
      </c>
      <c r="C947" s="4" t="s">
        <v>104</v>
      </c>
      <c r="D947" s="4" t="s">
        <v>9</v>
      </c>
      <c r="E947" s="4" t="s">
        <v>59</v>
      </c>
      <c r="F947" s="4">
        <v>210</v>
      </c>
      <c r="G947" s="7">
        <v>42007</v>
      </c>
      <c r="H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>
        <v>24208</v>
      </c>
      <c r="B948" s="4" t="s">
        <v>1132</v>
      </c>
      <c r="C948" s="4" t="s">
        <v>63</v>
      </c>
      <c r="D948" s="4" t="s">
        <v>23</v>
      </c>
      <c r="E948" s="4" t="s">
        <v>10</v>
      </c>
      <c r="F948" s="4">
        <v>94</v>
      </c>
      <c r="G948" s="7">
        <v>42024</v>
      </c>
      <c r="H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>
        <v>24209</v>
      </c>
      <c r="B949" s="4" t="s">
        <v>1133</v>
      </c>
      <c r="C949" s="4" t="s">
        <v>278</v>
      </c>
      <c r="D949" s="4" t="s">
        <v>34</v>
      </c>
      <c r="E949" s="4" t="s">
        <v>10</v>
      </c>
      <c r="F949" s="4">
        <v>142</v>
      </c>
      <c r="G949" s="7">
        <v>42185</v>
      </c>
      <c r="H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>
        <v>24210</v>
      </c>
      <c r="B950" s="4" t="s">
        <v>1134</v>
      </c>
      <c r="C950" s="4" t="s">
        <v>176</v>
      </c>
      <c r="D950" s="4" t="s">
        <v>58</v>
      </c>
      <c r="E950" s="4" t="s">
        <v>17</v>
      </c>
      <c r="F950" s="4">
        <v>94</v>
      </c>
      <c r="G950" s="7">
        <v>42166</v>
      </c>
      <c r="H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>
        <v>24211</v>
      </c>
      <c r="B951" s="4" t="s">
        <v>1135</v>
      </c>
      <c r="C951" s="4" t="s">
        <v>28</v>
      </c>
      <c r="D951" s="4" t="s">
        <v>26</v>
      </c>
      <c r="E951" s="4" t="s">
        <v>17</v>
      </c>
      <c r="F951" s="4">
        <v>129</v>
      </c>
      <c r="G951" s="7">
        <v>42189</v>
      </c>
      <c r="H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>
        <v>24212</v>
      </c>
      <c r="B952" s="4" t="s">
        <v>1136</v>
      </c>
      <c r="C952" s="4" t="s">
        <v>40</v>
      </c>
      <c r="D952" s="4" t="s">
        <v>58</v>
      </c>
      <c r="E952" s="4" t="s">
        <v>10</v>
      </c>
      <c r="F952" s="4">
        <v>15</v>
      </c>
      <c r="G952" s="7">
        <v>42084</v>
      </c>
      <c r="H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>
        <v>24213</v>
      </c>
      <c r="B953" s="4" t="s">
        <v>1137</v>
      </c>
      <c r="C953" s="4" t="s">
        <v>208</v>
      </c>
      <c r="D953" s="4" t="s">
        <v>20</v>
      </c>
      <c r="E953" s="4" t="s">
        <v>10</v>
      </c>
      <c r="F953" s="4">
        <v>155</v>
      </c>
      <c r="G953" s="7">
        <v>42137</v>
      </c>
      <c r="H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>
        <v>24214</v>
      </c>
      <c r="B954" s="4" t="s">
        <v>1138</v>
      </c>
      <c r="C954" s="4" t="s">
        <v>174</v>
      </c>
      <c r="D954" s="4" t="s">
        <v>20</v>
      </c>
      <c r="E954" s="4" t="s">
        <v>10</v>
      </c>
      <c r="F954" s="4">
        <v>120</v>
      </c>
      <c r="G954" s="7">
        <v>42055</v>
      </c>
      <c r="H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>
        <v>24215</v>
      </c>
      <c r="B955" s="4" t="s">
        <v>1139</v>
      </c>
      <c r="C955" s="4" t="s">
        <v>19</v>
      </c>
      <c r="D955" s="4" t="s">
        <v>26</v>
      </c>
      <c r="E955" s="4" t="s">
        <v>59</v>
      </c>
      <c r="F955" s="4">
        <v>171</v>
      </c>
      <c r="G955" s="7">
        <v>42137</v>
      </c>
      <c r="H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>
        <v>24216</v>
      </c>
      <c r="B956" s="4" t="s">
        <v>1140</v>
      </c>
      <c r="C956" s="4" t="s">
        <v>923</v>
      </c>
      <c r="D956" s="4" t="s">
        <v>23</v>
      </c>
      <c r="E956" s="4" t="s">
        <v>59</v>
      </c>
      <c r="F956" s="4">
        <v>11</v>
      </c>
      <c r="G956" s="7">
        <v>42084</v>
      </c>
      <c r="H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>
        <v>24217</v>
      </c>
      <c r="B957" s="4" t="s">
        <v>1141</v>
      </c>
      <c r="C957" s="4" t="s">
        <v>326</v>
      </c>
      <c r="D957" s="4" t="s">
        <v>20</v>
      </c>
      <c r="E957" s="4" t="s">
        <v>17</v>
      </c>
      <c r="F957" s="4">
        <v>159</v>
      </c>
      <c r="G957" s="7">
        <v>42186</v>
      </c>
      <c r="H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>
        <v>24218</v>
      </c>
      <c r="B958" s="4" t="s">
        <v>1142</v>
      </c>
      <c r="C958" s="4" t="s">
        <v>521</v>
      </c>
      <c r="D958" s="4" t="s">
        <v>29</v>
      </c>
      <c r="E958" s="4" t="s">
        <v>10</v>
      </c>
      <c r="F958" s="4">
        <v>66</v>
      </c>
      <c r="G958" s="7">
        <v>42183</v>
      </c>
      <c r="H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>
        <v>24219</v>
      </c>
      <c r="B959" s="4" t="s">
        <v>1143</v>
      </c>
      <c r="C959" s="4" t="s">
        <v>63</v>
      </c>
      <c r="D959" s="4" t="s">
        <v>16</v>
      </c>
      <c r="E959" s="4" t="s">
        <v>17</v>
      </c>
      <c r="F959" s="4">
        <v>143</v>
      </c>
      <c r="G959" s="7">
        <v>42181</v>
      </c>
      <c r="H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>
        <v>24220</v>
      </c>
      <c r="B960" s="4" t="s">
        <v>1144</v>
      </c>
      <c r="C960" s="4" t="s">
        <v>148</v>
      </c>
      <c r="D960" s="4" t="s">
        <v>13</v>
      </c>
      <c r="E960" s="4" t="s">
        <v>17</v>
      </c>
      <c r="F960" s="4">
        <v>26</v>
      </c>
      <c r="G960" s="7">
        <v>42146</v>
      </c>
      <c r="H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>
        <v>24221</v>
      </c>
      <c r="B961" s="4" t="s">
        <v>1145</v>
      </c>
      <c r="C961" s="4" t="s">
        <v>172</v>
      </c>
      <c r="D961" s="4" t="s">
        <v>34</v>
      </c>
      <c r="E961" s="4" t="s">
        <v>10</v>
      </c>
      <c r="F961" s="4">
        <v>190</v>
      </c>
      <c r="G961" s="7">
        <v>42126</v>
      </c>
      <c r="H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>
        <v>24222</v>
      </c>
      <c r="B962" s="4" t="s">
        <v>1146</v>
      </c>
      <c r="C962" s="4" t="s">
        <v>108</v>
      </c>
      <c r="D962" s="4" t="s">
        <v>34</v>
      </c>
      <c r="E962" s="4" t="s">
        <v>10</v>
      </c>
      <c r="F962" s="4">
        <v>3</v>
      </c>
      <c r="G962" s="7">
        <v>42033</v>
      </c>
      <c r="H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>
        <v>24223</v>
      </c>
      <c r="B963" s="4" t="s">
        <v>1147</v>
      </c>
      <c r="C963" s="4" t="s">
        <v>608</v>
      </c>
      <c r="D963" s="4" t="s">
        <v>23</v>
      </c>
      <c r="E963" s="4" t="s">
        <v>17</v>
      </c>
      <c r="F963" s="4">
        <v>106</v>
      </c>
      <c r="G963" s="7">
        <v>42018</v>
      </c>
      <c r="H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>
        <v>24224</v>
      </c>
      <c r="B964" s="4" t="s">
        <v>1148</v>
      </c>
      <c r="C964" s="4" t="s">
        <v>142</v>
      </c>
      <c r="D964" s="4" t="s">
        <v>29</v>
      </c>
      <c r="E964" s="4" t="s">
        <v>10</v>
      </c>
      <c r="F964" s="4">
        <v>181</v>
      </c>
      <c r="G964" s="7">
        <v>42090</v>
      </c>
      <c r="H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>
        <v>24225</v>
      </c>
      <c r="B965" s="4" t="s">
        <v>1149</v>
      </c>
      <c r="C965" s="4" t="s">
        <v>335</v>
      </c>
      <c r="D965" s="4" t="s">
        <v>26</v>
      </c>
      <c r="E965" s="4" t="s">
        <v>17</v>
      </c>
      <c r="F965" s="4">
        <v>141</v>
      </c>
      <c r="G965" s="7">
        <v>42013</v>
      </c>
      <c r="H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>
        <v>24226</v>
      </c>
      <c r="B966" s="4" t="s">
        <v>1150</v>
      </c>
      <c r="C966" s="4" t="s">
        <v>108</v>
      </c>
      <c r="D966" s="4" t="s">
        <v>26</v>
      </c>
      <c r="E966" s="4" t="s">
        <v>10</v>
      </c>
      <c r="F966" s="4">
        <v>64</v>
      </c>
      <c r="G966" s="7">
        <v>42082</v>
      </c>
      <c r="H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>
        <v>24227</v>
      </c>
      <c r="B967" s="4" t="s">
        <v>1151</v>
      </c>
      <c r="C967" s="4" t="s">
        <v>164</v>
      </c>
      <c r="D967" s="4" t="s">
        <v>16</v>
      </c>
      <c r="E967" s="4" t="s">
        <v>17</v>
      </c>
      <c r="F967" s="4">
        <v>204</v>
      </c>
      <c r="G967" s="7">
        <v>42203</v>
      </c>
      <c r="H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>
        <v>24228</v>
      </c>
      <c r="B968" s="4" t="s">
        <v>1152</v>
      </c>
      <c r="C968" s="4" t="s">
        <v>110</v>
      </c>
      <c r="D968" s="4" t="s">
        <v>23</v>
      </c>
      <c r="E968" s="4" t="s">
        <v>10</v>
      </c>
      <c r="F968" s="4">
        <v>1</v>
      </c>
      <c r="G968" s="7">
        <v>42146</v>
      </c>
      <c r="H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>
        <v>24229</v>
      </c>
      <c r="B969" s="4" t="s">
        <v>1153</v>
      </c>
      <c r="C969" s="4" t="s">
        <v>8</v>
      </c>
      <c r="D969" s="4" t="s">
        <v>29</v>
      </c>
      <c r="E969" s="4" t="s">
        <v>10</v>
      </c>
      <c r="F969" s="4">
        <v>21</v>
      </c>
      <c r="G969" s="7">
        <v>42124</v>
      </c>
      <c r="H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>
        <v>24230</v>
      </c>
      <c r="B970" s="4" t="s">
        <v>1154</v>
      </c>
      <c r="C970" s="4" t="s">
        <v>166</v>
      </c>
      <c r="D970" s="4" t="s">
        <v>9</v>
      </c>
      <c r="E970" s="4" t="s">
        <v>10</v>
      </c>
      <c r="F970" s="4">
        <v>84</v>
      </c>
      <c r="G970" s="7">
        <v>42215</v>
      </c>
      <c r="H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>
        <v>24231</v>
      </c>
      <c r="B971" s="4" t="s">
        <v>1155</v>
      </c>
      <c r="C971" s="4" t="s">
        <v>263</v>
      </c>
      <c r="D971" s="4" t="s">
        <v>23</v>
      </c>
      <c r="E971" s="4" t="s">
        <v>59</v>
      </c>
      <c r="F971" s="4">
        <v>33</v>
      </c>
      <c r="G971" s="7">
        <v>42243</v>
      </c>
      <c r="H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>
        <v>24232</v>
      </c>
      <c r="B972" s="4" t="s">
        <v>1156</v>
      </c>
      <c r="C972" s="4" t="s">
        <v>129</v>
      </c>
      <c r="D972" s="4" t="s">
        <v>29</v>
      </c>
      <c r="E972" s="4" t="s">
        <v>17</v>
      </c>
      <c r="F972" s="4">
        <v>177</v>
      </c>
      <c r="G972" s="7">
        <v>42128</v>
      </c>
      <c r="H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>
        <v>24233</v>
      </c>
      <c r="B973" s="4" t="s">
        <v>1157</v>
      </c>
      <c r="C973" s="4" t="s">
        <v>25</v>
      </c>
      <c r="D973" s="4" t="s">
        <v>58</v>
      </c>
      <c r="E973" s="4" t="s">
        <v>10</v>
      </c>
      <c r="F973" s="4">
        <v>162</v>
      </c>
      <c r="G973" s="7">
        <v>42074</v>
      </c>
      <c r="H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>
        <v>24234</v>
      </c>
      <c r="B974" s="4" t="s">
        <v>1158</v>
      </c>
      <c r="C974" s="4" t="s">
        <v>129</v>
      </c>
      <c r="D974" s="4" t="s">
        <v>34</v>
      </c>
      <c r="E974" s="4" t="s">
        <v>10</v>
      </c>
      <c r="F974" s="4">
        <v>204</v>
      </c>
      <c r="G974" s="7">
        <v>42235</v>
      </c>
      <c r="H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>
        <v>24235</v>
      </c>
      <c r="B975" s="4" t="s">
        <v>1159</v>
      </c>
      <c r="C975" s="4" t="s">
        <v>119</v>
      </c>
      <c r="D975" s="4" t="s">
        <v>34</v>
      </c>
      <c r="E975" s="4" t="s">
        <v>10</v>
      </c>
      <c r="F975" s="4">
        <v>138</v>
      </c>
      <c r="G975" s="7">
        <v>42196</v>
      </c>
      <c r="H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>
        <v>24236</v>
      </c>
      <c r="B976" s="4" t="s">
        <v>1160</v>
      </c>
      <c r="C976" s="4" t="s">
        <v>283</v>
      </c>
      <c r="D976" s="4" t="s">
        <v>16</v>
      </c>
      <c r="E976" s="4" t="s">
        <v>17</v>
      </c>
      <c r="F976" s="4">
        <v>195</v>
      </c>
      <c r="G976" s="7">
        <v>42056</v>
      </c>
      <c r="H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>
        <v>24237</v>
      </c>
      <c r="B977" s="4" t="s">
        <v>1161</v>
      </c>
      <c r="C977" s="4" t="s">
        <v>538</v>
      </c>
      <c r="D977" s="4" t="s">
        <v>26</v>
      </c>
      <c r="E977" s="4" t="s">
        <v>59</v>
      </c>
      <c r="F977" s="4">
        <v>110</v>
      </c>
      <c r="G977" s="7">
        <v>42211</v>
      </c>
      <c r="H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>
        <v>24238</v>
      </c>
      <c r="B978" s="4" t="s">
        <v>1162</v>
      </c>
      <c r="C978" s="4" t="s">
        <v>172</v>
      </c>
      <c r="D978" s="4" t="s">
        <v>13</v>
      </c>
      <c r="E978" s="4" t="s">
        <v>17</v>
      </c>
      <c r="F978" s="4">
        <v>59</v>
      </c>
      <c r="G978" s="7">
        <v>42153</v>
      </c>
      <c r="H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>
        <v>24239</v>
      </c>
      <c r="B979" s="4" t="s">
        <v>1163</v>
      </c>
      <c r="C979" s="4" t="s">
        <v>104</v>
      </c>
      <c r="D979" s="4" t="s">
        <v>23</v>
      </c>
      <c r="E979" s="4" t="s">
        <v>17</v>
      </c>
      <c r="F979" s="4">
        <v>201</v>
      </c>
      <c r="G979" s="7">
        <v>42158</v>
      </c>
      <c r="H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>
        <v>24240</v>
      </c>
      <c r="B980" s="4" t="s">
        <v>1164</v>
      </c>
      <c r="C980" s="4" t="s">
        <v>326</v>
      </c>
      <c r="D980" s="4" t="s">
        <v>23</v>
      </c>
      <c r="E980" s="4" t="s">
        <v>59</v>
      </c>
      <c r="F980" s="4">
        <v>44</v>
      </c>
      <c r="G980" s="7">
        <v>42128</v>
      </c>
      <c r="H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>
        <v>24241</v>
      </c>
      <c r="B981" s="4" t="s">
        <v>1165</v>
      </c>
      <c r="C981" s="4" t="s">
        <v>557</v>
      </c>
      <c r="D981" s="4" t="s">
        <v>23</v>
      </c>
      <c r="E981" s="4" t="s">
        <v>17</v>
      </c>
      <c r="F981" s="4">
        <v>36</v>
      </c>
      <c r="G981" s="7">
        <v>42221</v>
      </c>
      <c r="H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>
        <v>24242</v>
      </c>
      <c r="B982" s="4" t="s">
        <v>1166</v>
      </c>
      <c r="C982" s="4" t="s">
        <v>50</v>
      </c>
      <c r="D982" s="4" t="s">
        <v>29</v>
      </c>
      <c r="E982" s="4" t="s">
        <v>17</v>
      </c>
      <c r="F982" s="4">
        <v>11</v>
      </c>
      <c r="G982" s="7">
        <v>42120</v>
      </c>
      <c r="H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>
        <v>24243</v>
      </c>
      <c r="B983" s="4" t="s">
        <v>1167</v>
      </c>
      <c r="C983" s="4" t="s">
        <v>90</v>
      </c>
      <c r="D983" s="4" t="s">
        <v>23</v>
      </c>
      <c r="E983" s="4" t="s">
        <v>17</v>
      </c>
      <c r="F983" s="4">
        <v>88</v>
      </c>
      <c r="G983" s="7">
        <v>42039</v>
      </c>
      <c r="H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>
        <v>24244</v>
      </c>
      <c r="B984" s="4" t="s">
        <v>1168</v>
      </c>
      <c r="C984" s="4" t="s">
        <v>278</v>
      </c>
      <c r="D984" s="4" t="s">
        <v>23</v>
      </c>
      <c r="E984" s="4" t="s">
        <v>10</v>
      </c>
      <c r="F984" s="4">
        <v>16</v>
      </c>
      <c r="G984" s="7">
        <v>42245</v>
      </c>
      <c r="H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>
        <v>24245</v>
      </c>
      <c r="B985" s="4" t="s">
        <v>1169</v>
      </c>
      <c r="C985" s="4" t="s">
        <v>923</v>
      </c>
      <c r="D985" s="4" t="s">
        <v>58</v>
      </c>
      <c r="E985" s="4" t="s">
        <v>17</v>
      </c>
      <c r="F985" s="4">
        <v>138</v>
      </c>
      <c r="G985" s="7">
        <v>42192</v>
      </c>
      <c r="H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>
        <v>24246</v>
      </c>
      <c r="B986" s="4" t="s">
        <v>1170</v>
      </c>
      <c r="C986" s="4" t="s">
        <v>1171</v>
      </c>
      <c r="D986" s="4" t="s">
        <v>20</v>
      </c>
      <c r="E986" s="4" t="s">
        <v>17</v>
      </c>
      <c r="F986" s="4">
        <v>92</v>
      </c>
      <c r="G986" s="7">
        <v>42166</v>
      </c>
      <c r="H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>
        <v>24247</v>
      </c>
      <c r="B987" s="4" t="s">
        <v>1172</v>
      </c>
      <c r="C987" s="4" t="s">
        <v>174</v>
      </c>
      <c r="D987" s="4" t="s">
        <v>23</v>
      </c>
      <c r="E987" s="4" t="s">
        <v>17</v>
      </c>
      <c r="F987" s="4">
        <v>74</v>
      </c>
      <c r="G987" s="7">
        <v>42214</v>
      </c>
      <c r="H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>
        <v>24248</v>
      </c>
      <c r="B988" s="4" t="s">
        <v>1173</v>
      </c>
      <c r="C988" s="4" t="s">
        <v>535</v>
      </c>
      <c r="D988" s="4" t="s">
        <v>9</v>
      </c>
      <c r="E988" s="4" t="s">
        <v>17</v>
      </c>
      <c r="F988" s="4">
        <v>144</v>
      </c>
      <c r="G988" s="7">
        <v>42153</v>
      </c>
      <c r="H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>
        <v>24249</v>
      </c>
      <c r="B989" s="4" t="s">
        <v>1174</v>
      </c>
      <c r="C989" s="4" t="s">
        <v>288</v>
      </c>
      <c r="D989" s="4" t="s">
        <v>9</v>
      </c>
      <c r="E989" s="4" t="s">
        <v>59</v>
      </c>
      <c r="F989" s="4">
        <v>151</v>
      </c>
      <c r="G989" s="7">
        <v>42071</v>
      </c>
      <c r="H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>
        <v>24250</v>
      </c>
      <c r="B990" s="4" t="s">
        <v>1175</v>
      </c>
      <c r="C990" s="4" t="s">
        <v>172</v>
      </c>
      <c r="D990" s="4" t="s">
        <v>58</v>
      </c>
      <c r="E990" s="4" t="s">
        <v>17</v>
      </c>
      <c r="F990" s="4">
        <v>11</v>
      </c>
      <c r="G990" s="7">
        <v>42071</v>
      </c>
      <c r="H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>
        <v>24251</v>
      </c>
      <c r="B991" s="4" t="s">
        <v>382</v>
      </c>
      <c r="C991" s="4" t="s">
        <v>1171</v>
      </c>
      <c r="D991" s="4" t="s">
        <v>46</v>
      </c>
      <c r="E991" s="4" t="s">
        <v>10</v>
      </c>
      <c r="F991" s="4">
        <v>15</v>
      </c>
      <c r="G991" s="7">
        <v>42121</v>
      </c>
      <c r="H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>
        <v>24252</v>
      </c>
      <c r="B992" s="4" t="s">
        <v>1176</v>
      </c>
      <c r="C992" s="4" t="s">
        <v>267</v>
      </c>
      <c r="D992" s="4" t="s">
        <v>23</v>
      </c>
      <c r="E992" s="4" t="s">
        <v>17</v>
      </c>
      <c r="F992" s="4">
        <v>170</v>
      </c>
      <c r="G992" s="7">
        <v>42159</v>
      </c>
      <c r="H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>
        <v>24253</v>
      </c>
      <c r="B993" s="4" t="s">
        <v>1177</v>
      </c>
      <c r="C993" s="4" t="s">
        <v>203</v>
      </c>
      <c r="D993" s="4" t="s">
        <v>29</v>
      </c>
      <c r="E993" s="4" t="s">
        <v>17</v>
      </c>
      <c r="F993" s="4">
        <v>77</v>
      </c>
      <c r="G993" s="7">
        <v>42132</v>
      </c>
      <c r="H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>
        <v>24254</v>
      </c>
      <c r="B994" s="4" t="s">
        <v>1178</v>
      </c>
      <c r="C994" s="4" t="s">
        <v>403</v>
      </c>
      <c r="D994" s="4" t="s">
        <v>16</v>
      </c>
      <c r="E994" s="4" t="s">
        <v>17</v>
      </c>
      <c r="F994" s="4">
        <v>6</v>
      </c>
      <c r="G994" s="7">
        <v>42192</v>
      </c>
      <c r="H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>
        <v>24255</v>
      </c>
      <c r="B995" s="4" t="s">
        <v>1179</v>
      </c>
      <c r="C995" s="4" t="s">
        <v>551</v>
      </c>
      <c r="D995" s="4" t="s">
        <v>29</v>
      </c>
      <c r="E995" s="4" t="s">
        <v>10</v>
      </c>
      <c r="F995" s="4">
        <v>189</v>
      </c>
      <c r="G995" s="7">
        <v>42012</v>
      </c>
      <c r="H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>
        <v>24256</v>
      </c>
      <c r="B996" s="4" t="s">
        <v>1180</v>
      </c>
      <c r="C996" s="4" t="s">
        <v>220</v>
      </c>
      <c r="D996" s="4" t="s">
        <v>46</v>
      </c>
      <c r="E996" s="4" t="s">
        <v>17</v>
      </c>
      <c r="F996" s="4">
        <v>43</v>
      </c>
      <c r="G996" s="7">
        <v>42131</v>
      </c>
      <c r="H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>
        <v>24257</v>
      </c>
      <c r="B997" s="4" t="s">
        <v>1181</v>
      </c>
      <c r="C997" s="4" t="s">
        <v>323</v>
      </c>
      <c r="D997" s="4" t="s">
        <v>16</v>
      </c>
      <c r="E997" s="4" t="s">
        <v>17</v>
      </c>
      <c r="F997" s="4">
        <v>17</v>
      </c>
      <c r="G997" s="7">
        <v>42038</v>
      </c>
      <c r="H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>
        <v>24258</v>
      </c>
      <c r="B998" s="4" t="s">
        <v>1182</v>
      </c>
      <c r="C998" s="4" t="s">
        <v>73</v>
      </c>
      <c r="D998" s="4" t="s">
        <v>34</v>
      </c>
      <c r="E998" s="4" t="s">
        <v>17</v>
      </c>
      <c r="F998" s="4">
        <v>80</v>
      </c>
      <c r="G998" s="7">
        <v>42016</v>
      </c>
      <c r="H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>
        <v>24259</v>
      </c>
      <c r="B999" s="4" t="s">
        <v>1183</v>
      </c>
      <c r="C999" s="4" t="s">
        <v>100</v>
      </c>
      <c r="D999" s="4" t="s">
        <v>46</v>
      </c>
      <c r="E999" s="4" t="s">
        <v>10</v>
      </c>
      <c r="F999" s="4">
        <v>138</v>
      </c>
      <c r="G999" s="7">
        <v>42225</v>
      </c>
      <c r="H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C1" sqref="C1:D1"/>
    </sheetView>
  </sheetViews>
  <sheetFormatPr baseColWidth="10" defaultColWidth="17.33203125" defaultRowHeight="15" customHeight="1" x14ac:dyDescent="0.25"/>
  <cols>
    <col min="1" max="1" width="14.109375" customWidth="1"/>
    <col min="2" max="2" width="27.6640625" customWidth="1"/>
    <col min="3" max="3" width="13.88671875" customWidth="1"/>
    <col min="4" max="4" width="14.109375" customWidth="1"/>
    <col min="5" max="14" width="9.109375" customWidth="1"/>
    <col min="15" max="26" width="10" customWidth="1"/>
  </cols>
  <sheetData>
    <row r="1" spans="1:26" ht="12.75" customHeight="1" x14ac:dyDescent="0.25">
      <c r="A1" s="1" t="s">
        <v>3</v>
      </c>
      <c r="B1" s="1" t="s">
        <v>1184</v>
      </c>
      <c r="C1" s="1" t="s">
        <v>1185</v>
      </c>
      <c r="D1" s="1" t="s">
        <v>1186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 t="s">
        <v>26</v>
      </c>
      <c r="B2" s="4" t="s">
        <v>1187</v>
      </c>
      <c r="C2" s="5">
        <v>1.5</v>
      </c>
      <c r="D2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 t="s">
        <v>23</v>
      </c>
      <c r="B3" s="4" t="s">
        <v>1188</v>
      </c>
      <c r="C3" s="5">
        <v>2</v>
      </c>
      <c r="D3" s="5">
        <v>3.99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4" t="s">
        <v>23</v>
      </c>
      <c r="B4" s="4" t="s">
        <v>1189</v>
      </c>
      <c r="C4" s="5">
        <v>2.2999999999999998</v>
      </c>
      <c r="D4" s="5">
        <v>4.5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4" t="s">
        <v>46</v>
      </c>
      <c r="B5" s="4" t="s">
        <v>1190</v>
      </c>
      <c r="C5" s="5">
        <v>3.5</v>
      </c>
      <c r="D5" s="5">
        <v>6.5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5">
      <c r="A6" s="4" t="s">
        <v>29</v>
      </c>
      <c r="B6" s="4" t="s">
        <v>1191</v>
      </c>
      <c r="C6" s="5">
        <v>3</v>
      </c>
      <c r="D6" s="5">
        <v>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4" t="s">
        <v>13</v>
      </c>
      <c r="B7" s="4" t="s">
        <v>1192</v>
      </c>
      <c r="C7" s="5">
        <v>3.5</v>
      </c>
      <c r="D7" s="5">
        <v>6.5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4" t="s">
        <v>16</v>
      </c>
      <c r="B8" s="4" t="s">
        <v>1193</v>
      </c>
      <c r="C8" s="5">
        <v>6</v>
      </c>
      <c r="D8" s="5">
        <v>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4" t="s">
        <v>9</v>
      </c>
      <c r="B9" s="4" t="s">
        <v>1194</v>
      </c>
      <c r="C9" s="5">
        <v>1</v>
      </c>
      <c r="D9" s="5">
        <v>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4" t="s">
        <v>58</v>
      </c>
      <c r="B10" s="4" t="s">
        <v>1195</v>
      </c>
      <c r="C10" s="5">
        <v>2.5</v>
      </c>
      <c r="D10" s="5">
        <v>4.5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4" t="s">
        <v>34</v>
      </c>
      <c r="B11" s="4" t="s">
        <v>1196</v>
      </c>
      <c r="C11" s="5">
        <v>3.5</v>
      </c>
      <c r="D11" s="5">
        <v>6.99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4" t="s">
        <v>20</v>
      </c>
      <c r="B12" s="4" t="s">
        <v>1197</v>
      </c>
      <c r="C12" s="5">
        <v>5</v>
      </c>
      <c r="D12" s="5">
        <v>9.99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5">
      <c r="A13" s="4" t="s">
        <v>51</v>
      </c>
      <c r="B13" s="4" t="s">
        <v>1198</v>
      </c>
      <c r="C13" s="5">
        <v>8</v>
      </c>
      <c r="D13" s="5">
        <v>14.5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7.33203125" defaultRowHeight="15" customHeight="1" x14ac:dyDescent="0.25"/>
  <cols>
    <col min="1" max="1" width="41.109375" customWidth="1"/>
    <col min="2" max="2" width="35.88671875" customWidth="1"/>
    <col min="3" max="12" width="9.109375" customWidth="1"/>
    <col min="13" max="26" width="10" customWidth="1"/>
  </cols>
  <sheetData>
    <row r="1" spans="1:26" ht="12.75" customHeight="1" x14ac:dyDescent="0.25">
      <c r="A1" s="1" t="s">
        <v>1199</v>
      </c>
      <c r="B1" s="2" t="s">
        <v>1200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 t="s">
        <v>481</v>
      </c>
      <c r="B2" s="6" t="s">
        <v>1201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 t="s">
        <v>79</v>
      </c>
      <c r="B3" s="6" t="s">
        <v>1202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4" t="s">
        <v>148</v>
      </c>
      <c r="B4" s="6" t="s">
        <v>1201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4" t="s">
        <v>290</v>
      </c>
      <c r="B5" s="6" t="s">
        <v>1202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5">
      <c r="A6" s="4" t="s">
        <v>83</v>
      </c>
      <c r="B6" s="4" t="s">
        <v>1203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4" t="s">
        <v>295</v>
      </c>
      <c r="B7" s="6" t="s">
        <v>1204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4" t="s">
        <v>252</v>
      </c>
      <c r="B8" s="6" t="s">
        <v>1202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4" t="s">
        <v>188</v>
      </c>
      <c r="B9" s="6" t="s">
        <v>1205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4" t="s">
        <v>456</v>
      </c>
      <c r="B10" s="6" t="s">
        <v>1202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4" t="s">
        <v>172</v>
      </c>
      <c r="B11" s="6" t="s">
        <v>1201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4" t="s">
        <v>611</v>
      </c>
      <c r="B12" s="6" t="s">
        <v>1201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5">
      <c r="A13" s="4" t="s">
        <v>166</v>
      </c>
      <c r="B13" s="6" t="s">
        <v>1206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5">
      <c r="A14" s="4" t="s">
        <v>412</v>
      </c>
      <c r="B14" s="6" t="s">
        <v>1204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4" t="s">
        <v>429</v>
      </c>
      <c r="B15" s="6" t="s">
        <v>1202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4" t="s">
        <v>557</v>
      </c>
      <c r="B16" s="6" t="s">
        <v>1202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4" t="s">
        <v>403</v>
      </c>
      <c r="B17" s="6" t="s">
        <v>1204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4" t="s">
        <v>341</v>
      </c>
      <c r="B18" s="4" t="s">
        <v>1203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4" t="s">
        <v>357</v>
      </c>
      <c r="B19" s="6" t="s">
        <v>1206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4" t="s">
        <v>352</v>
      </c>
      <c r="B20" s="6" t="s">
        <v>1202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4" t="s">
        <v>57</v>
      </c>
      <c r="B21" s="4" t="s">
        <v>1203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4" t="s">
        <v>380</v>
      </c>
      <c r="B22" s="6" t="s">
        <v>1206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4" t="s">
        <v>1038</v>
      </c>
      <c r="B23" s="6" t="s">
        <v>1202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4" t="s">
        <v>55</v>
      </c>
      <c r="B24" s="4" t="s">
        <v>1203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4" t="s">
        <v>178</v>
      </c>
      <c r="B25" s="4" t="s">
        <v>1203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4" t="s">
        <v>842</v>
      </c>
      <c r="B26" s="6" t="s">
        <v>1206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4" t="s">
        <v>190</v>
      </c>
      <c r="B27" s="4" t="s">
        <v>1203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4" t="s">
        <v>112</v>
      </c>
      <c r="B28" s="6" t="s">
        <v>1207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4" t="s">
        <v>212</v>
      </c>
      <c r="B29" s="4" t="s">
        <v>1203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4" t="s">
        <v>401</v>
      </c>
      <c r="B30" s="4" t="s">
        <v>1203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4" t="s">
        <v>140</v>
      </c>
      <c r="B31" s="4" t="s">
        <v>1203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 t="s">
        <v>100</v>
      </c>
      <c r="B32" s="6" t="s">
        <v>1206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 t="s">
        <v>8</v>
      </c>
      <c r="B33" s="4" t="s">
        <v>1203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 t="s">
        <v>259</v>
      </c>
      <c r="B34" s="6" t="s">
        <v>1204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 t="s">
        <v>1208</v>
      </c>
      <c r="B35" s="4" t="s">
        <v>1203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 t="s">
        <v>127</v>
      </c>
      <c r="B36" s="6" t="s">
        <v>1202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 t="s">
        <v>200</v>
      </c>
      <c r="B37" s="6" t="s">
        <v>1204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 t="s">
        <v>608</v>
      </c>
      <c r="B38" s="6" t="s">
        <v>1202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 t="s">
        <v>288</v>
      </c>
      <c r="B39" s="6" t="s">
        <v>1202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 t="s">
        <v>1209</v>
      </c>
      <c r="B40" s="4" t="s">
        <v>1203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 t="s">
        <v>88</v>
      </c>
      <c r="B41" s="6" t="s">
        <v>1202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 t="s">
        <v>345</v>
      </c>
      <c r="B42" s="4" t="s">
        <v>1203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 t="s">
        <v>1210</v>
      </c>
      <c r="B43" s="6" t="s">
        <v>1204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 t="s">
        <v>106</v>
      </c>
      <c r="B44" s="6" t="s">
        <v>1204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 t="s">
        <v>606</v>
      </c>
      <c r="B45" s="6" t="s">
        <v>1205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 t="s">
        <v>335</v>
      </c>
      <c r="B46" s="6" t="s">
        <v>1201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 t="s">
        <v>161</v>
      </c>
      <c r="B47" s="6" t="s">
        <v>1204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 t="s">
        <v>926</v>
      </c>
      <c r="B48" s="4" t="s">
        <v>1203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 t="s">
        <v>515</v>
      </c>
      <c r="B49" s="4" t="s">
        <v>1203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 t="s">
        <v>408</v>
      </c>
      <c r="B50" s="6" t="s">
        <v>1202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 t="s">
        <v>97</v>
      </c>
      <c r="B51" s="4" t="s">
        <v>1203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 t="s">
        <v>1211</v>
      </c>
      <c r="B52" s="6" t="s">
        <v>1205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 t="s">
        <v>81</v>
      </c>
      <c r="B53" s="6" t="s">
        <v>1205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 t="s">
        <v>217</v>
      </c>
      <c r="B54" s="6" t="s">
        <v>1202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 t="s">
        <v>142</v>
      </c>
      <c r="B55" s="6" t="s">
        <v>1202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 t="s">
        <v>22</v>
      </c>
      <c r="B56" s="4" t="s">
        <v>1203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 t="s">
        <v>176</v>
      </c>
      <c r="B57" s="6" t="s">
        <v>1202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 t="s">
        <v>662</v>
      </c>
      <c r="B58" s="6" t="s">
        <v>1202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 t="s">
        <v>125</v>
      </c>
      <c r="B59" s="4" t="s">
        <v>1203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 t="s">
        <v>923</v>
      </c>
      <c r="B60" s="6" t="s">
        <v>1202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 t="s">
        <v>583</v>
      </c>
      <c r="B61" s="6" t="s">
        <v>1207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 t="s">
        <v>28</v>
      </c>
      <c r="B62" s="6" t="s">
        <v>1204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 t="s">
        <v>465</v>
      </c>
      <c r="B63" s="6" t="s">
        <v>1204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 t="s">
        <v>157</v>
      </c>
      <c r="B64" s="4" t="s">
        <v>1203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 t="s">
        <v>406</v>
      </c>
      <c r="B65" s="4" t="s">
        <v>1203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 t="s">
        <v>129</v>
      </c>
      <c r="B66" s="6" t="s">
        <v>1204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 t="s">
        <v>263</v>
      </c>
      <c r="B67" s="6" t="s">
        <v>1204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 t="s">
        <v>90</v>
      </c>
      <c r="B68" s="6" t="s">
        <v>1202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 t="s">
        <v>174</v>
      </c>
      <c r="B69" s="6" t="s">
        <v>1202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 t="s">
        <v>123</v>
      </c>
      <c r="B70" s="6" t="s">
        <v>1206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 t="s">
        <v>136</v>
      </c>
      <c r="B71" s="6" t="s">
        <v>1206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 t="s">
        <v>938</v>
      </c>
      <c r="B72" s="6" t="s">
        <v>1201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 t="s">
        <v>283</v>
      </c>
      <c r="B73" s="6" t="s">
        <v>1201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 t="s">
        <v>323</v>
      </c>
      <c r="B74" s="6" t="s">
        <v>1202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 t="s">
        <v>236</v>
      </c>
      <c r="B75" s="6" t="s">
        <v>1201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 t="s">
        <v>230</v>
      </c>
      <c r="B76" s="6" t="s">
        <v>1202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 t="s">
        <v>710</v>
      </c>
      <c r="B77" s="6" t="s">
        <v>1204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 t="s">
        <v>326</v>
      </c>
      <c r="B78" s="6" t="s">
        <v>1206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 t="s">
        <v>349</v>
      </c>
      <c r="B79" s="6" t="s">
        <v>1201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 t="s">
        <v>168</v>
      </c>
      <c r="B80" s="6" t="s">
        <v>1206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 t="s">
        <v>1091</v>
      </c>
      <c r="B81" s="4" t="s">
        <v>1203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 t="s">
        <v>71</v>
      </c>
      <c r="B82" s="6" t="s">
        <v>1205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 t="s">
        <v>1212</v>
      </c>
      <c r="B83" s="6" t="s">
        <v>1202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 t="s">
        <v>369</v>
      </c>
      <c r="B84" s="6" t="s">
        <v>1201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 t="s">
        <v>33</v>
      </c>
      <c r="B85" s="6" t="s">
        <v>1206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 t="s">
        <v>1213</v>
      </c>
      <c r="B86" s="6" t="s">
        <v>1206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 t="s">
        <v>1171</v>
      </c>
      <c r="B87" s="6" t="s">
        <v>1202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 t="s">
        <v>518</v>
      </c>
      <c r="B88" s="6" t="s">
        <v>1201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 t="s">
        <v>547</v>
      </c>
      <c r="B89" s="4" t="s">
        <v>1203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 t="s">
        <v>61</v>
      </c>
      <c r="B90" s="4" t="s">
        <v>1203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 t="s">
        <v>507</v>
      </c>
      <c r="B91" s="6" t="s">
        <v>1201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 t="s">
        <v>309</v>
      </c>
      <c r="B92" s="6" t="s">
        <v>1202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 t="s">
        <v>990</v>
      </c>
      <c r="B93" s="6" t="s">
        <v>1202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 t="s">
        <v>228</v>
      </c>
      <c r="B94" s="6" t="s">
        <v>1202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 t="s">
        <v>31</v>
      </c>
      <c r="B95" s="6" t="s">
        <v>1202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 t="s">
        <v>67</v>
      </c>
      <c r="B96" s="4" t="s">
        <v>1203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 t="s">
        <v>50</v>
      </c>
      <c r="B97" s="4" t="s">
        <v>1203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 t="s">
        <v>131</v>
      </c>
      <c r="B98" s="6" t="s">
        <v>1206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 t="s">
        <v>579</v>
      </c>
      <c r="B99" s="6" t="s">
        <v>1206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 t="s">
        <v>535</v>
      </c>
      <c r="B100" s="4" t="s">
        <v>1203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 t="s">
        <v>121</v>
      </c>
      <c r="B101" s="6" t="s">
        <v>1202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 t="s">
        <v>255</v>
      </c>
      <c r="B102" s="6" t="s">
        <v>1205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 t="s">
        <v>193</v>
      </c>
      <c r="B103" s="4" t="s">
        <v>1203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 t="s">
        <v>114</v>
      </c>
      <c r="B104" s="4" t="s">
        <v>1203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 t="s">
        <v>384</v>
      </c>
      <c r="B105" s="6" t="s">
        <v>1207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 t="s">
        <v>53</v>
      </c>
      <c r="B106" s="6" t="s">
        <v>1202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 t="s">
        <v>225</v>
      </c>
      <c r="B107" s="6" t="s">
        <v>1202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 t="s">
        <v>75</v>
      </c>
      <c r="B108" s="6" t="s">
        <v>1206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 t="s">
        <v>73</v>
      </c>
      <c r="B109" s="6" t="s">
        <v>1202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 t="s">
        <v>155</v>
      </c>
      <c r="B110" s="6" t="s">
        <v>1201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 t="s">
        <v>250</v>
      </c>
      <c r="B111" s="4" t="s">
        <v>1203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 t="s">
        <v>442</v>
      </c>
      <c r="B112" s="6" t="s">
        <v>1206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 t="s">
        <v>560</v>
      </c>
      <c r="B113" s="4" t="s">
        <v>1203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 t="s">
        <v>278</v>
      </c>
      <c r="B114" s="6" t="s">
        <v>1205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 t="s">
        <v>45</v>
      </c>
      <c r="B115" s="6" t="s">
        <v>1206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 t="s">
        <v>40</v>
      </c>
      <c r="B116" s="6" t="s">
        <v>1202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 t="s">
        <v>538</v>
      </c>
      <c r="B117" s="6" t="s">
        <v>1205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 t="s">
        <v>892</v>
      </c>
      <c r="B118" s="6" t="s">
        <v>1204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 t="s">
        <v>94</v>
      </c>
      <c r="B119" s="4" t="s">
        <v>1203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 t="s">
        <v>152</v>
      </c>
      <c r="B120" s="4" t="s">
        <v>1203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 t="s">
        <v>566</v>
      </c>
      <c r="B121" s="6" t="s">
        <v>1206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 t="s">
        <v>244</v>
      </c>
      <c r="B122" s="6" t="s">
        <v>1202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 t="s">
        <v>48</v>
      </c>
      <c r="B123" s="6" t="s">
        <v>1201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 t="s">
        <v>133</v>
      </c>
      <c r="B124" s="6" t="s">
        <v>1201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 t="s">
        <v>65</v>
      </c>
      <c r="B125" s="6" t="s">
        <v>1205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 t="s">
        <v>12</v>
      </c>
      <c r="B126" s="6" t="s">
        <v>1204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 t="s">
        <v>390</v>
      </c>
      <c r="B127" s="6" t="s">
        <v>1205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 t="s">
        <v>104</v>
      </c>
      <c r="B128" s="6" t="s">
        <v>1206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 t="s">
        <v>181</v>
      </c>
      <c r="B129" s="6" t="s">
        <v>1202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 t="s">
        <v>164</v>
      </c>
      <c r="B130" s="6" t="s">
        <v>1202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 t="s">
        <v>331</v>
      </c>
      <c r="B131" s="6" t="s">
        <v>1201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 t="s">
        <v>36</v>
      </c>
      <c r="B132" s="4" t="s">
        <v>1203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 t="s">
        <v>246</v>
      </c>
      <c r="B133" s="6" t="s">
        <v>1202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 t="s">
        <v>232</v>
      </c>
      <c r="B134" s="6" t="s">
        <v>1202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 t="s">
        <v>108</v>
      </c>
      <c r="B135" s="4" t="s">
        <v>1203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 t="s">
        <v>329</v>
      </c>
      <c r="B136" s="6" t="s">
        <v>1204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 t="s">
        <v>257</v>
      </c>
      <c r="B137" s="6" t="s">
        <v>1204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 t="s">
        <v>297</v>
      </c>
      <c r="B138" s="6" t="s">
        <v>1204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 t="s">
        <v>316</v>
      </c>
      <c r="B139" s="6" t="s">
        <v>1205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 t="s">
        <v>276</v>
      </c>
      <c r="B140" s="6" t="s">
        <v>1202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 t="s">
        <v>397</v>
      </c>
      <c r="B141" s="4" t="s">
        <v>1203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 t="s">
        <v>203</v>
      </c>
      <c r="B142" s="6" t="s">
        <v>1201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 t="s">
        <v>490</v>
      </c>
      <c r="B143" s="4" t="s">
        <v>1203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 t="s">
        <v>434</v>
      </c>
      <c r="B144" s="6" t="s">
        <v>1202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 t="s">
        <v>781</v>
      </c>
      <c r="B145" s="4" t="s">
        <v>1203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 t="s">
        <v>110</v>
      </c>
      <c r="B146" s="4" t="s">
        <v>1203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 t="s">
        <v>270</v>
      </c>
      <c r="B147" s="6" t="s">
        <v>1206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 t="s">
        <v>453</v>
      </c>
      <c r="B148" s="6" t="s">
        <v>1202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 t="s">
        <v>138</v>
      </c>
      <c r="B149" s="6" t="s">
        <v>1202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 t="s">
        <v>86</v>
      </c>
      <c r="B150" s="6" t="s">
        <v>1205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 t="s">
        <v>366</v>
      </c>
      <c r="B151" s="6" t="s">
        <v>1201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 t="s">
        <v>19</v>
      </c>
      <c r="B152" s="4" t="s">
        <v>1203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 t="s">
        <v>1214</v>
      </c>
      <c r="B153" s="6" t="s">
        <v>1206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 t="s">
        <v>1215</v>
      </c>
      <c r="B154" s="4" t="s">
        <v>1203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 t="s">
        <v>285</v>
      </c>
      <c r="B155" s="6" t="s">
        <v>1202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 t="s">
        <v>333</v>
      </c>
      <c r="B156" s="6" t="s">
        <v>1206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 t="s">
        <v>119</v>
      </c>
      <c r="B157" s="4" t="s">
        <v>1203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 t="s">
        <v>521</v>
      </c>
      <c r="B158" s="4" t="s">
        <v>1203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 t="s">
        <v>444</v>
      </c>
      <c r="B159" s="6" t="s">
        <v>1202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 t="s">
        <v>248</v>
      </c>
      <c r="B160" s="6" t="s">
        <v>1202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 t="s">
        <v>25</v>
      </c>
      <c r="B161" s="6" t="s">
        <v>1201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 t="s">
        <v>422</v>
      </c>
      <c r="B162" s="6" t="s">
        <v>1206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 t="s">
        <v>551</v>
      </c>
      <c r="B163" s="6" t="s">
        <v>1206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 t="s">
        <v>15</v>
      </c>
      <c r="B164" s="4" t="s">
        <v>1203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 t="s">
        <v>337</v>
      </c>
      <c r="B165" s="6" t="s">
        <v>1206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 t="s">
        <v>1216</v>
      </c>
      <c r="B166" s="6" t="s">
        <v>1204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 t="s">
        <v>472</v>
      </c>
      <c r="B167" s="4" t="s">
        <v>1203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 t="s">
        <v>267</v>
      </c>
      <c r="B168" s="4" t="s">
        <v>1203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 t="s">
        <v>220</v>
      </c>
      <c r="B169" s="6" t="s">
        <v>1205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 t="s">
        <v>208</v>
      </c>
      <c r="B170" s="6" t="s">
        <v>1204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 t="s">
        <v>77</v>
      </c>
      <c r="B171" s="6" t="s">
        <v>1201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 t="s">
        <v>198</v>
      </c>
      <c r="B172" s="6" t="s">
        <v>1201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 t="s">
        <v>38</v>
      </c>
      <c r="B173" s="6" t="s">
        <v>1206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 t="s">
        <v>43</v>
      </c>
      <c r="B174" s="6" t="s">
        <v>1205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 t="s">
        <v>694</v>
      </c>
      <c r="B175" s="4" t="s">
        <v>1203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 t="s">
        <v>756</v>
      </c>
      <c r="B176" s="6" t="s">
        <v>1202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 t="s">
        <v>307</v>
      </c>
      <c r="B177" s="6" t="s">
        <v>1201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 t="s">
        <v>146</v>
      </c>
      <c r="B178" s="6" t="s">
        <v>1202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 t="s">
        <v>144</v>
      </c>
      <c r="B179" s="6" t="s">
        <v>1207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 t="s">
        <v>321</v>
      </c>
      <c r="B180" s="6" t="s">
        <v>1206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 t="s">
        <v>63</v>
      </c>
      <c r="B181" s="6" t="s">
        <v>1205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 t="s">
        <v>196</v>
      </c>
      <c r="B182" s="6" t="s">
        <v>1202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 t="s">
        <v>92</v>
      </c>
      <c r="B183" s="6" t="s">
        <v>1206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 t="s">
        <v>69</v>
      </c>
      <c r="B184" s="6" t="s">
        <v>1201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 t="s">
        <v>272</v>
      </c>
      <c r="B185" s="4" t="s">
        <v>1203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 t="s">
        <v>274</v>
      </c>
      <c r="B186" s="4" t="s">
        <v>1203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7.33203125" defaultRowHeight="15" customHeight="1" x14ac:dyDescent="0.25"/>
  <cols>
    <col min="1" max="1" width="11.5546875" customWidth="1"/>
    <col min="2" max="2" width="28.88671875" customWidth="1"/>
    <col min="3" max="12" width="11.5546875" customWidth="1"/>
    <col min="13" max="26" width="10" customWidth="1"/>
  </cols>
  <sheetData>
    <row r="1" spans="1:26" ht="12.75" customHeight="1" x14ac:dyDescent="0.25">
      <c r="A1" s="1" t="s">
        <v>0</v>
      </c>
      <c r="B1" s="1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>
        <v>23262</v>
      </c>
      <c r="B2" s="4" t="s">
        <v>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>
        <v>23263</v>
      </c>
      <c r="B3" s="4" t="s">
        <v>11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4">
        <v>23264</v>
      </c>
      <c r="B4" s="4" t="s">
        <v>14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4">
        <v>23265</v>
      </c>
      <c r="B5" s="4" t="s">
        <v>18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5">
      <c r="A6" s="4">
        <v>23266</v>
      </c>
      <c r="B6" s="4" t="s">
        <v>21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4">
        <v>23267</v>
      </c>
      <c r="B7" s="4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4">
        <v>23268</v>
      </c>
      <c r="B8" s="4" t="s">
        <v>27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4">
        <v>23269</v>
      </c>
      <c r="B9" s="4" t="s">
        <v>30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4">
        <v>23270</v>
      </c>
      <c r="B10" s="4" t="s">
        <v>32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4">
        <v>23271</v>
      </c>
      <c r="B11" s="4" t="s">
        <v>35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4">
        <v>23272</v>
      </c>
      <c r="B12" s="4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5">
      <c r="A13" s="4">
        <v>23273</v>
      </c>
      <c r="B13" s="4" t="s">
        <v>39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5">
      <c r="A14" s="4">
        <v>23274</v>
      </c>
      <c r="B14" s="4" t="s">
        <v>41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4">
        <v>23275</v>
      </c>
      <c r="B15" s="4" t="s">
        <v>42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4">
        <v>23276</v>
      </c>
      <c r="B16" s="4" t="s">
        <v>44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4">
        <v>23277</v>
      </c>
      <c r="B17" s="4" t="s">
        <v>47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4">
        <v>23278</v>
      </c>
      <c r="B18" s="4" t="s">
        <v>49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4">
        <v>23279</v>
      </c>
      <c r="B19" s="4" t="s">
        <v>52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4">
        <v>23280</v>
      </c>
      <c r="B20" s="4" t="s">
        <v>54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4">
        <v>23281</v>
      </c>
      <c r="B21" s="4" t="s">
        <v>56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4">
        <v>23282</v>
      </c>
      <c r="B22" s="4" t="s">
        <v>60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4">
        <v>23283</v>
      </c>
      <c r="B23" s="4" t="s">
        <v>62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4">
        <v>23284</v>
      </c>
      <c r="B24" s="4" t="s">
        <v>64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4">
        <v>23285</v>
      </c>
      <c r="B25" s="4" t="s">
        <v>66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4">
        <v>23286</v>
      </c>
      <c r="B26" s="4" t="s">
        <v>68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4">
        <v>23287</v>
      </c>
      <c r="B27" s="4" t="s">
        <v>70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4">
        <v>23288</v>
      </c>
      <c r="B28" s="4" t="s">
        <v>72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4">
        <v>23289</v>
      </c>
      <c r="B29" s="4" t="s">
        <v>74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4">
        <v>23290</v>
      </c>
      <c r="B30" s="4" t="s">
        <v>76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4">
        <v>23291</v>
      </c>
      <c r="B31" s="4" t="s">
        <v>78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>
        <v>23292</v>
      </c>
      <c r="B32" s="4" t="s">
        <v>80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>
        <v>23293</v>
      </c>
      <c r="B33" s="4" t="s">
        <v>82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>
        <v>23294</v>
      </c>
      <c r="B34" s="4" t="s">
        <v>84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>
        <v>23295</v>
      </c>
      <c r="B35" s="4" t="s">
        <v>85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>
        <v>23296</v>
      </c>
      <c r="B36" s="4" t="s">
        <v>87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>
        <v>23297</v>
      </c>
      <c r="B37" s="4" t="s">
        <v>89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>
        <v>23298</v>
      </c>
      <c r="B38" s="4" t="s">
        <v>91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>
        <v>23299</v>
      </c>
      <c r="B39" s="4" t="s">
        <v>93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>
        <v>23300</v>
      </c>
      <c r="B40" s="4" t="s">
        <v>95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>
        <v>23301</v>
      </c>
      <c r="B41" s="4" t="s">
        <v>96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>
        <v>23302</v>
      </c>
      <c r="B42" s="4" t="s">
        <v>98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>
        <v>23303</v>
      </c>
      <c r="B43" s="4" t="s">
        <v>99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>
        <v>23304</v>
      </c>
      <c r="B44" s="4" t="s">
        <v>101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>
        <v>23305</v>
      </c>
      <c r="B45" s="4" t="s">
        <v>102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>
        <v>23306</v>
      </c>
      <c r="B46" s="4" t="s">
        <v>103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>
        <v>23307</v>
      </c>
      <c r="B47" s="4" t="s">
        <v>105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>
        <v>23308</v>
      </c>
      <c r="B48" s="4" t="s">
        <v>107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>
        <v>23309</v>
      </c>
      <c r="B49" s="4" t="s">
        <v>109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>
        <v>23310</v>
      </c>
      <c r="B50" s="4" t="s">
        <v>111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>
        <v>23311</v>
      </c>
      <c r="B51" s="4" t="s">
        <v>113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>
        <v>23312</v>
      </c>
      <c r="B52" s="4" t="s">
        <v>66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>
        <v>23313</v>
      </c>
      <c r="B53" s="4" t="s">
        <v>115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>
        <v>23314</v>
      </c>
      <c r="B54" s="4" t="s">
        <v>116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>
        <v>23315</v>
      </c>
      <c r="B55" s="4" t="s">
        <v>117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>
        <v>23316</v>
      </c>
      <c r="B56" s="4" t="s">
        <v>118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>
        <v>23317</v>
      </c>
      <c r="B57" s="4" t="s">
        <v>120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>
        <v>23318</v>
      </c>
      <c r="B58" s="4" t="s">
        <v>122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>
        <v>23319</v>
      </c>
      <c r="B59" s="4" t="s">
        <v>124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>
        <v>23320</v>
      </c>
      <c r="B60" s="4" t="s">
        <v>126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>
        <v>23321</v>
      </c>
      <c r="B61" s="4" t="s">
        <v>128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>
        <v>23322</v>
      </c>
      <c r="B62" s="4" t="s">
        <v>130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>
        <v>23323</v>
      </c>
      <c r="B63" s="4" t="s">
        <v>132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>
        <v>23324</v>
      </c>
      <c r="B64" s="4" t="s">
        <v>134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>
        <v>23325</v>
      </c>
      <c r="B65" s="4" t="s">
        <v>135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>
        <v>23326</v>
      </c>
      <c r="B66" s="4" t="s">
        <v>137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>
        <v>23327</v>
      </c>
      <c r="B67" s="4" t="s">
        <v>139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>
        <v>23328</v>
      </c>
      <c r="B68" s="4" t="s">
        <v>141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>
        <v>23329</v>
      </c>
      <c r="B69" s="4" t="s">
        <v>143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>
        <v>23330</v>
      </c>
      <c r="B70" s="4" t="s">
        <v>145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>
        <v>23331</v>
      </c>
      <c r="B71" s="4" t="s">
        <v>147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>
        <v>23332</v>
      </c>
      <c r="B72" s="4" t="s">
        <v>149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>
        <v>23333</v>
      </c>
      <c r="B73" s="4" t="s">
        <v>150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>
        <v>23334</v>
      </c>
      <c r="B74" s="4" t="s">
        <v>151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>
        <v>23335</v>
      </c>
      <c r="B75" s="4" t="s">
        <v>153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>
        <v>23336</v>
      </c>
      <c r="B76" s="4" t="s">
        <v>154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>
        <v>23337</v>
      </c>
      <c r="B77" s="4" t="s">
        <v>156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>
        <v>23338</v>
      </c>
      <c r="B78" s="4" t="s">
        <v>158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>
        <v>23339</v>
      </c>
      <c r="B79" s="4" t="s">
        <v>159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>
        <v>23340</v>
      </c>
      <c r="B80" s="4" t="s">
        <v>160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>
        <v>23341</v>
      </c>
      <c r="B81" s="4" t="s">
        <v>162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>
        <v>23342</v>
      </c>
      <c r="B82" s="4" t="s">
        <v>163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>
        <v>23343</v>
      </c>
      <c r="B83" s="4" t="s">
        <v>165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>
        <v>23344</v>
      </c>
      <c r="B84" s="4" t="s">
        <v>167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>
        <v>23345</v>
      </c>
      <c r="B85" s="4" t="s">
        <v>169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>
        <v>23346</v>
      </c>
      <c r="B86" s="4" t="s">
        <v>170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>
        <v>23347</v>
      </c>
      <c r="B87" s="4" t="s">
        <v>171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>
        <v>23348</v>
      </c>
      <c r="B88" s="4" t="s">
        <v>173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>
        <v>23349</v>
      </c>
      <c r="B89" s="4" t="s">
        <v>175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>
        <v>23350</v>
      </c>
      <c r="B90" s="4" t="s">
        <v>177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>
        <v>23351</v>
      </c>
      <c r="B91" s="4" t="s">
        <v>179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>
        <v>23352</v>
      </c>
      <c r="B92" s="4" t="s">
        <v>180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>
        <v>23353</v>
      </c>
      <c r="B93" s="4" t="s">
        <v>182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>
        <v>23354</v>
      </c>
      <c r="B94" s="4" t="s">
        <v>183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>
        <v>23355</v>
      </c>
      <c r="B95" s="4" t="s">
        <v>184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>
        <v>23356</v>
      </c>
      <c r="B96" s="4" t="s">
        <v>185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>
        <v>23357</v>
      </c>
      <c r="B97" s="4" t="s">
        <v>186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>
        <v>23358</v>
      </c>
      <c r="B98" s="4" t="s">
        <v>187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>
        <v>23359</v>
      </c>
      <c r="B99" s="4" t="s">
        <v>189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>
        <v>23360</v>
      </c>
      <c r="B100" s="4" t="s">
        <v>191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>
        <v>23361</v>
      </c>
      <c r="B101" s="4" t="s">
        <v>192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>
        <v>23362</v>
      </c>
      <c r="B102" s="4" t="s">
        <v>194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>
        <v>23363</v>
      </c>
      <c r="B103" s="4" t="s">
        <v>195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>
        <v>23364</v>
      </c>
      <c r="B104" s="4" t="s">
        <v>197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>
        <v>23365</v>
      </c>
      <c r="B105" s="4" t="s">
        <v>199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>
        <v>23366</v>
      </c>
      <c r="B106" s="4" t="s">
        <v>201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>
        <v>23367</v>
      </c>
      <c r="B107" s="4" t="s">
        <v>202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>
        <v>23368</v>
      </c>
      <c r="B108" s="4" t="s">
        <v>204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>
        <v>23369</v>
      </c>
      <c r="B109" s="4" t="s">
        <v>205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>
        <v>23370</v>
      </c>
      <c r="B110" s="4" t="s">
        <v>206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>
        <v>23371</v>
      </c>
      <c r="B111" s="4" t="s">
        <v>207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>
        <v>23372</v>
      </c>
      <c r="B112" s="4" t="s">
        <v>209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>
        <v>23373</v>
      </c>
      <c r="B113" s="4" t="s">
        <v>210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>
        <v>23374</v>
      </c>
      <c r="B114" s="4" t="s">
        <v>211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>
        <v>23375</v>
      </c>
      <c r="B115" s="4" t="s">
        <v>213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>
        <v>23376</v>
      </c>
      <c r="B116" s="4" t="s">
        <v>214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>
        <v>23377</v>
      </c>
      <c r="B117" s="4" t="s">
        <v>215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>
        <v>23378</v>
      </c>
      <c r="B118" s="4" t="s">
        <v>216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>
        <v>23379</v>
      </c>
      <c r="B119" s="4" t="s">
        <v>218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>
        <v>23380</v>
      </c>
      <c r="B120" s="4" t="s">
        <v>219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>
        <v>23381</v>
      </c>
      <c r="B121" s="4" t="s">
        <v>221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>
        <v>23382</v>
      </c>
      <c r="B122" s="4" t="s">
        <v>189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>
        <v>23383</v>
      </c>
      <c r="B123" s="4" t="s">
        <v>222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>
        <v>23384</v>
      </c>
      <c r="B124" s="4" t="s">
        <v>223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>
        <v>23385</v>
      </c>
      <c r="B125" s="4" t="s">
        <v>224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>
        <v>23386</v>
      </c>
      <c r="B126" s="4" t="s">
        <v>226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>
        <v>23387</v>
      </c>
      <c r="B127" s="4" t="s">
        <v>227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>
        <v>23388</v>
      </c>
      <c r="B128" s="4" t="s">
        <v>229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>
        <v>23389</v>
      </c>
      <c r="B129" s="4" t="s">
        <v>231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>
        <v>23390</v>
      </c>
      <c r="B130" s="4" t="s">
        <v>233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>
        <v>23391</v>
      </c>
      <c r="B131" s="4" t="s">
        <v>234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>
        <v>23392</v>
      </c>
      <c r="B132" s="4" t="s">
        <v>235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>
        <v>23393</v>
      </c>
      <c r="B133" s="4" t="s">
        <v>237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>
        <v>23394</v>
      </c>
      <c r="B134" s="4" t="s">
        <v>238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>
        <v>23395</v>
      </c>
      <c r="B135" s="4" t="s">
        <v>239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>
        <v>23396</v>
      </c>
      <c r="B136" s="4" t="s">
        <v>240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>
        <v>23397</v>
      </c>
      <c r="B137" s="4" t="s">
        <v>241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>
        <v>23398</v>
      </c>
      <c r="B138" s="4" t="s">
        <v>242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>
        <v>23399</v>
      </c>
      <c r="B139" s="4" t="s">
        <v>243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>
        <v>23400</v>
      </c>
      <c r="B140" s="4" t="s">
        <v>245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>
        <v>23401</v>
      </c>
      <c r="B141" s="4" t="s">
        <v>247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>
        <v>23402</v>
      </c>
      <c r="B142" s="4" t="s">
        <v>249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>
        <v>23403</v>
      </c>
      <c r="B143" s="4" t="s">
        <v>251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>
        <v>23404</v>
      </c>
      <c r="B144" s="4" t="s">
        <v>253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>
        <v>23405</v>
      </c>
      <c r="B145" s="4" t="s">
        <v>254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>
        <v>23406</v>
      </c>
      <c r="B146" s="4" t="s">
        <v>256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>
        <v>23407</v>
      </c>
      <c r="B147" s="4" t="s">
        <v>258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>
        <v>23408</v>
      </c>
      <c r="B148" s="4" t="s">
        <v>260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>
        <v>23409</v>
      </c>
      <c r="B149" s="4" t="s">
        <v>261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>
        <v>23410</v>
      </c>
      <c r="B150" s="4" t="s">
        <v>262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>
        <v>23411</v>
      </c>
      <c r="B151" s="4" t="s">
        <v>264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>
        <v>23412</v>
      </c>
      <c r="B152" s="4" t="s">
        <v>265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>
        <v>23413</v>
      </c>
      <c r="B153" s="4" t="s">
        <v>266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>
        <v>23414</v>
      </c>
      <c r="B154" s="4" t="s">
        <v>268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>
        <v>23415</v>
      </c>
      <c r="B155" s="4" t="s">
        <v>269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>
        <v>23416</v>
      </c>
      <c r="B156" s="4" t="s">
        <v>271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>
        <v>23417</v>
      </c>
      <c r="B157" s="4" t="s">
        <v>273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>
        <v>23418</v>
      </c>
      <c r="B158" s="4" t="s">
        <v>275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>
        <v>23419</v>
      </c>
      <c r="B159" s="4" t="s">
        <v>277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>
        <v>23420</v>
      </c>
      <c r="B160" s="4" t="s">
        <v>279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>
        <v>23421</v>
      </c>
      <c r="B161" s="4" t="s">
        <v>280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>
        <v>23422</v>
      </c>
      <c r="B162" s="4" t="s">
        <v>281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>
        <v>23423</v>
      </c>
      <c r="B163" s="4" t="s">
        <v>282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>
        <v>23424</v>
      </c>
      <c r="B164" s="4" t="s">
        <v>284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>
        <v>23425</v>
      </c>
      <c r="B165" s="4" t="s">
        <v>286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>
        <v>23426</v>
      </c>
      <c r="B166" s="4" t="s">
        <v>287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>
        <v>23427</v>
      </c>
      <c r="B167" s="4" t="s">
        <v>289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>
        <v>23428</v>
      </c>
      <c r="B168" s="4" t="s">
        <v>291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>
        <v>23429</v>
      </c>
      <c r="B169" s="4" t="s">
        <v>292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>
        <v>23430</v>
      </c>
      <c r="B170" s="4" t="s">
        <v>293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>
        <v>23431</v>
      </c>
      <c r="B171" s="4" t="s">
        <v>294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>
        <v>23432</v>
      </c>
      <c r="B172" s="4" t="s">
        <v>296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>
        <v>23433</v>
      </c>
      <c r="B173" s="4" t="s">
        <v>298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>
        <v>23434</v>
      </c>
      <c r="B174" s="4" t="s">
        <v>299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>
        <v>23435</v>
      </c>
      <c r="B175" s="4" t="s">
        <v>300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>
        <v>23436</v>
      </c>
      <c r="B176" s="4" t="s">
        <v>301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>
        <v>23437</v>
      </c>
      <c r="B177" s="4" t="s">
        <v>302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>
        <v>23438</v>
      </c>
      <c r="B178" s="4" t="s">
        <v>303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>
        <v>23439</v>
      </c>
      <c r="B179" s="4" t="s">
        <v>304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>
        <v>23440</v>
      </c>
      <c r="B180" s="4" t="s">
        <v>305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>
        <v>23441</v>
      </c>
      <c r="B181" s="4" t="s">
        <v>306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>
        <v>23442</v>
      </c>
      <c r="B182" s="4" t="s">
        <v>308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>
        <v>23443</v>
      </c>
      <c r="B183" s="4" t="s">
        <v>310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>
        <v>23444</v>
      </c>
      <c r="B184" s="4" t="s">
        <v>311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>
        <v>23445</v>
      </c>
      <c r="B185" s="4" t="s">
        <v>312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>
        <v>23446</v>
      </c>
      <c r="B186" s="4" t="s">
        <v>313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>
        <v>23447</v>
      </c>
      <c r="B187" s="4" t="s">
        <v>314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>
        <v>23448</v>
      </c>
      <c r="B188" s="4" t="s">
        <v>315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>
        <v>23449</v>
      </c>
      <c r="B189" s="4" t="s">
        <v>317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>
        <v>23450</v>
      </c>
      <c r="B190" s="4" t="s">
        <v>318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>
        <v>23451</v>
      </c>
      <c r="B191" s="4" t="s">
        <v>319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>
        <v>23452</v>
      </c>
      <c r="B192" s="4" t="s">
        <v>320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>
        <v>23453</v>
      </c>
      <c r="B193" s="4" t="s">
        <v>322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>
        <v>23454</v>
      </c>
      <c r="B194" s="4" t="s">
        <v>324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>
        <v>23455</v>
      </c>
      <c r="B195" s="4" t="s">
        <v>325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>
        <v>23456</v>
      </c>
      <c r="B196" s="4" t="s">
        <v>327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>
        <v>23457</v>
      </c>
      <c r="B197" s="4" t="s">
        <v>328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>
        <v>23458</v>
      </c>
      <c r="B198" s="4" t="s">
        <v>330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>
        <v>23459</v>
      </c>
      <c r="B199" s="4" t="s">
        <v>332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>
        <v>23460</v>
      </c>
      <c r="B200" s="4" t="s">
        <v>334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>
        <v>23461</v>
      </c>
      <c r="B201" s="4" t="s">
        <v>336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>
        <v>23462</v>
      </c>
      <c r="B202" s="4" t="s">
        <v>338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>
        <v>23463</v>
      </c>
      <c r="B203" s="4" t="s">
        <v>339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>
        <v>23464</v>
      </c>
      <c r="B204" s="4" t="s">
        <v>340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>
        <v>23465</v>
      </c>
      <c r="B205" s="4" t="s">
        <v>342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>
        <v>23466</v>
      </c>
      <c r="B206" s="4" t="s">
        <v>343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>
        <v>23467</v>
      </c>
      <c r="B207" s="4" t="s">
        <v>344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>
        <v>23468</v>
      </c>
      <c r="B208" s="4" t="s">
        <v>346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>
        <v>23469</v>
      </c>
      <c r="B209" s="4" t="s">
        <v>347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>
        <v>23470</v>
      </c>
      <c r="B210" s="4" t="s">
        <v>348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>
        <v>23471</v>
      </c>
      <c r="B211" s="4" t="s">
        <v>350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>
        <v>23472</v>
      </c>
      <c r="B212" s="4" t="s">
        <v>351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>
        <v>23473</v>
      </c>
      <c r="B213" s="4" t="s">
        <v>353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>
        <v>23474</v>
      </c>
      <c r="B214" s="4" t="s">
        <v>354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>
        <v>23475</v>
      </c>
      <c r="B215" s="4" t="s">
        <v>355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>
        <v>23476</v>
      </c>
      <c r="B216" s="4" t="s">
        <v>356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>
        <v>23477</v>
      </c>
      <c r="B217" s="4" t="s">
        <v>204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>
        <v>23478</v>
      </c>
      <c r="B218" s="4" t="s">
        <v>358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>
        <v>23479</v>
      </c>
      <c r="B219" s="4" t="s">
        <v>359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>
        <v>23480</v>
      </c>
      <c r="B220" s="4" t="s">
        <v>360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>
        <v>23481</v>
      </c>
      <c r="B221" s="4" t="s">
        <v>361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>
        <v>23482</v>
      </c>
      <c r="B222" s="4" t="s">
        <v>362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>
        <v>23483</v>
      </c>
      <c r="B223" s="4" t="s">
        <v>363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>
        <v>23484</v>
      </c>
      <c r="B224" s="4" t="s">
        <v>364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>
        <v>23485</v>
      </c>
      <c r="B225" s="4" t="s">
        <v>365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>
        <v>23486</v>
      </c>
      <c r="B226" s="4" t="s">
        <v>367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>
        <v>23487</v>
      </c>
      <c r="B227" s="4" t="s">
        <v>368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>
        <v>23488</v>
      </c>
      <c r="B228" s="4" t="s">
        <v>370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>
        <v>23489</v>
      </c>
      <c r="B229" s="4" t="s">
        <v>371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>
        <v>23490</v>
      </c>
      <c r="B230" s="4" t="s">
        <v>372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>
        <v>23491</v>
      </c>
      <c r="B231" s="4" t="s">
        <v>373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>
        <v>23492</v>
      </c>
      <c r="B232" s="4" t="s">
        <v>374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>
        <v>23493</v>
      </c>
      <c r="B233" s="4" t="s">
        <v>375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>
        <v>23494</v>
      </c>
      <c r="B234" s="4" t="s">
        <v>376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>
        <v>23495</v>
      </c>
      <c r="B235" s="4" t="s">
        <v>377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>
        <v>23496</v>
      </c>
      <c r="B236" s="4" t="s">
        <v>378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>
        <v>23497</v>
      </c>
      <c r="B237" s="4" t="s">
        <v>379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>
        <v>23498</v>
      </c>
      <c r="B238" s="4" t="s">
        <v>381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>
        <v>23499</v>
      </c>
      <c r="B239" s="4" t="s">
        <v>382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>
        <v>23500</v>
      </c>
      <c r="B240" s="4" t="s">
        <v>383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>
        <v>23501</v>
      </c>
      <c r="B241" s="4" t="s">
        <v>385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>
        <v>23502</v>
      </c>
      <c r="B242" s="4" t="s">
        <v>386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>
        <v>23503</v>
      </c>
      <c r="B243" s="4" t="s">
        <v>387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>
        <v>23504</v>
      </c>
      <c r="B244" s="4" t="s">
        <v>388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>
        <v>23505</v>
      </c>
      <c r="B245" s="4" t="s">
        <v>389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>
        <v>23506</v>
      </c>
      <c r="B246" s="4" t="s">
        <v>391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>
        <v>23507</v>
      </c>
      <c r="B247" s="4" t="s">
        <v>392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>
        <v>23508</v>
      </c>
      <c r="B248" s="4" t="s">
        <v>393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>
        <v>23509</v>
      </c>
      <c r="B249" s="4" t="s">
        <v>394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>
        <v>23510</v>
      </c>
      <c r="B250" s="4" t="s">
        <v>395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>
        <v>23511</v>
      </c>
      <c r="B251" s="4" t="s">
        <v>396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>
        <v>23512</v>
      </c>
      <c r="B252" s="4" t="s">
        <v>398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>
        <v>23513</v>
      </c>
      <c r="B253" s="4" t="s">
        <v>399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>
        <v>23514</v>
      </c>
      <c r="B254" s="4" t="s">
        <v>400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>
        <v>23515</v>
      </c>
      <c r="B255" s="4" t="s">
        <v>402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>
        <v>23516</v>
      </c>
      <c r="B256" s="4" t="s">
        <v>404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>
        <v>23517</v>
      </c>
      <c r="B257" s="4" t="s">
        <v>405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>
        <v>23518</v>
      </c>
      <c r="B258" s="4" t="s">
        <v>407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>
        <v>23519</v>
      </c>
      <c r="B259" s="4" t="s">
        <v>409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>
        <v>23520</v>
      </c>
      <c r="B260" s="4" t="s">
        <v>410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>
        <v>23521</v>
      </c>
      <c r="B261" s="4" t="s">
        <v>411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>
        <v>23522</v>
      </c>
      <c r="B262" s="4" t="s">
        <v>413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>
        <v>23523</v>
      </c>
      <c r="B263" s="4" t="s">
        <v>414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>
        <v>23524</v>
      </c>
      <c r="B264" s="4" t="s">
        <v>415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>
        <v>23525</v>
      </c>
      <c r="B265" s="4" t="s">
        <v>416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>
        <v>23526</v>
      </c>
      <c r="B266" s="4" t="s">
        <v>417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>
        <v>23527</v>
      </c>
      <c r="B267" s="4" t="s">
        <v>418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>
        <v>23528</v>
      </c>
      <c r="B268" s="4" t="s">
        <v>419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>
        <v>23529</v>
      </c>
      <c r="B269" s="4" t="s">
        <v>420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>
        <v>23530</v>
      </c>
      <c r="B270" s="4" t="s">
        <v>421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>
        <v>23531</v>
      </c>
      <c r="B271" s="4" t="s">
        <v>423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>
        <v>23532</v>
      </c>
      <c r="B272" s="4" t="s">
        <v>424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>
        <v>23533</v>
      </c>
      <c r="B273" s="4" t="s">
        <v>425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>
        <v>23534</v>
      </c>
      <c r="B274" s="4" t="s">
        <v>426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>
        <v>23535</v>
      </c>
      <c r="B275" s="4" t="s">
        <v>427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>
        <v>23536</v>
      </c>
      <c r="B276" s="4" t="s">
        <v>428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>
        <v>23537</v>
      </c>
      <c r="B277" s="4" t="s">
        <v>430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>
        <v>23538</v>
      </c>
      <c r="B278" s="4" t="s">
        <v>431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>
        <v>23539</v>
      </c>
      <c r="B279" s="4" t="s">
        <v>432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>
        <v>23540</v>
      </c>
      <c r="B280" s="4" t="s">
        <v>433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>
        <v>23541</v>
      </c>
      <c r="B281" s="4" t="s">
        <v>435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>
        <v>23542</v>
      </c>
      <c r="B282" s="4" t="s">
        <v>436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>
        <v>23543</v>
      </c>
      <c r="B283" s="4" t="s">
        <v>437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>
        <v>23544</v>
      </c>
      <c r="B284" s="4" t="s">
        <v>438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>
        <v>23545</v>
      </c>
      <c r="B285" s="4" t="s">
        <v>439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>
        <v>23546</v>
      </c>
      <c r="B286" s="4" t="s">
        <v>440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>
        <v>23547</v>
      </c>
      <c r="B287" s="4" t="s">
        <v>441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>
        <v>23548</v>
      </c>
      <c r="B288" s="4" t="s">
        <v>443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>
        <v>23549</v>
      </c>
      <c r="B289" s="4" t="s">
        <v>445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>
        <v>23550</v>
      </c>
      <c r="B290" s="4" t="s">
        <v>446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>
        <v>23551</v>
      </c>
      <c r="B291" s="4" t="s">
        <v>447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>
        <v>23552</v>
      </c>
      <c r="B292" s="4" t="s">
        <v>448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>
        <v>23553</v>
      </c>
      <c r="B293" s="4" t="s">
        <v>449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>
        <v>23554</v>
      </c>
      <c r="B294" s="4" t="s">
        <v>450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>
        <v>23555</v>
      </c>
      <c r="B295" s="4" t="s">
        <v>451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>
        <v>23556</v>
      </c>
      <c r="B296" s="4" t="s">
        <v>452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>
        <v>23557</v>
      </c>
      <c r="B297" s="4" t="s">
        <v>454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>
        <v>23558</v>
      </c>
      <c r="B298" s="4" t="s">
        <v>455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>
        <v>23559</v>
      </c>
      <c r="B299" s="4" t="s">
        <v>457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>
        <v>23560</v>
      </c>
      <c r="B300" s="4" t="s">
        <v>458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>
        <v>23561</v>
      </c>
      <c r="B301" s="4" t="s">
        <v>459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>
        <v>23562</v>
      </c>
      <c r="B302" s="4" t="s">
        <v>460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>
        <v>23563</v>
      </c>
      <c r="B303" s="4" t="s">
        <v>461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>
        <v>23564</v>
      </c>
      <c r="B304" s="4" t="s">
        <v>462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>
        <v>23565</v>
      </c>
      <c r="B305" s="4" t="s">
        <v>463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>
        <v>23566</v>
      </c>
      <c r="B306" s="4" t="s">
        <v>464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>
        <v>23567</v>
      </c>
      <c r="B307" s="4" t="s">
        <v>466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>
        <v>23568</v>
      </c>
      <c r="B308" s="4" t="s">
        <v>467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>
        <v>23569</v>
      </c>
      <c r="B309" s="4" t="s">
        <v>468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>
        <v>23570</v>
      </c>
      <c r="B310" s="4" t="s">
        <v>469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>
        <v>23571</v>
      </c>
      <c r="B311" s="4" t="s">
        <v>470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>
        <v>23572</v>
      </c>
      <c r="B312" s="4" t="s">
        <v>471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>
        <v>23573</v>
      </c>
      <c r="B313" s="4" t="s">
        <v>473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>
        <v>23574</v>
      </c>
      <c r="B314" s="4" t="s">
        <v>474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>
        <v>23575</v>
      </c>
      <c r="B315" s="4" t="s">
        <v>475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>
        <v>23576</v>
      </c>
      <c r="B316" s="4" t="s">
        <v>476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>
        <v>23577</v>
      </c>
      <c r="B317" s="4" t="s">
        <v>477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>
        <v>23578</v>
      </c>
      <c r="B318" s="4" t="s">
        <v>478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>
        <v>23579</v>
      </c>
      <c r="B319" s="4" t="s">
        <v>479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>
        <v>23580</v>
      </c>
      <c r="B320" s="4" t="s">
        <v>480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>
        <v>23581</v>
      </c>
      <c r="B321" s="4" t="s">
        <v>482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>
        <v>23582</v>
      </c>
      <c r="B322" s="4" t="s">
        <v>483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>
        <v>23583</v>
      </c>
      <c r="B323" s="4" t="s">
        <v>484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>
        <v>23584</v>
      </c>
      <c r="B324" s="4" t="s">
        <v>485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>
        <v>23585</v>
      </c>
      <c r="B325" s="4" t="s">
        <v>486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>
        <v>23586</v>
      </c>
      <c r="B326" s="4" t="s">
        <v>487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>
        <v>23587</v>
      </c>
      <c r="B327" s="4" t="s">
        <v>488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>
        <v>23588</v>
      </c>
      <c r="B328" s="4" t="s">
        <v>489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>
        <v>23589</v>
      </c>
      <c r="B329" s="4" t="s">
        <v>491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>
        <v>23590</v>
      </c>
      <c r="B330" s="4" t="s">
        <v>492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>
        <v>23591</v>
      </c>
      <c r="B331" s="4" t="s">
        <v>493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>
        <v>23592</v>
      </c>
      <c r="B332" s="4" t="s">
        <v>494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>
        <v>23593</v>
      </c>
      <c r="B333" s="4" t="s">
        <v>495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>
        <v>23594</v>
      </c>
      <c r="B334" s="4" t="s">
        <v>496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>
        <v>23595</v>
      </c>
      <c r="B335" s="4" t="s">
        <v>497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>
        <v>23596</v>
      </c>
      <c r="B336" s="4" t="s">
        <v>498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>
        <v>23597</v>
      </c>
      <c r="B337" s="4" t="s">
        <v>499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>
        <v>23598</v>
      </c>
      <c r="B338" s="4" t="s">
        <v>500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>
        <v>23599</v>
      </c>
      <c r="B339" s="4" t="s">
        <v>501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>
        <v>23600</v>
      </c>
      <c r="B340" s="4" t="s">
        <v>502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>
        <v>23601</v>
      </c>
      <c r="B341" s="4" t="s">
        <v>503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>
        <v>23602</v>
      </c>
      <c r="B342" s="4" t="s">
        <v>504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>
        <v>23603</v>
      </c>
      <c r="B343" s="4" t="s">
        <v>505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>
        <v>23604</v>
      </c>
      <c r="B344" s="4" t="s">
        <v>506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>
        <v>23605</v>
      </c>
      <c r="B345" s="4" t="s">
        <v>508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>
        <v>23606</v>
      </c>
      <c r="B346" s="4" t="s">
        <v>509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>
        <v>23607</v>
      </c>
      <c r="B347" s="4" t="s">
        <v>510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>
        <v>23608</v>
      </c>
      <c r="B348" s="4" t="s">
        <v>511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>
        <v>23609</v>
      </c>
      <c r="B349" s="4" t="s">
        <v>512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>
        <v>23610</v>
      </c>
      <c r="B350" s="4" t="s">
        <v>513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>
        <v>23611</v>
      </c>
      <c r="B351" s="4" t="s">
        <v>514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>
        <v>23612</v>
      </c>
      <c r="B352" s="4" t="s">
        <v>516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>
        <v>23613</v>
      </c>
      <c r="B353" s="4" t="s">
        <v>517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>
        <v>23614</v>
      </c>
      <c r="B354" s="4" t="s">
        <v>519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>
        <v>23615</v>
      </c>
      <c r="B355" s="4" t="s">
        <v>520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>
        <v>23616</v>
      </c>
      <c r="B356" s="4" t="s">
        <v>522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>
        <v>23617</v>
      </c>
      <c r="B357" s="4" t="s">
        <v>523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>
        <v>23618</v>
      </c>
      <c r="B358" s="4" t="s">
        <v>524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>
        <v>23619</v>
      </c>
      <c r="B359" s="4" t="s">
        <v>525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>
        <v>23620</v>
      </c>
      <c r="B360" s="4" t="s">
        <v>526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>
        <v>23621</v>
      </c>
      <c r="B361" s="4" t="s">
        <v>527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>
        <v>23622</v>
      </c>
      <c r="B362" s="4" t="s">
        <v>528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>
        <v>23623</v>
      </c>
      <c r="B363" s="4" t="s">
        <v>529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>
        <v>23624</v>
      </c>
      <c r="B364" s="4" t="s">
        <v>530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>
        <v>23625</v>
      </c>
      <c r="B365" s="4" t="s">
        <v>531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>
        <v>23626</v>
      </c>
      <c r="B366" s="4" t="s">
        <v>532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>
        <v>23627</v>
      </c>
      <c r="B367" s="4" t="s">
        <v>533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>
        <v>23628</v>
      </c>
      <c r="B368" s="4" t="s">
        <v>78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>
        <v>23629</v>
      </c>
      <c r="B369" s="4" t="s">
        <v>534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>
        <v>23630</v>
      </c>
      <c r="B370" s="4" t="s">
        <v>536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>
        <v>23631</v>
      </c>
      <c r="B371" s="4" t="s">
        <v>537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>
        <v>23632</v>
      </c>
      <c r="B372" s="4" t="s">
        <v>539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>
        <v>23633</v>
      </c>
      <c r="B373" s="4" t="s">
        <v>540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>
        <v>23634</v>
      </c>
      <c r="B374" s="4" t="s">
        <v>541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>
        <v>23635</v>
      </c>
      <c r="B375" s="4" t="s">
        <v>542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>
        <v>23636</v>
      </c>
      <c r="B376" s="4" t="s">
        <v>543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>
        <v>23637</v>
      </c>
      <c r="B377" s="4" t="s">
        <v>544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>
        <v>23638</v>
      </c>
      <c r="B378" s="4" t="s">
        <v>545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>
        <v>23639</v>
      </c>
      <c r="B379" s="4" t="s">
        <v>546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>
        <v>23640</v>
      </c>
      <c r="B380" s="4" t="s">
        <v>548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>
        <v>23641</v>
      </c>
      <c r="B381" s="4" t="s">
        <v>549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>
        <v>23642</v>
      </c>
      <c r="B382" s="4" t="s">
        <v>550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>
        <v>23643</v>
      </c>
      <c r="B383" s="4" t="s">
        <v>552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>
        <v>23644</v>
      </c>
      <c r="B384" s="4" t="s">
        <v>553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>
        <v>23645</v>
      </c>
      <c r="B385" s="4" t="s">
        <v>554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>
        <v>23646</v>
      </c>
      <c r="B386" s="4" t="s">
        <v>555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>
        <v>23647</v>
      </c>
      <c r="B387" s="4" t="s">
        <v>556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>
        <v>23648</v>
      </c>
      <c r="B388" s="4" t="s">
        <v>558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>
        <v>23649</v>
      </c>
      <c r="B389" s="4" t="s">
        <v>559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>
        <v>23650</v>
      </c>
      <c r="B390" s="4" t="s">
        <v>561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>
        <v>23651</v>
      </c>
      <c r="B391" s="4" t="s">
        <v>562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>
        <v>23652</v>
      </c>
      <c r="B392" s="4" t="s">
        <v>563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>
        <v>23653</v>
      </c>
      <c r="B393" s="4" t="s">
        <v>564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>
        <v>23654</v>
      </c>
      <c r="B394" s="4" t="s">
        <v>565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>
        <v>23655</v>
      </c>
      <c r="B395" s="4" t="s">
        <v>567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>
        <v>23656</v>
      </c>
      <c r="B396" s="4" t="s">
        <v>568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>
        <v>23657</v>
      </c>
      <c r="B397" s="4" t="s">
        <v>569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>
        <v>23658</v>
      </c>
      <c r="B398" s="4" t="s">
        <v>570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>
        <v>23659</v>
      </c>
      <c r="B399" s="4" t="s">
        <v>571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>
        <v>23660</v>
      </c>
      <c r="B400" s="4" t="s">
        <v>572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>
        <v>23661</v>
      </c>
      <c r="B401" s="4" t="s">
        <v>573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>
        <v>23662</v>
      </c>
      <c r="B402" s="4" t="s">
        <v>574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>
        <v>23663</v>
      </c>
      <c r="B403" s="4" t="s">
        <v>575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>
        <v>23664</v>
      </c>
      <c r="B404" s="4" t="s">
        <v>576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>
        <v>23665</v>
      </c>
      <c r="B405" s="4" t="s">
        <v>577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>
        <v>23666</v>
      </c>
      <c r="B406" s="4" t="s">
        <v>578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>
        <v>23667</v>
      </c>
      <c r="B407" s="4" t="s">
        <v>580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>
        <v>23668</v>
      </c>
      <c r="B408" s="4" t="s">
        <v>581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>
        <v>23669</v>
      </c>
      <c r="B409" s="4" t="s">
        <v>582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>
        <v>23670</v>
      </c>
      <c r="B410" s="4" t="s">
        <v>584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>
        <v>23671</v>
      </c>
      <c r="B411" s="4" t="s">
        <v>585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>
        <v>23672</v>
      </c>
      <c r="B412" s="4" t="s">
        <v>586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>
        <v>23673</v>
      </c>
      <c r="B413" s="4" t="s">
        <v>587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>
        <v>23674</v>
      </c>
      <c r="B414" s="4" t="s">
        <v>588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>
        <v>23675</v>
      </c>
      <c r="B415" s="4" t="s">
        <v>589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>
        <v>23676</v>
      </c>
      <c r="B416" s="4" t="s">
        <v>590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>
        <v>23677</v>
      </c>
      <c r="B417" s="4" t="s">
        <v>591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>
        <v>23678</v>
      </c>
      <c r="B418" s="4" t="s">
        <v>592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>
        <v>23679</v>
      </c>
      <c r="B419" s="4" t="s">
        <v>593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>
        <v>23680</v>
      </c>
      <c r="B420" s="4" t="s">
        <v>594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>
        <v>23681</v>
      </c>
      <c r="B421" s="4" t="s">
        <v>595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>
        <v>23682</v>
      </c>
      <c r="B422" s="4" t="s">
        <v>596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>
        <v>23683</v>
      </c>
      <c r="B423" s="4" t="s">
        <v>597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>
        <v>23684</v>
      </c>
      <c r="B424" s="4" t="s">
        <v>598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>
        <v>23685</v>
      </c>
      <c r="B425" s="4" t="s">
        <v>599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>
        <v>23686</v>
      </c>
      <c r="B426" s="4" t="s">
        <v>600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>
        <v>23687</v>
      </c>
      <c r="B427" s="4" t="s">
        <v>601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>
        <v>23688</v>
      </c>
      <c r="B428" s="4" t="s">
        <v>602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>
        <v>23689</v>
      </c>
      <c r="B429" s="4" t="s">
        <v>603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>
        <v>23690</v>
      </c>
      <c r="B430" s="4" t="s">
        <v>604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>
        <v>23691</v>
      </c>
      <c r="B431" s="4" t="s">
        <v>605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>
        <v>23692</v>
      </c>
      <c r="B432" s="4" t="s">
        <v>607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>
        <v>23693</v>
      </c>
      <c r="B433" s="4" t="s">
        <v>609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>
        <v>23694</v>
      </c>
      <c r="B434" s="4" t="s">
        <v>610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>
        <v>23695</v>
      </c>
      <c r="B435" s="4" t="s">
        <v>612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>
        <v>23696</v>
      </c>
      <c r="B436" s="4" t="s">
        <v>613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>
        <v>23697</v>
      </c>
      <c r="B437" s="4" t="s">
        <v>614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>
        <v>23698</v>
      </c>
      <c r="B438" s="4" t="s">
        <v>615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>
        <v>23699</v>
      </c>
      <c r="B439" s="4" t="s">
        <v>616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>
        <v>23700</v>
      </c>
      <c r="B440" s="4" t="s">
        <v>617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>
        <v>23701</v>
      </c>
      <c r="B441" s="4" t="s">
        <v>618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>
        <v>23702</v>
      </c>
      <c r="B442" s="4" t="s">
        <v>619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>
        <v>23703</v>
      </c>
      <c r="B443" s="4" t="s">
        <v>620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>
        <v>23704</v>
      </c>
      <c r="B444" s="4" t="s">
        <v>621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>
        <v>23705</v>
      </c>
      <c r="B445" s="4" t="s">
        <v>622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>
        <v>23706</v>
      </c>
      <c r="B446" s="4" t="s">
        <v>623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>
        <v>23707</v>
      </c>
      <c r="B447" s="4" t="s">
        <v>624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>
        <v>23708</v>
      </c>
      <c r="B448" s="4" t="s">
        <v>625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>
        <v>23709</v>
      </c>
      <c r="B449" s="4" t="s">
        <v>626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>
        <v>23710</v>
      </c>
      <c r="B450" s="4" t="s">
        <v>627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>
        <v>23711</v>
      </c>
      <c r="B451" s="4" t="s">
        <v>628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>
        <v>23712</v>
      </c>
      <c r="B452" s="4" t="s">
        <v>629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>
        <v>23713</v>
      </c>
      <c r="B453" s="4" t="s">
        <v>630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>
        <v>23714</v>
      </c>
      <c r="B454" s="4" t="s">
        <v>631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>
        <v>23715</v>
      </c>
      <c r="B455" s="4" t="s">
        <v>632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>
        <v>23716</v>
      </c>
      <c r="B456" s="4" t="s">
        <v>633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>
        <v>23717</v>
      </c>
      <c r="B457" s="4" t="s">
        <v>634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>
        <v>23718</v>
      </c>
      <c r="B458" s="4" t="s">
        <v>635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>
        <v>23719</v>
      </c>
      <c r="B459" s="4" t="s">
        <v>636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>
        <v>23720</v>
      </c>
      <c r="B460" s="4" t="s">
        <v>637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>
        <v>23721</v>
      </c>
      <c r="B461" s="4" t="s">
        <v>638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>
        <v>23722</v>
      </c>
      <c r="B462" s="4" t="s">
        <v>639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>
        <v>23723</v>
      </c>
      <c r="B463" s="4" t="s">
        <v>640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>
        <v>23724</v>
      </c>
      <c r="B464" s="4" t="s">
        <v>641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>
        <v>23725</v>
      </c>
      <c r="B465" s="4" t="s">
        <v>642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>
        <v>23726</v>
      </c>
      <c r="B466" s="4" t="s">
        <v>643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>
        <v>23727</v>
      </c>
      <c r="B467" s="4" t="s">
        <v>644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>
        <v>23728</v>
      </c>
      <c r="B468" s="4" t="s">
        <v>645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>
        <v>23729</v>
      </c>
      <c r="B469" s="4" t="s">
        <v>646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>
        <v>23730</v>
      </c>
      <c r="B470" s="4" t="s">
        <v>647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>
        <v>23731</v>
      </c>
      <c r="B471" s="4" t="s">
        <v>648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>
        <v>23732</v>
      </c>
      <c r="B472" s="4" t="s">
        <v>649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>
        <v>23733</v>
      </c>
      <c r="B473" s="4" t="s">
        <v>650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>
        <v>23734</v>
      </c>
      <c r="B474" s="4" t="s">
        <v>651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>
        <v>23735</v>
      </c>
      <c r="B475" s="4" t="s">
        <v>652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>
        <v>23736</v>
      </c>
      <c r="B476" s="4" t="s">
        <v>653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>
        <v>23737</v>
      </c>
      <c r="B477" s="4" t="s">
        <v>654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>
        <v>23738</v>
      </c>
      <c r="B478" s="4" t="s">
        <v>655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>
        <v>23739</v>
      </c>
      <c r="B479" s="4" t="s">
        <v>656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>
        <v>23740</v>
      </c>
      <c r="B480" s="4" t="s">
        <v>657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>
        <v>23741</v>
      </c>
      <c r="B481" s="4" t="s">
        <v>658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>
        <v>23742</v>
      </c>
      <c r="B482" s="4" t="s">
        <v>659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>
        <v>23743</v>
      </c>
      <c r="B483" s="4" t="s">
        <v>660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>
        <v>23744</v>
      </c>
      <c r="B484" s="4" t="s">
        <v>661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>
        <v>23745</v>
      </c>
      <c r="B485" s="4" t="s">
        <v>663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>
        <v>23746</v>
      </c>
      <c r="B486" s="4" t="s">
        <v>664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>
        <v>23747</v>
      </c>
      <c r="B487" s="4" t="s">
        <v>665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>
        <v>23748</v>
      </c>
      <c r="B488" s="4" t="s">
        <v>666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>
        <v>23749</v>
      </c>
      <c r="B489" s="4" t="s">
        <v>667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>
        <v>23750</v>
      </c>
      <c r="B490" s="4" t="s">
        <v>668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>
        <v>23751</v>
      </c>
      <c r="B491" s="4" t="s">
        <v>669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>
        <v>23752</v>
      </c>
      <c r="B492" s="4" t="s">
        <v>670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>
        <v>23753</v>
      </c>
      <c r="B493" s="4" t="s">
        <v>671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>
        <v>23754</v>
      </c>
      <c r="B494" s="4" t="s">
        <v>672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>
        <v>23755</v>
      </c>
      <c r="B495" s="4" t="s">
        <v>673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>
        <v>23756</v>
      </c>
      <c r="B496" s="4" t="s">
        <v>674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>
        <v>23757</v>
      </c>
      <c r="B497" s="4" t="s">
        <v>675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>
        <v>23758</v>
      </c>
      <c r="B498" s="4" t="s">
        <v>676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>
        <v>23759</v>
      </c>
      <c r="B499" s="4" t="s">
        <v>677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>
        <v>23760</v>
      </c>
      <c r="B500" s="4" t="s">
        <v>678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>
        <v>23761</v>
      </c>
      <c r="B501" s="4" t="s">
        <v>679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>
        <v>23762</v>
      </c>
      <c r="B502" s="4" t="s">
        <v>680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>
        <v>23763</v>
      </c>
      <c r="B503" s="4" t="s">
        <v>681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>
        <v>23764</v>
      </c>
      <c r="B504" s="4" t="s">
        <v>682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>
        <v>23765</v>
      </c>
      <c r="B505" s="4" t="s">
        <v>683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>
        <v>23766</v>
      </c>
      <c r="B506" s="4" t="s">
        <v>684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>
        <v>23767</v>
      </c>
      <c r="B507" s="4" t="s">
        <v>685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>
        <v>23768</v>
      </c>
      <c r="B508" s="4" t="s">
        <v>686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>
        <v>23769</v>
      </c>
      <c r="B509" s="4" t="s">
        <v>687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>
        <v>23770</v>
      </c>
      <c r="B510" s="4" t="s">
        <v>688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>
        <v>23771</v>
      </c>
      <c r="B511" s="4" t="s">
        <v>689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>
        <v>23772</v>
      </c>
      <c r="B512" s="4" t="s">
        <v>690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>
        <v>23773</v>
      </c>
      <c r="B513" s="4" t="s">
        <v>691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>
        <v>23774</v>
      </c>
      <c r="B514" s="4" t="s">
        <v>692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>
        <v>23775</v>
      </c>
      <c r="B515" s="4" t="s">
        <v>693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>
        <v>23776</v>
      </c>
      <c r="B516" s="4" t="s">
        <v>695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>
        <v>23777</v>
      </c>
      <c r="B517" s="4" t="s">
        <v>696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>
        <v>23778</v>
      </c>
      <c r="B518" s="4" t="s">
        <v>697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>
        <v>23779</v>
      </c>
      <c r="B519" s="4" t="s">
        <v>698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>
        <v>23780</v>
      </c>
      <c r="B520" s="4" t="s">
        <v>699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>
        <v>23781</v>
      </c>
      <c r="B521" s="4" t="s">
        <v>700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>
        <v>23782</v>
      </c>
      <c r="B522" s="4" t="s">
        <v>701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>
        <v>23783</v>
      </c>
      <c r="B523" s="4" t="s">
        <v>702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>
        <v>23784</v>
      </c>
      <c r="B524" s="4" t="s">
        <v>703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>
        <v>23785</v>
      </c>
      <c r="B525" s="4" t="s">
        <v>704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>
        <v>23786</v>
      </c>
      <c r="B526" s="4" t="s">
        <v>705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>
        <v>23787</v>
      </c>
      <c r="B527" s="4" t="s">
        <v>706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>
        <v>23788</v>
      </c>
      <c r="B528" s="4" t="s">
        <v>707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>
        <v>23789</v>
      </c>
      <c r="B529" s="4" t="s">
        <v>708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>
        <v>23790</v>
      </c>
      <c r="B530" s="4" t="s">
        <v>709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>
        <v>23791</v>
      </c>
      <c r="B531" s="4" t="s">
        <v>711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>
        <v>23792</v>
      </c>
      <c r="B532" s="4" t="s">
        <v>712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>
        <v>23793</v>
      </c>
      <c r="B533" s="4" t="s">
        <v>713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>
        <v>23794</v>
      </c>
      <c r="B534" s="4" t="s">
        <v>714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>
        <v>23795</v>
      </c>
      <c r="B535" s="4" t="s">
        <v>715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>
        <v>23796</v>
      </c>
      <c r="B536" s="4" t="s">
        <v>716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>
        <v>23797</v>
      </c>
      <c r="B537" s="4" t="s">
        <v>717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>
        <v>23798</v>
      </c>
      <c r="B538" s="4" t="s">
        <v>718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>
        <v>23799</v>
      </c>
      <c r="B539" s="4" t="s">
        <v>719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>
        <v>23800</v>
      </c>
      <c r="B540" s="4" t="s">
        <v>720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>
        <v>23801</v>
      </c>
      <c r="B541" s="4" t="s">
        <v>721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>
        <v>23802</v>
      </c>
      <c r="B542" s="4" t="s">
        <v>722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>
        <v>23803</v>
      </c>
      <c r="B543" s="4" t="s">
        <v>723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>
        <v>23804</v>
      </c>
      <c r="B544" s="4" t="s">
        <v>724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>
        <v>23805</v>
      </c>
      <c r="B545" s="4" t="s">
        <v>725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>
        <v>23806</v>
      </c>
      <c r="B546" s="4" t="s">
        <v>726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>
        <v>23807</v>
      </c>
      <c r="B547" s="4" t="s">
        <v>727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>
        <v>23808</v>
      </c>
      <c r="B548" s="4" t="s">
        <v>728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>
        <v>23809</v>
      </c>
      <c r="B549" s="4" t="s">
        <v>729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>
        <v>23810</v>
      </c>
      <c r="B550" s="4" t="s">
        <v>730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>
        <v>23811</v>
      </c>
      <c r="B551" s="4" t="s">
        <v>731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>
        <v>23812</v>
      </c>
      <c r="B552" s="4" t="s">
        <v>732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>
        <v>23813</v>
      </c>
      <c r="B553" s="4" t="s">
        <v>733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>
        <v>23814</v>
      </c>
      <c r="B554" s="4" t="s">
        <v>734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>
        <v>23815</v>
      </c>
      <c r="B555" s="4" t="s">
        <v>735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>
        <v>23816</v>
      </c>
      <c r="B556" s="4" t="s">
        <v>736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>
        <v>23817</v>
      </c>
      <c r="B557" s="4" t="s">
        <v>737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>
        <v>23818</v>
      </c>
      <c r="B558" s="4" t="s">
        <v>738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>
        <v>23819</v>
      </c>
      <c r="B559" s="4" t="s">
        <v>739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>
        <v>23820</v>
      </c>
      <c r="B560" s="4" t="s">
        <v>740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>
        <v>23821</v>
      </c>
      <c r="B561" s="4" t="s">
        <v>741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>
        <v>23822</v>
      </c>
      <c r="B562" s="4" t="s">
        <v>742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>
        <v>23823</v>
      </c>
      <c r="B563" s="4" t="s">
        <v>743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>
        <v>23824</v>
      </c>
      <c r="B564" s="4" t="s">
        <v>744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>
        <v>23825</v>
      </c>
      <c r="B565" s="4" t="s">
        <v>745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>
        <v>23826</v>
      </c>
      <c r="B566" s="4" t="s">
        <v>746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>
        <v>23827</v>
      </c>
      <c r="B567" s="4" t="s">
        <v>747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>
        <v>23828</v>
      </c>
      <c r="B568" s="4" t="s">
        <v>748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>
        <v>23829</v>
      </c>
      <c r="B569" s="4" t="s">
        <v>749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>
        <v>23830</v>
      </c>
      <c r="B570" s="4" t="s">
        <v>750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>
        <v>23831</v>
      </c>
      <c r="B571" s="4" t="s">
        <v>751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>
        <v>23832</v>
      </c>
      <c r="B572" s="4" t="s">
        <v>752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>
        <v>23833</v>
      </c>
      <c r="B573" s="4" t="s">
        <v>753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>
        <v>23834</v>
      </c>
      <c r="B574" s="4" t="s">
        <v>754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>
        <v>23835</v>
      </c>
      <c r="B575" s="4" t="s">
        <v>755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>
        <v>23836</v>
      </c>
      <c r="B576" s="4" t="s">
        <v>757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>
        <v>23837</v>
      </c>
      <c r="B577" s="4" t="s">
        <v>758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>
        <v>23838</v>
      </c>
      <c r="B578" s="4" t="s">
        <v>759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>
        <v>23839</v>
      </c>
      <c r="B579" s="4" t="s">
        <v>760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>
        <v>23840</v>
      </c>
      <c r="B580" s="4" t="s">
        <v>761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>
        <v>23841</v>
      </c>
      <c r="B581" s="4" t="s">
        <v>762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>
        <v>23842</v>
      </c>
      <c r="B582" s="4" t="s">
        <v>763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>
        <v>23843</v>
      </c>
      <c r="B583" s="4" t="s">
        <v>764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>
        <v>23844</v>
      </c>
      <c r="B584" s="4" t="s">
        <v>765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>
        <v>23845</v>
      </c>
      <c r="B585" s="4" t="s">
        <v>766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>
        <v>23846</v>
      </c>
      <c r="B586" s="4" t="s">
        <v>767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>
        <v>23847</v>
      </c>
      <c r="B587" s="4" t="s">
        <v>768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>
        <v>23848</v>
      </c>
      <c r="B588" s="4" t="s">
        <v>769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>
        <v>23849</v>
      </c>
      <c r="B589" s="4" t="s">
        <v>770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>
        <v>23850</v>
      </c>
      <c r="B590" s="4" t="s">
        <v>771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>
        <v>23851</v>
      </c>
      <c r="B591" s="4" t="s">
        <v>772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>
        <v>23852</v>
      </c>
      <c r="B592" s="4" t="s">
        <v>773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>
        <v>23853</v>
      </c>
      <c r="B593" s="4" t="s">
        <v>774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>
        <v>23854</v>
      </c>
      <c r="B594" s="4" t="s">
        <v>775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>
        <v>23855</v>
      </c>
      <c r="B595" s="4" t="s">
        <v>776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>
        <v>23856</v>
      </c>
      <c r="B596" s="4" t="s">
        <v>777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>
        <v>23857</v>
      </c>
      <c r="B597" s="4" t="s">
        <v>778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>
        <v>23858</v>
      </c>
      <c r="B598" s="4" t="s">
        <v>779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>
        <v>23859</v>
      </c>
      <c r="B599" s="4" t="s">
        <v>780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>
        <v>23860</v>
      </c>
      <c r="B600" s="4" t="s">
        <v>782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>
        <v>23861</v>
      </c>
      <c r="B601" s="4" t="s">
        <v>783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>
        <v>23862</v>
      </c>
      <c r="B602" s="4" t="s">
        <v>784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>
        <v>23863</v>
      </c>
      <c r="B603" s="4" t="s">
        <v>785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>
        <v>23864</v>
      </c>
      <c r="B604" s="4" t="s">
        <v>786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>
        <v>23865</v>
      </c>
      <c r="B605" s="4" t="s">
        <v>787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>
        <v>23866</v>
      </c>
      <c r="B606" s="4" t="s">
        <v>788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>
        <v>23867</v>
      </c>
      <c r="B607" s="4" t="s">
        <v>789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>
        <v>23868</v>
      </c>
      <c r="B608" s="4" t="s">
        <v>790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>
        <v>23869</v>
      </c>
      <c r="B609" s="4" t="s">
        <v>791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>
        <v>23870</v>
      </c>
      <c r="B610" s="4" t="s">
        <v>792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>
        <v>23871</v>
      </c>
      <c r="B611" s="4" t="s">
        <v>793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>
        <v>23872</v>
      </c>
      <c r="B612" s="4" t="s">
        <v>794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>
        <v>23873</v>
      </c>
      <c r="B613" s="4" t="s">
        <v>795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>
        <v>23874</v>
      </c>
      <c r="B614" s="4" t="s">
        <v>796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>
        <v>23875</v>
      </c>
      <c r="B615" s="4" t="s">
        <v>797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>
        <v>23876</v>
      </c>
      <c r="B616" s="4" t="s">
        <v>798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>
        <v>23877</v>
      </c>
      <c r="B617" s="4" t="s">
        <v>799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>
        <v>23878</v>
      </c>
      <c r="B618" s="4" t="s">
        <v>800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>
        <v>23879</v>
      </c>
      <c r="B619" s="4" t="s">
        <v>801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>
        <v>23880</v>
      </c>
      <c r="B620" s="4" t="s">
        <v>802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>
        <v>23881</v>
      </c>
      <c r="B621" s="4" t="s">
        <v>803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>
        <v>23882</v>
      </c>
      <c r="B622" s="4" t="s">
        <v>804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>
        <v>23883</v>
      </c>
      <c r="B623" s="4" t="s">
        <v>805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>
        <v>23884</v>
      </c>
      <c r="B624" s="4" t="s">
        <v>806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>
        <v>23885</v>
      </c>
      <c r="B625" s="4" t="s">
        <v>807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>
        <v>23886</v>
      </c>
      <c r="B626" s="4" t="s">
        <v>808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>
        <v>23887</v>
      </c>
      <c r="B627" s="4" t="s">
        <v>809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>
        <v>23888</v>
      </c>
      <c r="B628" s="4" t="s">
        <v>810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>
        <v>23889</v>
      </c>
      <c r="B629" s="4" t="s">
        <v>811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>
        <v>23890</v>
      </c>
      <c r="B630" s="4" t="s">
        <v>812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>
        <v>23891</v>
      </c>
      <c r="B631" s="4" t="s">
        <v>813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>
        <v>23892</v>
      </c>
      <c r="B632" s="4" t="s">
        <v>814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>
        <v>23893</v>
      </c>
      <c r="B633" s="4" t="s">
        <v>815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>
        <v>23894</v>
      </c>
      <c r="B634" s="4" t="s">
        <v>816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>
        <v>23895</v>
      </c>
      <c r="B635" s="4" t="s">
        <v>817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>
        <v>23896</v>
      </c>
      <c r="B636" s="4" t="s">
        <v>818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>
        <v>23897</v>
      </c>
      <c r="B637" s="4" t="s">
        <v>819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>
        <v>23898</v>
      </c>
      <c r="B638" s="4" t="s">
        <v>820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>
        <v>23899</v>
      </c>
      <c r="B639" s="4" t="s">
        <v>821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>
        <v>23900</v>
      </c>
      <c r="B640" s="4" t="s">
        <v>822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>
        <v>23901</v>
      </c>
      <c r="B641" s="4" t="s">
        <v>823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>
        <v>23902</v>
      </c>
      <c r="B642" s="4" t="s">
        <v>824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>
        <v>23903</v>
      </c>
      <c r="B643" s="4" t="s">
        <v>825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>
        <v>23904</v>
      </c>
      <c r="B644" s="4" t="s">
        <v>826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>
        <v>23905</v>
      </c>
      <c r="B645" s="4" t="s">
        <v>827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>
        <v>23906</v>
      </c>
      <c r="B646" s="4" t="s">
        <v>828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>
        <v>23907</v>
      </c>
      <c r="B647" s="4" t="s">
        <v>829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>
        <v>23908</v>
      </c>
      <c r="B648" s="4" t="s">
        <v>830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>
        <v>23909</v>
      </c>
      <c r="B649" s="4" t="s">
        <v>831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>
        <v>23910</v>
      </c>
      <c r="B650" s="4" t="s">
        <v>832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>
        <v>23911</v>
      </c>
      <c r="B651" s="4" t="s">
        <v>833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>
        <v>23912</v>
      </c>
      <c r="B652" s="4" t="s">
        <v>709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>
        <v>23913</v>
      </c>
      <c r="B653" s="4" t="s">
        <v>834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>
        <v>23914</v>
      </c>
      <c r="B654" s="4" t="s">
        <v>835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>
        <v>23915</v>
      </c>
      <c r="B655" s="4" t="s">
        <v>836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>
        <v>23916</v>
      </c>
      <c r="B656" s="4" t="s">
        <v>837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>
        <v>23917</v>
      </c>
      <c r="B657" s="4" t="s">
        <v>838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>
        <v>23918</v>
      </c>
      <c r="B658" s="4" t="s">
        <v>839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>
        <v>23919</v>
      </c>
      <c r="B659" s="4" t="s">
        <v>840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>
        <v>23920</v>
      </c>
      <c r="B660" s="4" t="s">
        <v>841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>
        <v>23921</v>
      </c>
      <c r="B661" s="4" t="s">
        <v>843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>
        <v>23922</v>
      </c>
      <c r="B662" s="4" t="s">
        <v>844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>
        <v>23923</v>
      </c>
      <c r="B663" s="4" t="s">
        <v>845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>
        <v>23924</v>
      </c>
      <c r="B664" s="4" t="s">
        <v>846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>
        <v>23925</v>
      </c>
      <c r="B665" s="4" t="s">
        <v>847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>
        <v>23926</v>
      </c>
      <c r="B666" s="4" t="s">
        <v>848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>
        <v>23927</v>
      </c>
      <c r="B667" s="4" t="s">
        <v>849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>
        <v>23928</v>
      </c>
      <c r="B668" s="4" t="s">
        <v>850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>
        <v>23929</v>
      </c>
      <c r="B669" s="4" t="s">
        <v>851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>
        <v>23930</v>
      </c>
      <c r="B670" s="4" t="s">
        <v>852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>
        <v>23931</v>
      </c>
      <c r="B671" s="4" t="s">
        <v>853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>
        <v>23932</v>
      </c>
      <c r="B672" s="4" t="s">
        <v>854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>
        <v>23933</v>
      </c>
      <c r="B673" s="4" t="s">
        <v>855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>
        <v>23934</v>
      </c>
      <c r="B674" s="4" t="s">
        <v>856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>
        <v>23935</v>
      </c>
      <c r="B675" s="4" t="s">
        <v>857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>
        <v>23936</v>
      </c>
      <c r="B676" s="4" t="s">
        <v>858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>
        <v>23937</v>
      </c>
      <c r="B677" s="4" t="s">
        <v>859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>
        <v>23938</v>
      </c>
      <c r="B678" s="4" t="s">
        <v>860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>
        <v>23939</v>
      </c>
      <c r="B679" s="4" t="s">
        <v>861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>
        <v>23940</v>
      </c>
      <c r="B680" s="4" t="s">
        <v>862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>
        <v>23941</v>
      </c>
      <c r="B681" s="4" t="s">
        <v>863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>
        <v>23942</v>
      </c>
      <c r="B682" s="4" t="s">
        <v>864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>
        <v>23943</v>
      </c>
      <c r="B683" s="4" t="s">
        <v>865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>
        <v>23944</v>
      </c>
      <c r="B684" s="4" t="s">
        <v>866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>
        <v>23945</v>
      </c>
      <c r="B685" s="4" t="s">
        <v>867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>
        <v>23946</v>
      </c>
      <c r="B686" s="4" t="s">
        <v>868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>
        <v>23947</v>
      </c>
      <c r="B687" s="4" t="s">
        <v>869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>
        <v>23948</v>
      </c>
      <c r="B688" s="4" t="s">
        <v>870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>
        <v>23949</v>
      </c>
      <c r="B689" s="4" t="s">
        <v>871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>
        <v>23950</v>
      </c>
      <c r="B690" s="4" t="s">
        <v>872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>
        <v>23951</v>
      </c>
      <c r="B691" s="4" t="s">
        <v>873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>
        <v>23952</v>
      </c>
      <c r="B692" s="4" t="s">
        <v>874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>
        <v>23953</v>
      </c>
      <c r="B693" s="4" t="s">
        <v>875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>
        <v>23954</v>
      </c>
      <c r="B694" s="4" t="s">
        <v>876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>
        <v>23955</v>
      </c>
      <c r="B695" s="4" t="s">
        <v>877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>
        <v>23956</v>
      </c>
      <c r="B696" s="4" t="s">
        <v>878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>
        <v>23957</v>
      </c>
      <c r="B697" s="4" t="s">
        <v>879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>
        <v>23958</v>
      </c>
      <c r="B698" s="4" t="s">
        <v>880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>
        <v>23959</v>
      </c>
      <c r="B699" s="4" t="s">
        <v>881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>
        <v>23960</v>
      </c>
      <c r="B700" s="4" t="s">
        <v>882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>
        <v>23961</v>
      </c>
      <c r="B701" s="4" t="s">
        <v>883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>
        <v>23962</v>
      </c>
      <c r="B702" s="4" t="s">
        <v>884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>
        <v>23963</v>
      </c>
      <c r="B703" s="4" t="s">
        <v>885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>
        <v>23964</v>
      </c>
      <c r="B704" s="4" t="s">
        <v>886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>
        <v>23965</v>
      </c>
      <c r="B705" s="4" t="s">
        <v>887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>
        <v>23966</v>
      </c>
      <c r="B706" s="4" t="s">
        <v>888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>
        <v>23967</v>
      </c>
      <c r="B707" s="4" t="s">
        <v>889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>
        <v>23968</v>
      </c>
      <c r="B708" s="4" t="s">
        <v>890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>
        <v>23969</v>
      </c>
      <c r="B709" s="4" t="s">
        <v>891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>
        <v>23970</v>
      </c>
      <c r="B710" s="4" t="s">
        <v>893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>
        <v>23971</v>
      </c>
      <c r="B711" s="4" t="s">
        <v>894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>
        <v>23972</v>
      </c>
      <c r="B712" s="4" t="s">
        <v>895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>
        <v>23973</v>
      </c>
      <c r="B713" s="4" t="s">
        <v>896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>
        <v>23974</v>
      </c>
      <c r="B714" s="4" t="s">
        <v>897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>
        <v>23975</v>
      </c>
      <c r="B715" s="4" t="s">
        <v>898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>
        <v>23976</v>
      </c>
      <c r="B716" s="4" t="s">
        <v>899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>
        <v>23977</v>
      </c>
      <c r="B717" s="4" t="s">
        <v>900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>
        <v>23978</v>
      </c>
      <c r="B718" s="4" t="s">
        <v>901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>
        <v>23979</v>
      </c>
      <c r="B719" s="4" t="s">
        <v>902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>
        <v>23980</v>
      </c>
      <c r="B720" s="4" t="s">
        <v>903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>
        <v>23981</v>
      </c>
      <c r="B721" s="4" t="s">
        <v>904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>
        <v>23982</v>
      </c>
      <c r="B722" s="4" t="s">
        <v>561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>
        <v>23983</v>
      </c>
      <c r="B723" s="4" t="s">
        <v>905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>
        <v>23984</v>
      </c>
      <c r="B724" s="4" t="s">
        <v>906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>
        <v>23985</v>
      </c>
      <c r="B725" s="4" t="s">
        <v>907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>
        <v>23986</v>
      </c>
      <c r="B726" s="4" t="s">
        <v>908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>
        <v>23987</v>
      </c>
      <c r="B727" s="4" t="s">
        <v>909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>
        <v>23988</v>
      </c>
      <c r="B728" s="4" t="s">
        <v>910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>
        <v>23989</v>
      </c>
      <c r="B729" s="4" t="s">
        <v>911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>
        <v>23990</v>
      </c>
      <c r="B730" s="4" t="s">
        <v>912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>
        <v>23991</v>
      </c>
      <c r="B731" s="4" t="s">
        <v>913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>
        <v>23992</v>
      </c>
      <c r="B732" s="4" t="s">
        <v>914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>
        <v>23993</v>
      </c>
      <c r="B733" s="4" t="s">
        <v>915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>
        <v>23994</v>
      </c>
      <c r="B734" s="4" t="s">
        <v>916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>
        <v>23995</v>
      </c>
      <c r="B735" s="4" t="s">
        <v>917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>
        <v>23996</v>
      </c>
      <c r="B736" s="4" t="s">
        <v>918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>
        <v>23997</v>
      </c>
      <c r="B737" s="4" t="s">
        <v>919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>
        <v>23998</v>
      </c>
      <c r="B738" s="4" t="s">
        <v>920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>
        <v>23999</v>
      </c>
      <c r="B739" s="4" t="s">
        <v>921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>
        <v>24000</v>
      </c>
      <c r="B740" s="4" t="s">
        <v>922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>
        <v>24001</v>
      </c>
      <c r="B741" s="4" t="s">
        <v>924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>
        <v>24002</v>
      </c>
      <c r="B742" s="4" t="s">
        <v>925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>
        <v>24003</v>
      </c>
      <c r="B743" s="4" t="s">
        <v>927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>
        <v>24004</v>
      </c>
      <c r="B744" s="4" t="s">
        <v>928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>
        <v>24005</v>
      </c>
      <c r="B745" s="4" t="s">
        <v>929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>
        <v>24006</v>
      </c>
      <c r="B746" s="4" t="s">
        <v>930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>
        <v>24007</v>
      </c>
      <c r="B747" s="4" t="s">
        <v>931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>
        <v>24008</v>
      </c>
      <c r="B748" s="4" t="s">
        <v>932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>
        <v>24009</v>
      </c>
      <c r="B749" s="4" t="s">
        <v>933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>
        <v>24010</v>
      </c>
      <c r="B750" s="4" t="s">
        <v>934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>
        <v>24011</v>
      </c>
      <c r="B751" s="4" t="s">
        <v>935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>
        <v>24012</v>
      </c>
      <c r="B752" s="4" t="s">
        <v>936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>
        <v>24013</v>
      </c>
      <c r="B753" s="4" t="s">
        <v>937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>
        <v>24014</v>
      </c>
      <c r="B754" s="4" t="s">
        <v>939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>
        <v>24015</v>
      </c>
      <c r="B755" s="4" t="s">
        <v>940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>
        <v>24016</v>
      </c>
      <c r="B756" s="4" t="s">
        <v>941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>
        <v>24017</v>
      </c>
      <c r="B757" s="4" t="s">
        <v>942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>
        <v>24018</v>
      </c>
      <c r="B758" s="4" t="s">
        <v>943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>
        <v>24019</v>
      </c>
      <c r="B759" s="4" t="s">
        <v>944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>
        <v>24020</v>
      </c>
      <c r="B760" s="4" t="s">
        <v>945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>
        <v>24021</v>
      </c>
      <c r="B761" s="4" t="s">
        <v>946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>
        <v>24022</v>
      </c>
      <c r="B762" s="4" t="s">
        <v>947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>
        <v>24023</v>
      </c>
      <c r="B763" s="4" t="s">
        <v>948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>
        <v>24024</v>
      </c>
      <c r="B764" s="4" t="s">
        <v>949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>
        <v>24025</v>
      </c>
      <c r="B765" s="4" t="s">
        <v>942</v>
      </c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>
        <v>24026</v>
      </c>
      <c r="B766" s="4" t="s">
        <v>950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>
        <v>24027</v>
      </c>
      <c r="B767" s="4" t="s">
        <v>951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>
        <v>24028</v>
      </c>
      <c r="B768" s="4" t="s">
        <v>952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>
        <v>24029</v>
      </c>
      <c r="B769" s="4" t="s">
        <v>953</v>
      </c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>
        <v>24030</v>
      </c>
      <c r="B770" s="4" t="s">
        <v>954</v>
      </c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>
        <v>24031</v>
      </c>
      <c r="B771" s="4" t="s">
        <v>955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>
        <v>24032</v>
      </c>
      <c r="B772" s="4" t="s">
        <v>956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>
        <v>24033</v>
      </c>
      <c r="B773" s="4" t="s">
        <v>957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>
        <v>24034</v>
      </c>
      <c r="B774" s="4" t="s">
        <v>958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>
        <v>24035</v>
      </c>
      <c r="B775" s="4" t="s">
        <v>506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>
        <v>24036</v>
      </c>
      <c r="B776" s="4" t="s">
        <v>959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>
        <v>24037</v>
      </c>
      <c r="B777" s="4" t="s">
        <v>960</v>
      </c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>
        <v>24038</v>
      </c>
      <c r="B778" s="4" t="s">
        <v>961</v>
      </c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>
        <v>24039</v>
      </c>
      <c r="B779" s="4" t="s">
        <v>962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>
        <v>24040</v>
      </c>
      <c r="B780" s="4" t="s">
        <v>963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>
        <v>24041</v>
      </c>
      <c r="B781" s="4" t="s">
        <v>964</v>
      </c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>
        <v>24042</v>
      </c>
      <c r="B782" s="4" t="s">
        <v>965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>
        <v>24043</v>
      </c>
      <c r="B783" s="4" t="s">
        <v>966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>
        <v>24044</v>
      </c>
      <c r="B784" s="4" t="s">
        <v>967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>
        <v>24045</v>
      </c>
      <c r="B785" s="4" t="s">
        <v>968</v>
      </c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>
        <v>24046</v>
      </c>
      <c r="B786" s="4" t="s">
        <v>660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>
        <v>24047</v>
      </c>
      <c r="B787" s="4" t="s">
        <v>969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>
        <v>24048</v>
      </c>
      <c r="B788" s="4" t="s">
        <v>955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>
        <v>24049</v>
      </c>
      <c r="B789" s="4" t="s">
        <v>970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>
        <v>24050</v>
      </c>
      <c r="B790" s="4" t="s">
        <v>971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>
        <v>24051</v>
      </c>
      <c r="B791" s="4" t="s">
        <v>972</v>
      </c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>
        <v>24052</v>
      </c>
      <c r="B792" s="4" t="s">
        <v>973</v>
      </c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>
        <v>24053</v>
      </c>
      <c r="B793" s="4" t="s">
        <v>974</v>
      </c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>
        <v>24054</v>
      </c>
      <c r="B794" s="4" t="s">
        <v>975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>
        <v>24055</v>
      </c>
      <c r="B795" s="4" t="s">
        <v>976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>
        <v>24056</v>
      </c>
      <c r="B796" s="4" t="s">
        <v>977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>
        <v>24057</v>
      </c>
      <c r="B797" s="4" t="s">
        <v>978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>
        <v>24058</v>
      </c>
      <c r="B798" s="4" t="s">
        <v>979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>
        <v>24059</v>
      </c>
      <c r="B799" s="4" t="s">
        <v>980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>
        <v>24060</v>
      </c>
      <c r="B800" s="4" t="s">
        <v>981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>
        <v>24061</v>
      </c>
      <c r="B801" s="4" t="s">
        <v>982</v>
      </c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>
        <v>24062</v>
      </c>
      <c r="B802" s="4" t="s">
        <v>983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>
        <v>24063</v>
      </c>
      <c r="B803" s="4" t="s">
        <v>984</v>
      </c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>
        <v>24064</v>
      </c>
      <c r="B804" s="4" t="s">
        <v>985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>
        <v>24065</v>
      </c>
      <c r="B805" s="4" t="s">
        <v>986</v>
      </c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>
        <v>24066</v>
      </c>
      <c r="B806" s="4" t="s">
        <v>987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>
        <v>24067</v>
      </c>
      <c r="B807" s="4" t="s">
        <v>988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>
        <v>24068</v>
      </c>
      <c r="B808" s="4" t="s">
        <v>989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>
        <v>24069</v>
      </c>
      <c r="B809" s="4" t="s">
        <v>991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>
        <v>24070</v>
      </c>
      <c r="B810" s="4" t="s">
        <v>992</v>
      </c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>
        <v>24071</v>
      </c>
      <c r="B811" s="4" t="s">
        <v>993</v>
      </c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>
        <v>24072</v>
      </c>
      <c r="B812" s="4" t="s">
        <v>994</v>
      </c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>
        <v>24073</v>
      </c>
      <c r="B813" s="4" t="s">
        <v>995</v>
      </c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>
        <v>24074</v>
      </c>
      <c r="B814" s="4" t="s">
        <v>996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>
        <v>24075</v>
      </c>
      <c r="B815" s="4" t="s">
        <v>997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>
        <v>24076</v>
      </c>
      <c r="B816" s="4" t="s">
        <v>998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>
        <v>24077</v>
      </c>
      <c r="B817" s="4" t="s">
        <v>999</v>
      </c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>
        <v>24078</v>
      </c>
      <c r="B818" s="4" t="s">
        <v>1000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>
        <v>24079</v>
      </c>
      <c r="B819" s="4" t="s">
        <v>1001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>
        <v>24080</v>
      </c>
      <c r="B820" s="4" t="s">
        <v>1002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>
        <v>24081</v>
      </c>
      <c r="B821" s="4" t="s">
        <v>1003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>
        <v>24082</v>
      </c>
      <c r="B822" s="4" t="s">
        <v>1004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>
        <v>24083</v>
      </c>
      <c r="B823" s="4" t="s">
        <v>1005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>
        <v>24084</v>
      </c>
      <c r="B824" s="4" t="s">
        <v>1006</v>
      </c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>
        <v>24085</v>
      </c>
      <c r="B825" s="4" t="s">
        <v>1007</v>
      </c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>
        <v>24086</v>
      </c>
      <c r="B826" s="4" t="s">
        <v>1008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>
        <v>24087</v>
      </c>
      <c r="B827" s="4" t="s">
        <v>1009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>
        <v>24088</v>
      </c>
      <c r="B828" s="4" t="s">
        <v>1010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>
        <v>24089</v>
      </c>
      <c r="B829" s="4" t="s">
        <v>1011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>
        <v>24090</v>
      </c>
      <c r="B830" s="4" t="s">
        <v>1012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>
        <v>24091</v>
      </c>
      <c r="B831" s="4" t="s">
        <v>1013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>
        <v>24092</v>
      </c>
      <c r="B832" s="4" t="s">
        <v>1014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>
        <v>24093</v>
      </c>
      <c r="B833" s="4" t="s">
        <v>1015</v>
      </c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>
        <v>24094</v>
      </c>
      <c r="B834" s="4" t="s">
        <v>1016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>
        <v>24095</v>
      </c>
      <c r="B835" s="4" t="s">
        <v>1017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>
        <v>24096</v>
      </c>
      <c r="B836" s="4" t="s">
        <v>1018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>
        <v>24097</v>
      </c>
      <c r="B837" s="4" t="s">
        <v>1019</v>
      </c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>
        <v>24098</v>
      </c>
      <c r="B838" s="4" t="s">
        <v>1020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>
        <v>24099</v>
      </c>
      <c r="B839" s="4" t="s">
        <v>1021</v>
      </c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>
        <v>24100</v>
      </c>
      <c r="B840" s="4" t="s">
        <v>1022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>
        <v>24101</v>
      </c>
      <c r="B841" s="4" t="s">
        <v>1023</v>
      </c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>
        <v>24102</v>
      </c>
      <c r="B842" s="4" t="s">
        <v>1024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>
        <v>24103</v>
      </c>
      <c r="B843" s="4" t="s">
        <v>1025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>
        <v>24104</v>
      </c>
      <c r="B844" s="4" t="s">
        <v>1026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>
        <v>24105</v>
      </c>
      <c r="B845" s="4" t="s">
        <v>1027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>
        <v>24106</v>
      </c>
      <c r="B846" s="4" t="s">
        <v>1028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>
        <v>24107</v>
      </c>
      <c r="B847" s="4" t="s">
        <v>1029</v>
      </c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>
        <v>24108</v>
      </c>
      <c r="B848" s="4" t="s">
        <v>1030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>
        <v>24109</v>
      </c>
      <c r="B849" s="4" t="s">
        <v>1031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>
        <v>24110</v>
      </c>
      <c r="B850" s="4" t="s">
        <v>1032</v>
      </c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>
        <v>24111</v>
      </c>
      <c r="B851" s="4" t="s">
        <v>1033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>
        <v>24112</v>
      </c>
      <c r="B852" s="4" t="s">
        <v>1034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>
        <v>24113</v>
      </c>
      <c r="B853" s="4" t="s">
        <v>1035</v>
      </c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>
        <v>24114</v>
      </c>
      <c r="B854" s="4" t="s">
        <v>1036</v>
      </c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>
        <v>24115</v>
      </c>
      <c r="B855" s="4" t="s">
        <v>1037</v>
      </c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>
        <v>24116</v>
      </c>
      <c r="B856" s="4" t="s">
        <v>1039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>
        <v>24117</v>
      </c>
      <c r="B857" s="4" t="s">
        <v>1040</v>
      </c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>
        <v>24118</v>
      </c>
      <c r="B858" s="4" t="s">
        <v>1041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>
        <v>24119</v>
      </c>
      <c r="B859" s="4" t="s">
        <v>1042</v>
      </c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>
        <v>24120</v>
      </c>
      <c r="B860" s="4" t="s">
        <v>1043</v>
      </c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>
        <v>24121</v>
      </c>
      <c r="B861" s="4" t="s">
        <v>1044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>
        <v>24122</v>
      </c>
      <c r="B862" s="4" t="s">
        <v>1045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>
        <v>24123</v>
      </c>
      <c r="B863" s="4" t="s">
        <v>1046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>
        <v>24124</v>
      </c>
      <c r="B864" s="4" t="s">
        <v>1047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>
        <v>24125</v>
      </c>
      <c r="B865" s="4" t="s">
        <v>1048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>
        <v>24126</v>
      </c>
      <c r="B866" s="4" t="s">
        <v>1049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>
        <v>24127</v>
      </c>
      <c r="B867" s="4" t="s">
        <v>1050</v>
      </c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>
        <v>24128</v>
      </c>
      <c r="B868" s="4" t="s">
        <v>1051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>
        <v>24129</v>
      </c>
      <c r="B869" s="4" t="s">
        <v>1052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>
        <v>24130</v>
      </c>
      <c r="B870" s="4" t="s">
        <v>1053</v>
      </c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>
        <v>24131</v>
      </c>
      <c r="B871" s="4" t="s">
        <v>1054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>
        <v>24132</v>
      </c>
      <c r="B872" s="4" t="s">
        <v>1055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>
        <v>24133</v>
      </c>
      <c r="B873" s="4" t="s">
        <v>1056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>
        <v>24134</v>
      </c>
      <c r="B874" s="4" t="s">
        <v>1057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>
        <v>24135</v>
      </c>
      <c r="B875" s="4" t="s">
        <v>1058</v>
      </c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>
        <v>24136</v>
      </c>
      <c r="B876" s="4" t="s">
        <v>1059</v>
      </c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>
        <v>24137</v>
      </c>
      <c r="B877" s="4" t="s">
        <v>1060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>
        <v>24138</v>
      </c>
      <c r="B878" s="4" t="s">
        <v>1061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>
        <v>24139</v>
      </c>
      <c r="B879" s="4" t="s">
        <v>1062</v>
      </c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>
        <v>24140</v>
      </c>
      <c r="B880" s="4" t="s">
        <v>1063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>
        <v>24141</v>
      </c>
      <c r="B881" s="4" t="s">
        <v>1064</v>
      </c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>
        <v>24142</v>
      </c>
      <c r="B882" s="4" t="s">
        <v>1065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>
        <v>24143</v>
      </c>
      <c r="B883" s="4" t="s">
        <v>1066</v>
      </c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>
        <v>24144</v>
      </c>
      <c r="B884" s="4" t="s">
        <v>1067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>
        <v>24145</v>
      </c>
      <c r="B885" s="4" t="s">
        <v>1068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>
        <v>24146</v>
      </c>
      <c r="B886" s="4" t="s">
        <v>1069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>
        <v>24147</v>
      </c>
      <c r="B887" s="4" t="s">
        <v>1070</v>
      </c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>
        <v>24148</v>
      </c>
      <c r="B888" s="4" t="s">
        <v>1071</v>
      </c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>
        <v>24149</v>
      </c>
      <c r="B889" s="4" t="s">
        <v>1072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>
        <v>24150</v>
      </c>
      <c r="B890" s="4" t="s">
        <v>1073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>
        <v>24151</v>
      </c>
      <c r="B891" s="4" t="s">
        <v>1074</v>
      </c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>
        <v>24152</v>
      </c>
      <c r="B892" s="4" t="s">
        <v>1075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>
        <v>24153</v>
      </c>
      <c r="B893" s="4" t="s">
        <v>1076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>
        <v>24154</v>
      </c>
      <c r="B894" s="4" t="s">
        <v>1077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>
        <v>24155</v>
      </c>
      <c r="B895" s="4" t="s">
        <v>1078</v>
      </c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>
        <v>24156</v>
      </c>
      <c r="B896" s="4" t="s">
        <v>1079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>
        <v>24157</v>
      </c>
      <c r="B897" s="4" t="s">
        <v>1080</v>
      </c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>
        <v>24158</v>
      </c>
      <c r="B898" s="4" t="s">
        <v>1081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>
        <v>24159</v>
      </c>
      <c r="B899" s="4" t="s">
        <v>1082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>
        <v>24160</v>
      </c>
      <c r="B900" s="4" t="s">
        <v>1083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>
        <v>24161</v>
      </c>
      <c r="B901" s="4" t="s">
        <v>1084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>
        <v>24162</v>
      </c>
      <c r="B902" s="4" t="s">
        <v>1085</v>
      </c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>
        <v>24163</v>
      </c>
      <c r="B903" s="4" t="s">
        <v>1086</v>
      </c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>
        <v>24164</v>
      </c>
      <c r="B904" s="4" t="s">
        <v>1087</v>
      </c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>
        <v>24165</v>
      </c>
      <c r="B905" s="4" t="s">
        <v>1088</v>
      </c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>
        <v>24166</v>
      </c>
      <c r="B906" s="4" t="s">
        <v>1089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>
        <v>24167</v>
      </c>
      <c r="B907" s="4" t="s">
        <v>1090</v>
      </c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>
        <v>24168</v>
      </c>
      <c r="B908" s="4" t="s">
        <v>1092</v>
      </c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>
        <v>24169</v>
      </c>
      <c r="B909" s="4" t="s">
        <v>1093</v>
      </c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>
        <v>24170</v>
      </c>
      <c r="B910" s="4" t="s">
        <v>1094</v>
      </c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>
        <v>24171</v>
      </c>
      <c r="B911" s="4" t="s">
        <v>1095</v>
      </c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>
        <v>24172</v>
      </c>
      <c r="B912" s="4" t="s">
        <v>1096</v>
      </c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>
        <v>24173</v>
      </c>
      <c r="B913" s="4" t="s">
        <v>1097</v>
      </c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>
        <v>24174</v>
      </c>
      <c r="B914" s="4" t="s">
        <v>1098</v>
      </c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>
        <v>24175</v>
      </c>
      <c r="B915" s="4" t="s">
        <v>1099</v>
      </c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>
        <v>24176</v>
      </c>
      <c r="B916" s="4" t="s">
        <v>1100</v>
      </c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>
        <v>24177</v>
      </c>
      <c r="B917" s="4" t="s">
        <v>1101</v>
      </c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>
        <v>24178</v>
      </c>
      <c r="B918" s="4" t="s">
        <v>1102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>
        <v>24179</v>
      </c>
      <c r="B919" s="4" t="s">
        <v>1103</v>
      </c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>
        <v>24180</v>
      </c>
      <c r="B920" s="4" t="s">
        <v>1104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>
        <v>24181</v>
      </c>
      <c r="B921" s="4" t="s">
        <v>1105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>
        <v>24182</v>
      </c>
      <c r="B922" s="4" t="s">
        <v>1106</v>
      </c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>
        <v>24183</v>
      </c>
      <c r="B923" s="4" t="s">
        <v>1107</v>
      </c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>
        <v>24184</v>
      </c>
      <c r="B924" s="4" t="s">
        <v>1108</v>
      </c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>
        <v>24185</v>
      </c>
      <c r="B925" s="4" t="s">
        <v>1109</v>
      </c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>
        <v>24186</v>
      </c>
      <c r="B926" s="4" t="s">
        <v>1110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>
        <v>24187</v>
      </c>
      <c r="B927" s="4" t="s">
        <v>1111</v>
      </c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>
        <v>24188</v>
      </c>
      <c r="B928" s="4" t="s">
        <v>1112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>
        <v>24189</v>
      </c>
      <c r="B929" s="4" t="s">
        <v>1113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>
        <v>24190</v>
      </c>
      <c r="B930" s="4" t="s">
        <v>1114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>
        <v>24191</v>
      </c>
      <c r="B931" s="4" t="s">
        <v>1115</v>
      </c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>
        <v>24192</v>
      </c>
      <c r="B932" s="4" t="s">
        <v>1116</v>
      </c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>
        <v>24193</v>
      </c>
      <c r="B933" s="4" t="s">
        <v>1117</v>
      </c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>
        <v>24194</v>
      </c>
      <c r="B934" s="4" t="s">
        <v>1118</v>
      </c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>
        <v>24195</v>
      </c>
      <c r="B935" s="4" t="s">
        <v>1119</v>
      </c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>
        <v>24196</v>
      </c>
      <c r="B936" s="4" t="s">
        <v>1120</v>
      </c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>
        <v>24197</v>
      </c>
      <c r="B937" s="4" t="s">
        <v>1121</v>
      </c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>
        <v>24198</v>
      </c>
      <c r="B938" s="4" t="s">
        <v>1122</v>
      </c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>
        <v>24199</v>
      </c>
      <c r="B939" s="4" t="s">
        <v>1123</v>
      </c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>
        <v>24200</v>
      </c>
      <c r="B940" s="4" t="s">
        <v>1124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>
        <v>24201</v>
      </c>
      <c r="B941" s="4" t="s">
        <v>1125</v>
      </c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>
        <v>24202</v>
      </c>
      <c r="B942" s="4" t="s">
        <v>1126</v>
      </c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>
        <v>24203</v>
      </c>
      <c r="B943" s="4" t="s">
        <v>1127</v>
      </c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>
        <v>24204</v>
      </c>
      <c r="B944" s="4" t="s">
        <v>1128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>
        <v>24205</v>
      </c>
      <c r="B945" s="4" t="s">
        <v>1129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>
        <v>24206</v>
      </c>
      <c r="B946" s="4" t="s">
        <v>1130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>
        <v>24207</v>
      </c>
      <c r="B947" s="4" t="s">
        <v>1131</v>
      </c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>
        <v>24208</v>
      </c>
      <c r="B948" s="4" t="s">
        <v>1132</v>
      </c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>
        <v>24209</v>
      </c>
      <c r="B949" s="4" t="s">
        <v>1133</v>
      </c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>
        <v>24210</v>
      </c>
      <c r="B950" s="4" t="s">
        <v>1134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>
        <v>24211</v>
      </c>
      <c r="B951" s="4" t="s">
        <v>1135</v>
      </c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>
        <v>24212</v>
      </c>
      <c r="B952" s="4" t="s">
        <v>1136</v>
      </c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>
        <v>24213</v>
      </c>
      <c r="B953" s="4" t="s">
        <v>1137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>
        <v>24214</v>
      </c>
      <c r="B954" s="4" t="s">
        <v>1138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>
        <v>24215</v>
      </c>
      <c r="B955" s="4" t="s">
        <v>1139</v>
      </c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>
        <v>24216</v>
      </c>
      <c r="B956" s="4" t="s">
        <v>1140</v>
      </c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>
        <v>24217</v>
      </c>
      <c r="B957" s="4" t="s">
        <v>1141</v>
      </c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>
        <v>24218</v>
      </c>
      <c r="B958" s="4" t="s">
        <v>1142</v>
      </c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>
        <v>24219</v>
      </c>
      <c r="B959" s="4" t="s">
        <v>1143</v>
      </c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>
        <v>24220</v>
      </c>
      <c r="B960" s="4" t="s">
        <v>1144</v>
      </c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>
        <v>24221</v>
      </c>
      <c r="B961" s="4" t="s">
        <v>1145</v>
      </c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>
        <v>24222</v>
      </c>
      <c r="B962" s="4" t="s">
        <v>1146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>
        <v>24223</v>
      </c>
      <c r="B963" s="4" t="s">
        <v>1147</v>
      </c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>
        <v>24224</v>
      </c>
      <c r="B964" s="4" t="s">
        <v>1148</v>
      </c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>
        <v>24225</v>
      </c>
      <c r="B965" s="4" t="s">
        <v>1149</v>
      </c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>
        <v>24226</v>
      </c>
      <c r="B966" s="4" t="s">
        <v>1150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>
        <v>24227</v>
      </c>
      <c r="B967" s="4" t="s">
        <v>1151</v>
      </c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>
        <v>24228</v>
      </c>
      <c r="B968" s="4" t="s">
        <v>1152</v>
      </c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>
        <v>24229</v>
      </c>
      <c r="B969" s="4" t="s">
        <v>1153</v>
      </c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>
        <v>24230</v>
      </c>
      <c r="B970" s="4" t="s">
        <v>1154</v>
      </c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>
        <v>24231</v>
      </c>
      <c r="B971" s="4" t="s">
        <v>1155</v>
      </c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>
        <v>24232</v>
      </c>
      <c r="B972" s="4" t="s">
        <v>1156</v>
      </c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>
        <v>24233</v>
      </c>
      <c r="B973" s="4" t="s">
        <v>1157</v>
      </c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>
        <v>24234</v>
      </c>
      <c r="B974" s="4" t="s">
        <v>1158</v>
      </c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>
        <v>24235</v>
      </c>
      <c r="B975" s="4" t="s">
        <v>1159</v>
      </c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>
        <v>24236</v>
      </c>
      <c r="B976" s="4" t="s">
        <v>1160</v>
      </c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>
        <v>24237</v>
      </c>
      <c r="B977" s="4" t="s">
        <v>1161</v>
      </c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>
        <v>24238</v>
      </c>
      <c r="B978" s="4" t="s">
        <v>1162</v>
      </c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>
        <v>24239</v>
      </c>
      <c r="B979" s="4" t="s">
        <v>1163</v>
      </c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>
        <v>24240</v>
      </c>
      <c r="B980" s="4" t="s">
        <v>1164</v>
      </c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>
        <v>24241</v>
      </c>
      <c r="B981" s="4" t="s">
        <v>1165</v>
      </c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>
        <v>24242</v>
      </c>
      <c r="B982" s="4" t="s">
        <v>1166</v>
      </c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>
        <v>24243</v>
      </c>
      <c r="B983" s="4" t="s">
        <v>1167</v>
      </c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>
        <v>24244</v>
      </c>
      <c r="B984" s="4" t="s">
        <v>1168</v>
      </c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>
        <v>24245</v>
      </c>
      <c r="B985" s="4" t="s">
        <v>1169</v>
      </c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>
        <v>24246</v>
      </c>
      <c r="B986" s="4" t="s">
        <v>1170</v>
      </c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>
        <v>24247</v>
      </c>
      <c r="B987" s="4" t="s">
        <v>1172</v>
      </c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>
        <v>24248</v>
      </c>
      <c r="B988" s="4" t="s">
        <v>1173</v>
      </c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>
        <v>24249</v>
      </c>
      <c r="B989" s="4" t="s">
        <v>1174</v>
      </c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>
        <v>24250</v>
      </c>
      <c r="B990" s="4" t="s">
        <v>1175</v>
      </c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>
        <v>24251</v>
      </c>
      <c r="B991" s="4" t="s">
        <v>382</v>
      </c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>
        <v>24252</v>
      </c>
      <c r="B992" s="4" t="s">
        <v>1176</v>
      </c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>
        <v>24253</v>
      </c>
      <c r="B993" s="4" t="s">
        <v>1177</v>
      </c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>
        <v>24254</v>
      </c>
      <c r="B994" s="4" t="s">
        <v>1178</v>
      </c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>
        <v>24255</v>
      </c>
      <c r="B995" s="4" t="s">
        <v>1179</v>
      </c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>
        <v>24256</v>
      </c>
      <c r="B996" s="4" t="s">
        <v>1180</v>
      </c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>
        <v>24257</v>
      </c>
      <c r="B997" s="4" t="s">
        <v>1181</v>
      </c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>
        <v>24258</v>
      </c>
      <c r="B998" s="4" t="s">
        <v>1182</v>
      </c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>
        <v>24259</v>
      </c>
      <c r="B999" s="4" t="s">
        <v>1183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C2" sqref="C2"/>
    </sheetView>
  </sheetViews>
  <sheetFormatPr baseColWidth="10" defaultColWidth="17.33203125" defaultRowHeight="15" customHeight="1" x14ac:dyDescent="0.25"/>
  <cols>
    <col min="1" max="1" width="30.5546875" customWidth="1"/>
    <col min="2" max="2" width="13.88671875" customWidth="1"/>
    <col min="3" max="13" width="9.109375" customWidth="1"/>
    <col min="14" max="26" width="10" customWidth="1"/>
  </cols>
  <sheetData>
    <row r="1" spans="1:26" ht="12.75" customHeight="1" x14ac:dyDescent="0.25">
      <c r="A1" s="4"/>
      <c r="B1" s="4" t="s">
        <v>1217</v>
      </c>
      <c r="C1" s="4" t="s">
        <v>1218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1" t="s">
        <v>1200</v>
      </c>
      <c r="B2" s="1">
        <v>2015</v>
      </c>
      <c r="C2" s="1">
        <v>2016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 t="s">
        <v>1206</v>
      </c>
      <c r="B3" s="4">
        <v>10972</v>
      </c>
      <c r="C3" s="4">
        <v>18721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4" t="s">
        <v>1205</v>
      </c>
      <c r="B4" s="4">
        <v>4047</v>
      </c>
      <c r="C4" s="4">
        <v>9654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4" t="s">
        <v>1204</v>
      </c>
      <c r="B5" s="4">
        <v>7690</v>
      </c>
      <c r="C5" s="4">
        <v>14672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5">
      <c r="A6" s="4" t="s">
        <v>1202</v>
      </c>
      <c r="B6" s="4">
        <v>12372</v>
      </c>
      <c r="C6" s="4">
        <v>22716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4" t="s">
        <v>1201</v>
      </c>
      <c r="B7" s="4">
        <v>11415</v>
      </c>
      <c r="C7" s="4">
        <v>15102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4" t="s">
        <v>1207</v>
      </c>
      <c r="B8" s="4">
        <v>285</v>
      </c>
      <c r="C8" s="4">
        <v>1429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4" t="s">
        <v>1203</v>
      </c>
      <c r="B9" s="4">
        <v>26618</v>
      </c>
      <c r="C9" s="4">
        <v>39447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B42" sqref="B42"/>
    </sheetView>
  </sheetViews>
  <sheetFormatPr baseColWidth="10" defaultColWidth="17.33203125" defaultRowHeight="15" customHeight="1" x14ac:dyDescent="0.25"/>
  <cols>
    <col min="1" max="1" width="30.5546875" customWidth="1"/>
    <col min="2" max="2" width="13.6640625" customWidth="1"/>
    <col min="3" max="3" width="14.88671875" customWidth="1"/>
    <col min="4" max="4" width="14.6640625" customWidth="1"/>
    <col min="5" max="13" width="9.109375" customWidth="1"/>
    <col min="14" max="26" width="10" customWidth="1"/>
  </cols>
  <sheetData>
    <row r="1" spans="1:26" ht="12.75" customHeight="1" x14ac:dyDescent="0.25">
      <c r="A1" s="4"/>
      <c r="B1" s="4" t="s">
        <v>1219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1" t="s">
        <v>1200</v>
      </c>
      <c r="B2" s="1" t="s">
        <v>1220</v>
      </c>
      <c r="C2" s="1" t="s">
        <v>1221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 t="s">
        <v>1206</v>
      </c>
      <c r="B3" s="8">
        <v>0.04</v>
      </c>
      <c r="C3" s="8">
        <v>0.16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4" t="s">
        <v>1205</v>
      </c>
      <c r="B4" s="8">
        <v>0.01</v>
      </c>
      <c r="C4" s="8">
        <v>0.03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4" t="s">
        <v>1204</v>
      </c>
      <c r="B5" s="8">
        <v>0.02</v>
      </c>
      <c r="C5" s="8">
        <v>0.04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5">
      <c r="A6" s="4" t="s">
        <v>1202</v>
      </c>
      <c r="B6" s="8">
        <v>-0.02</v>
      </c>
      <c r="C6" s="8">
        <v>0.02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4" t="s">
        <v>1201</v>
      </c>
      <c r="B7" s="8">
        <v>-0.01</v>
      </c>
      <c r="C7" s="8">
        <v>0.05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4" t="s">
        <v>1207</v>
      </c>
      <c r="B8" s="8">
        <v>0.02</v>
      </c>
      <c r="C8" s="8">
        <v>0.04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4" t="s">
        <v>1203</v>
      </c>
      <c r="B9" s="8">
        <v>-0.03</v>
      </c>
      <c r="C9" s="8">
        <v>7.0000000000000007E-2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1130-EB11-4A2E-A6E2-E8C9DCDE025C}">
  <dimension ref="B1:I999"/>
  <sheetViews>
    <sheetView workbookViewId="0">
      <selection activeCell="M2" sqref="M2"/>
    </sheetView>
  </sheetViews>
  <sheetFormatPr baseColWidth="10" defaultColWidth="8.88671875" defaultRowHeight="13.2" x14ac:dyDescent="0.25"/>
  <cols>
    <col min="2" max="2" width="12.109375" style="12" bestFit="1" customWidth="1"/>
    <col min="3" max="3" width="15.109375" customWidth="1"/>
    <col min="4" max="4" width="12.88671875" customWidth="1"/>
    <col min="5" max="5" width="13.109375" customWidth="1"/>
    <col min="8" max="8" width="30" bestFit="1" customWidth="1"/>
    <col min="9" max="9" width="21" customWidth="1"/>
  </cols>
  <sheetData>
    <row r="1" spans="2:9" ht="36" customHeight="1" x14ac:dyDescent="0.25">
      <c r="B1" s="31" t="s">
        <v>1222</v>
      </c>
      <c r="C1" s="31" t="s">
        <v>1223</v>
      </c>
      <c r="D1" s="31" t="s">
        <v>1224</v>
      </c>
      <c r="E1" s="31" t="s">
        <v>1225</v>
      </c>
      <c r="F1" s="31" t="s">
        <v>1226</v>
      </c>
      <c r="G1" s="31" t="s">
        <v>1227</v>
      </c>
      <c r="H1" s="31" t="s">
        <v>1228</v>
      </c>
      <c r="I1" s="31" t="s">
        <v>1229</v>
      </c>
    </row>
    <row r="2" spans="2:9" x14ac:dyDescent="0.25">
      <c r="B2" s="12">
        <f>Ventas!F2</f>
        <v>117</v>
      </c>
      <c r="C2" s="10">
        <f>VLOOKUP(Ventas!$D2,Productos!$A$1:$D$16,4,FALSE)*Ventas!F2</f>
        <v>234</v>
      </c>
      <c r="D2" s="10">
        <f>VLOOKUP(Ventas!$D2,Productos!$A$1:$D$16,3,FALSE)*Ventas!F2</f>
        <v>117</v>
      </c>
      <c r="E2" s="10">
        <f>C2-D2</f>
        <v>117</v>
      </c>
      <c r="F2" s="9">
        <f>YEAR(Ventas!G2)</f>
        <v>2016</v>
      </c>
      <c r="G2" s="9">
        <f>MONTH(Ventas!G2)</f>
        <v>8</v>
      </c>
      <c r="H2" s="9" t="str">
        <f>VLOOKUP(Ventas!C2,Países!$A$2:$B$186,2,FALSE)</f>
        <v>Sub-Saharan Africa</v>
      </c>
      <c r="I2" s="9" t="str">
        <f>Ventas!E2</f>
        <v>Online</v>
      </c>
    </row>
    <row r="3" spans="2:9" x14ac:dyDescent="0.25">
      <c r="B3" s="12">
        <f>Ventas!F3</f>
        <v>73</v>
      </c>
      <c r="C3" s="10">
        <f>VLOOKUP(Ventas!$D3,Productos!$A$1:$D$16,4,FALSE)*Ventas!F3</f>
        <v>474.5</v>
      </c>
      <c r="D3" s="10">
        <f>VLOOKUP(Ventas!$D3,Productos!$A$1:$D$16,3,FALSE)*Ventas!F3</f>
        <v>255.5</v>
      </c>
      <c r="E3" s="10">
        <f t="shared" ref="E3:E66" si="0">C3-D3</f>
        <v>219</v>
      </c>
      <c r="F3" s="9">
        <f>YEAR(Ventas!G3)</f>
        <v>2016</v>
      </c>
      <c r="G3" s="9">
        <f>MONTH(Ventas!G3)</f>
        <v>7</v>
      </c>
      <c r="H3" s="9" t="str">
        <f>VLOOKUP(Ventas!C3,Países!$A$2:$B$186,2,FALSE)</f>
        <v>Central America and the Caribbean</v>
      </c>
      <c r="I3" s="9" t="str">
        <f>Ventas!E3</f>
        <v>Online</v>
      </c>
    </row>
    <row r="4" spans="2:9" x14ac:dyDescent="0.25">
      <c r="B4" s="12">
        <f>Ventas!F4</f>
        <v>205</v>
      </c>
      <c r="C4" s="10">
        <f>VLOOKUP(Ventas!$D4,Productos!$A$1:$D$16,4,FALSE)*Ventas!F4</f>
        <v>1845</v>
      </c>
      <c r="D4" s="10">
        <f>VLOOKUP(Ventas!$D4,Productos!$A$1:$D$16,3,FALSE)*Ventas!F4</f>
        <v>1230</v>
      </c>
      <c r="E4" s="10">
        <f t="shared" si="0"/>
        <v>615</v>
      </c>
      <c r="F4" s="9">
        <f>YEAR(Ventas!G4)</f>
        <v>2016</v>
      </c>
      <c r="G4" s="9">
        <f>MONTH(Ventas!G4)</f>
        <v>8</v>
      </c>
      <c r="H4" s="9" t="str">
        <f>VLOOKUP(Ventas!C4,Países!$A$2:$B$186,2,FALSE)</f>
        <v>Sub-Saharan Africa</v>
      </c>
      <c r="I4" s="9" t="str">
        <f>Ventas!E4</f>
        <v>Retail</v>
      </c>
    </row>
    <row r="5" spans="2:9" x14ac:dyDescent="0.25">
      <c r="B5" s="12">
        <f>Ventas!F5</f>
        <v>14</v>
      </c>
      <c r="C5" s="10">
        <f>VLOOKUP(Ventas!$D5,Productos!$A$1:$D$16,4,FALSE)*Ventas!F5</f>
        <v>139.86000000000001</v>
      </c>
      <c r="D5" s="10">
        <f>VLOOKUP(Ventas!$D5,Productos!$A$1:$D$16,3,FALSE)*Ventas!F5</f>
        <v>70</v>
      </c>
      <c r="E5" s="10">
        <f t="shared" si="0"/>
        <v>69.860000000000014</v>
      </c>
      <c r="F5" s="9">
        <f>YEAR(Ventas!G5)</f>
        <v>2016</v>
      </c>
      <c r="G5" s="9">
        <f>MONTH(Ventas!G5)</f>
        <v>8</v>
      </c>
      <c r="H5" s="9" t="str">
        <f>VLOOKUP(Ventas!C5,Países!$A$2:$B$186,2,FALSE)</f>
        <v>Sub-Saharan Africa</v>
      </c>
      <c r="I5" s="9" t="str">
        <f>Ventas!E5</f>
        <v>Retail</v>
      </c>
    </row>
    <row r="6" spans="2:9" x14ac:dyDescent="0.25">
      <c r="B6" s="12">
        <f>Ventas!F6</f>
        <v>170</v>
      </c>
      <c r="C6" s="10">
        <f>VLOOKUP(Ventas!$D6,Productos!$A$1:$D$16,4,FALSE)*Ventas!F6</f>
        <v>678.30000000000007</v>
      </c>
      <c r="D6" s="10">
        <f>VLOOKUP(Ventas!$D6,Productos!$A$1:$D$16,3,FALSE)*Ventas!F6</f>
        <v>340</v>
      </c>
      <c r="E6" s="10">
        <f t="shared" si="0"/>
        <v>338.30000000000007</v>
      </c>
      <c r="F6" s="9">
        <f>YEAR(Ventas!G6)</f>
        <v>2016</v>
      </c>
      <c r="G6" s="9">
        <f>MONTH(Ventas!G6)</f>
        <v>8</v>
      </c>
      <c r="H6" s="9" t="str">
        <f>VLOOKUP(Ventas!C6,Países!$A$2:$B$186,2,FALSE)</f>
        <v>Sub-Saharan Africa</v>
      </c>
      <c r="I6" s="9" t="str">
        <f>Ventas!E6</f>
        <v>Retail</v>
      </c>
    </row>
    <row r="7" spans="2:9" x14ac:dyDescent="0.25">
      <c r="B7" s="12">
        <f>Ventas!F7</f>
        <v>129</v>
      </c>
      <c r="C7" s="10">
        <f>VLOOKUP(Ventas!$D7,Productos!$A$1:$D$16,4,FALSE)*Ventas!F7</f>
        <v>387</v>
      </c>
      <c r="D7" s="10">
        <f>VLOOKUP(Ventas!$D7,Productos!$A$1:$D$16,3,FALSE)*Ventas!F7</f>
        <v>193.5</v>
      </c>
      <c r="E7" s="10">
        <f t="shared" si="0"/>
        <v>193.5</v>
      </c>
      <c r="F7" s="9">
        <f>YEAR(Ventas!G7)</f>
        <v>2016</v>
      </c>
      <c r="G7" s="9">
        <f>MONTH(Ventas!G7)</f>
        <v>7</v>
      </c>
      <c r="H7" s="9" t="str">
        <f>VLOOKUP(Ventas!C7,Países!$A$2:$B$186,2,FALSE)</f>
        <v>Middle East and North Africa</v>
      </c>
      <c r="I7" s="9" t="str">
        <f>Ventas!E7</f>
        <v>Retail</v>
      </c>
    </row>
    <row r="8" spans="2:9" x14ac:dyDescent="0.25">
      <c r="B8" s="12">
        <f>Ventas!F8</f>
        <v>82</v>
      </c>
      <c r="C8" s="10">
        <f>VLOOKUP(Ventas!$D8,Productos!$A$1:$D$16,4,FALSE)*Ventas!F8</f>
        <v>492</v>
      </c>
      <c r="D8" s="10">
        <f>VLOOKUP(Ventas!$D8,Productos!$A$1:$D$16,3,FALSE)*Ventas!F8</f>
        <v>246</v>
      </c>
      <c r="E8" s="10">
        <f t="shared" si="0"/>
        <v>246</v>
      </c>
      <c r="F8" s="9">
        <f>YEAR(Ventas!G8)</f>
        <v>2016</v>
      </c>
      <c r="G8" s="9">
        <f>MONTH(Ventas!G8)</f>
        <v>7</v>
      </c>
      <c r="H8" s="9" t="str">
        <f>VLOOKUP(Ventas!C8,Países!$A$2:$B$186,2,FALSE)</f>
        <v>Central America and the Caribbean</v>
      </c>
      <c r="I8" s="9" t="str">
        <f>Ventas!E8</f>
        <v>Online</v>
      </c>
    </row>
    <row r="9" spans="2:9" x14ac:dyDescent="0.25">
      <c r="B9" s="12">
        <f>Ventas!F9</f>
        <v>116</v>
      </c>
      <c r="C9" s="10">
        <f>VLOOKUP(Ventas!$D9,Productos!$A$1:$D$16,4,FALSE)*Ventas!F9</f>
        <v>348</v>
      </c>
      <c r="D9" s="10">
        <f>VLOOKUP(Ventas!$D9,Productos!$A$1:$D$16,3,FALSE)*Ventas!F9</f>
        <v>174</v>
      </c>
      <c r="E9" s="10">
        <f t="shared" si="0"/>
        <v>174</v>
      </c>
      <c r="F9" s="9">
        <f>YEAR(Ventas!G9)</f>
        <v>2016</v>
      </c>
      <c r="G9" s="9">
        <f>MONTH(Ventas!G9)</f>
        <v>6</v>
      </c>
      <c r="H9" s="9" t="str">
        <f>VLOOKUP(Ventas!C9,Países!$A$2:$B$186,2,FALSE)</f>
        <v>Europe</v>
      </c>
      <c r="I9" s="9" t="str">
        <f>Ventas!E9</f>
        <v>Retail</v>
      </c>
    </row>
    <row r="10" spans="2:9" x14ac:dyDescent="0.25">
      <c r="B10" s="12">
        <f>Ventas!F10</f>
        <v>67</v>
      </c>
      <c r="C10" s="10">
        <f>VLOOKUP(Ventas!$D10,Productos!$A$1:$D$16,4,FALSE)*Ventas!F10</f>
        <v>468.33000000000004</v>
      </c>
      <c r="D10" s="10">
        <f>VLOOKUP(Ventas!$D10,Productos!$A$1:$D$16,3,FALSE)*Ventas!F10</f>
        <v>234.5</v>
      </c>
      <c r="E10" s="10">
        <f t="shared" si="0"/>
        <v>233.83000000000004</v>
      </c>
      <c r="F10" s="9">
        <f>YEAR(Ventas!G10)</f>
        <v>2016</v>
      </c>
      <c r="G10" s="9">
        <f>MONTH(Ventas!G10)</f>
        <v>6</v>
      </c>
      <c r="H10" s="9" t="str">
        <f>VLOOKUP(Ventas!C10,Países!$A$2:$B$186,2,FALSE)</f>
        <v>Asia</v>
      </c>
      <c r="I10" s="9" t="str">
        <f>Ventas!E10</f>
        <v>Online</v>
      </c>
    </row>
    <row r="11" spans="2:9" x14ac:dyDescent="0.25">
      <c r="B11" s="12">
        <f>Ventas!F11</f>
        <v>125</v>
      </c>
      <c r="C11" s="10">
        <f>VLOOKUP(Ventas!$D11,Productos!$A$1:$D$16,4,FALSE)*Ventas!F11</f>
        <v>873.75</v>
      </c>
      <c r="D11" s="10">
        <f>VLOOKUP(Ventas!$D11,Productos!$A$1:$D$16,3,FALSE)*Ventas!F11</f>
        <v>437.5</v>
      </c>
      <c r="E11" s="10">
        <f t="shared" si="0"/>
        <v>436.25</v>
      </c>
      <c r="F11" s="9">
        <f>YEAR(Ventas!G11)</f>
        <v>2016</v>
      </c>
      <c r="G11" s="9">
        <f>MONTH(Ventas!G11)</f>
        <v>7</v>
      </c>
      <c r="H11" s="9" t="str">
        <f>VLOOKUP(Ventas!C11,Países!$A$2:$B$186,2,FALSE)</f>
        <v>Sub-Saharan Africa</v>
      </c>
      <c r="I11" s="9" t="str">
        <f>Ventas!E11</f>
        <v>Retail</v>
      </c>
    </row>
    <row r="12" spans="2:9" x14ac:dyDescent="0.25">
      <c r="B12" s="12">
        <f>Ventas!F12</f>
        <v>71</v>
      </c>
      <c r="C12" s="10">
        <f>VLOOKUP(Ventas!$D12,Productos!$A$1:$D$16,4,FALSE)*Ventas!F12</f>
        <v>461.5</v>
      </c>
      <c r="D12" s="10">
        <f>VLOOKUP(Ventas!$D12,Productos!$A$1:$D$16,3,FALSE)*Ventas!F12</f>
        <v>248.5</v>
      </c>
      <c r="E12" s="10">
        <f t="shared" si="0"/>
        <v>213</v>
      </c>
      <c r="F12" s="9">
        <f>YEAR(Ventas!G12)</f>
        <v>2016</v>
      </c>
      <c r="G12" s="9">
        <f>MONTH(Ventas!G12)</f>
        <v>7</v>
      </c>
      <c r="H12" s="9" t="str">
        <f>VLOOKUP(Ventas!C12,Países!$A$2:$B$186,2,FALSE)</f>
        <v>Asia</v>
      </c>
      <c r="I12" s="9" t="str">
        <f>Ventas!E12</f>
        <v>Retail</v>
      </c>
    </row>
    <row r="13" spans="2:9" x14ac:dyDescent="0.25">
      <c r="B13" s="12">
        <f>Ventas!F13</f>
        <v>22</v>
      </c>
      <c r="C13" s="10">
        <f>VLOOKUP(Ventas!$D13,Productos!$A$1:$D$16,4,FALSE)*Ventas!F13</f>
        <v>219.78</v>
      </c>
      <c r="D13" s="10">
        <f>VLOOKUP(Ventas!$D13,Productos!$A$1:$D$16,3,FALSE)*Ventas!F13</f>
        <v>110</v>
      </c>
      <c r="E13" s="10">
        <f t="shared" si="0"/>
        <v>109.78</v>
      </c>
      <c r="F13" s="9">
        <f>YEAR(Ventas!G13)</f>
        <v>2016</v>
      </c>
      <c r="G13" s="9">
        <f>MONTH(Ventas!G13)</f>
        <v>8</v>
      </c>
      <c r="H13" s="9" t="str">
        <f>VLOOKUP(Ventas!C13,Países!$A$2:$B$186,2,FALSE)</f>
        <v>Europe</v>
      </c>
      <c r="I13" s="9" t="str">
        <f>Ventas!E13</f>
        <v>Online</v>
      </c>
    </row>
    <row r="14" spans="2:9" x14ac:dyDescent="0.25">
      <c r="B14" s="12">
        <f>Ventas!F14</f>
        <v>153</v>
      </c>
      <c r="C14" s="10">
        <f>VLOOKUP(Ventas!$D14,Productos!$A$1:$D$16,4,FALSE)*Ventas!F14</f>
        <v>459</v>
      </c>
      <c r="D14" s="10">
        <f>VLOOKUP(Ventas!$D14,Productos!$A$1:$D$16,3,FALSE)*Ventas!F14</f>
        <v>229.5</v>
      </c>
      <c r="E14" s="10">
        <f t="shared" si="0"/>
        <v>229.5</v>
      </c>
      <c r="F14" s="9">
        <f>YEAR(Ventas!G14)</f>
        <v>2016</v>
      </c>
      <c r="G14" s="9">
        <f>MONTH(Ventas!G14)</f>
        <v>8</v>
      </c>
      <c r="H14" s="9" t="str">
        <f>VLOOKUP(Ventas!C14,Países!$A$2:$B$186,2,FALSE)</f>
        <v>Europe</v>
      </c>
      <c r="I14" s="9" t="str">
        <f>Ventas!E14</f>
        <v>Retail</v>
      </c>
    </row>
    <row r="15" spans="2:9" x14ac:dyDescent="0.25">
      <c r="B15" s="12">
        <f>Ventas!F15</f>
        <v>141</v>
      </c>
      <c r="C15" s="10">
        <f>VLOOKUP(Ventas!$D15,Productos!$A$1:$D$16,4,FALSE)*Ventas!F15</f>
        <v>1269</v>
      </c>
      <c r="D15" s="10">
        <f>VLOOKUP(Ventas!$D15,Productos!$A$1:$D$16,3,FALSE)*Ventas!F15</f>
        <v>846</v>
      </c>
      <c r="E15" s="10">
        <f t="shared" si="0"/>
        <v>423</v>
      </c>
      <c r="F15" s="9">
        <f>YEAR(Ventas!G15)</f>
        <v>2016</v>
      </c>
      <c r="G15" s="9">
        <f>MONTH(Ventas!G15)</f>
        <v>7</v>
      </c>
      <c r="H15" s="9" t="str">
        <f>VLOOKUP(Ventas!C15,Países!$A$2:$B$186,2,FALSE)</f>
        <v>Australia and Oceania</v>
      </c>
      <c r="I15" s="9" t="str">
        <f>Ventas!E15</f>
        <v>Online</v>
      </c>
    </row>
    <row r="16" spans="2:9" x14ac:dyDescent="0.25">
      <c r="B16" s="12">
        <f>Ventas!F16</f>
        <v>65</v>
      </c>
      <c r="C16" s="10">
        <f>VLOOKUP(Ventas!$D16,Productos!$A$1:$D$16,4,FALSE)*Ventas!F16</f>
        <v>422.5</v>
      </c>
      <c r="D16" s="10">
        <f>VLOOKUP(Ventas!$D16,Productos!$A$1:$D$16,3,FALSE)*Ventas!F16</f>
        <v>227.5</v>
      </c>
      <c r="E16" s="10">
        <f t="shared" si="0"/>
        <v>195</v>
      </c>
      <c r="F16" s="9">
        <f>YEAR(Ventas!G16)</f>
        <v>2016</v>
      </c>
      <c r="G16" s="9">
        <f>MONTH(Ventas!G16)</f>
        <v>8</v>
      </c>
      <c r="H16" s="9" t="str">
        <f>VLOOKUP(Ventas!C16,Países!$A$2:$B$186,2,FALSE)</f>
        <v>Asia</v>
      </c>
      <c r="I16" s="9" t="str">
        <f>Ventas!E16</f>
        <v>Online</v>
      </c>
    </row>
    <row r="17" spans="2:9" x14ac:dyDescent="0.25">
      <c r="B17" s="12">
        <f>Ventas!F17</f>
        <v>157</v>
      </c>
      <c r="C17" s="10">
        <f>VLOOKUP(Ventas!$D17,Productos!$A$1:$D$16,4,FALSE)*Ventas!F17</f>
        <v>314</v>
      </c>
      <c r="D17" s="10">
        <f>VLOOKUP(Ventas!$D17,Productos!$A$1:$D$16,3,FALSE)*Ventas!F17</f>
        <v>157</v>
      </c>
      <c r="E17" s="10">
        <f t="shared" si="0"/>
        <v>157</v>
      </c>
      <c r="F17" s="9">
        <f>YEAR(Ventas!G17)</f>
        <v>2016</v>
      </c>
      <c r="G17" s="9">
        <f>MONTH(Ventas!G17)</f>
        <v>7</v>
      </c>
      <c r="H17" s="9" t="str">
        <f>VLOOKUP(Ventas!C17,Países!$A$2:$B$186,2,FALSE)</f>
        <v>Middle East and North Africa</v>
      </c>
      <c r="I17" s="9" t="str">
        <f>Ventas!E17</f>
        <v>Online</v>
      </c>
    </row>
    <row r="18" spans="2:9" x14ac:dyDescent="0.25">
      <c r="B18" s="12">
        <f>Ventas!F18</f>
        <v>197</v>
      </c>
      <c r="C18" s="10">
        <f>VLOOKUP(Ventas!$D18,Productos!$A$1:$D$16,4,FALSE)*Ventas!F18</f>
        <v>2856.5</v>
      </c>
      <c r="D18" s="10">
        <f>VLOOKUP(Ventas!$D18,Productos!$A$1:$D$16,3,FALSE)*Ventas!F18</f>
        <v>1576</v>
      </c>
      <c r="E18" s="10">
        <f t="shared" si="0"/>
        <v>1280.5</v>
      </c>
      <c r="F18" s="9">
        <f>YEAR(Ventas!G18)</f>
        <v>2016</v>
      </c>
      <c r="G18" s="9">
        <f>MONTH(Ventas!G18)</f>
        <v>8</v>
      </c>
      <c r="H18" s="9" t="str">
        <f>VLOOKUP(Ventas!C18,Países!$A$2:$B$186,2,FALSE)</f>
        <v>Sub-Saharan Africa</v>
      </c>
      <c r="I18" s="9" t="str">
        <f>Ventas!E18</f>
        <v>Online</v>
      </c>
    </row>
    <row r="19" spans="2:9" x14ac:dyDescent="0.25">
      <c r="B19" s="12">
        <f>Ventas!F19</f>
        <v>10</v>
      </c>
      <c r="C19" s="10">
        <f>VLOOKUP(Ventas!$D19,Productos!$A$1:$D$16,4,FALSE)*Ventas!F19</f>
        <v>30</v>
      </c>
      <c r="D19" s="10">
        <f>VLOOKUP(Ventas!$D19,Productos!$A$1:$D$16,3,FALSE)*Ventas!F19</f>
        <v>15</v>
      </c>
      <c r="E19" s="10">
        <f t="shared" si="0"/>
        <v>15</v>
      </c>
      <c r="F19" s="9">
        <f>YEAR(Ventas!G19)</f>
        <v>2016</v>
      </c>
      <c r="G19" s="9">
        <f>MONTH(Ventas!G19)</f>
        <v>6</v>
      </c>
      <c r="H19" s="9" t="str">
        <f>VLOOKUP(Ventas!C19,Países!$A$2:$B$186,2,FALSE)</f>
        <v>Europe</v>
      </c>
      <c r="I19" s="9" t="str">
        <f>Ventas!E19</f>
        <v>Online</v>
      </c>
    </row>
    <row r="20" spans="2:9" x14ac:dyDescent="0.25">
      <c r="B20" s="12">
        <f>Ventas!F20</f>
        <v>30</v>
      </c>
      <c r="C20" s="10">
        <f>VLOOKUP(Ventas!$D20,Productos!$A$1:$D$16,4,FALSE)*Ventas!F20</f>
        <v>209.70000000000002</v>
      </c>
      <c r="D20" s="10">
        <f>VLOOKUP(Ventas!$D20,Productos!$A$1:$D$16,3,FALSE)*Ventas!F20</f>
        <v>105</v>
      </c>
      <c r="E20" s="10">
        <f t="shared" si="0"/>
        <v>104.70000000000002</v>
      </c>
      <c r="F20" s="9">
        <f>YEAR(Ventas!G20)</f>
        <v>2016</v>
      </c>
      <c r="G20" s="9">
        <f>MONTH(Ventas!G20)</f>
        <v>6</v>
      </c>
      <c r="H20" s="9" t="str">
        <f>VLOOKUP(Ventas!C20,Países!$A$2:$B$186,2,FALSE)</f>
        <v>Sub-Saharan Africa</v>
      </c>
      <c r="I20" s="9" t="str">
        <f>Ventas!E20</f>
        <v>Retail</v>
      </c>
    </row>
    <row r="21" spans="2:9" x14ac:dyDescent="0.25">
      <c r="B21" s="12">
        <f>Ventas!F21</f>
        <v>134</v>
      </c>
      <c r="C21" s="10">
        <f>VLOOKUP(Ventas!$D21,Productos!$A$1:$D$16,4,FALSE)*Ventas!F21</f>
        <v>603</v>
      </c>
      <c r="D21" s="10">
        <f>VLOOKUP(Ventas!$D21,Productos!$A$1:$D$16,3,FALSE)*Ventas!F21</f>
        <v>335</v>
      </c>
      <c r="E21" s="10">
        <f t="shared" si="0"/>
        <v>268</v>
      </c>
      <c r="F21" s="9">
        <f>YEAR(Ventas!G21)</f>
        <v>2016</v>
      </c>
      <c r="G21" s="9">
        <f>MONTH(Ventas!G21)</f>
        <v>7</v>
      </c>
      <c r="H21" s="9" t="str">
        <f>VLOOKUP(Ventas!C21,Países!$A$2:$B$186,2,FALSE)</f>
        <v>Sub-Saharan Africa</v>
      </c>
      <c r="I21" s="9" t="str">
        <f>Ventas!E21</f>
        <v>Direct</v>
      </c>
    </row>
    <row r="22" spans="2:9" x14ac:dyDescent="0.25">
      <c r="B22" s="12">
        <f>Ventas!F22</f>
        <v>100</v>
      </c>
      <c r="C22" s="10">
        <f>VLOOKUP(Ventas!$D22,Productos!$A$1:$D$16,4,FALSE)*Ventas!F22</f>
        <v>600</v>
      </c>
      <c r="D22" s="10">
        <f>VLOOKUP(Ventas!$D22,Productos!$A$1:$D$16,3,FALSE)*Ventas!F22</f>
        <v>300</v>
      </c>
      <c r="E22" s="10">
        <f t="shared" si="0"/>
        <v>300</v>
      </c>
      <c r="F22" s="9">
        <f>YEAR(Ventas!G22)</f>
        <v>2016</v>
      </c>
      <c r="G22" s="9">
        <f>MONTH(Ventas!G22)</f>
        <v>8</v>
      </c>
      <c r="H22" s="9" t="str">
        <f>VLOOKUP(Ventas!C22,Países!$A$2:$B$186,2,FALSE)</f>
        <v>Sub-Saharan Africa</v>
      </c>
      <c r="I22" s="9" t="str">
        <f>Ventas!E22</f>
        <v>Retail</v>
      </c>
    </row>
    <row r="23" spans="2:9" x14ac:dyDescent="0.25">
      <c r="B23" s="12">
        <f>Ventas!F23</f>
        <v>142</v>
      </c>
      <c r="C23" s="10">
        <f>VLOOKUP(Ventas!$D23,Productos!$A$1:$D$16,4,FALSE)*Ventas!F23</f>
        <v>2059</v>
      </c>
      <c r="D23" s="10">
        <f>VLOOKUP(Ventas!$D23,Productos!$A$1:$D$16,3,FALSE)*Ventas!F23</f>
        <v>1136</v>
      </c>
      <c r="E23" s="10">
        <f t="shared" si="0"/>
        <v>923</v>
      </c>
      <c r="F23" s="9">
        <f>YEAR(Ventas!G23)</f>
        <v>2016</v>
      </c>
      <c r="G23" s="9">
        <f>MONTH(Ventas!G23)</f>
        <v>6</v>
      </c>
      <c r="H23" s="9" t="str">
        <f>VLOOKUP(Ventas!C23,Países!$A$2:$B$186,2,FALSE)</f>
        <v>Australia and Oceania</v>
      </c>
      <c r="I23" s="9" t="str">
        <f>Ventas!E23</f>
        <v>Retail</v>
      </c>
    </row>
    <row r="24" spans="2:9" x14ac:dyDescent="0.25">
      <c r="B24" s="12">
        <f>Ventas!F24</f>
        <v>135</v>
      </c>
      <c r="C24" s="10">
        <f>VLOOKUP(Ventas!$D24,Productos!$A$1:$D$16,4,FALSE)*Ventas!F24</f>
        <v>538.65</v>
      </c>
      <c r="D24" s="10">
        <f>VLOOKUP(Ventas!$D24,Productos!$A$1:$D$16,3,FALSE)*Ventas!F24</f>
        <v>270</v>
      </c>
      <c r="E24" s="10">
        <f t="shared" si="0"/>
        <v>268.64999999999998</v>
      </c>
      <c r="F24" s="9">
        <f>YEAR(Ventas!G24)</f>
        <v>2016</v>
      </c>
      <c r="G24" s="9">
        <f>MONTH(Ventas!G24)</f>
        <v>6</v>
      </c>
      <c r="H24" s="9" t="str">
        <f>VLOOKUP(Ventas!C24,Países!$A$2:$B$186,2,FALSE)</f>
        <v>Australia and Oceania</v>
      </c>
      <c r="I24" s="9" t="str">
        <f>Ventas!E24</f>
        <v>Online</v>
      </c>
    </row>
    <row r="25" spans="2:9" x14ac:dyDescent="0.25">
      <c r="B25" s="12">
        <f>Ventas!F25</f>
        <v>9</v>
      </c>
      <c r="C25" s="10">
        <f>VLOOKUP(Ventas!$D25,Productos!$A$1:$D$16,4,FALSE)*Ventas!F25</f>
        <v>40.5</v>
      </c>
      <c r="D25" s="10">
        <f>VLOOKUP(Ventas!$D25,Productos!$A$1:$D$16,3,FALSE)*Ventas!F25</f>
        <v>22.5</v>
      </c>
      <c r="E25" s="10">
        <f t="shared" si="0"/>
        <v>18</v>
      </c>
      <c r="F25" s="9">
        <f>YEAR(Ventas!G25)</f>
        <v>2016</v>
      </c>
      <c r="G25" s="9">
        <f>MONTH(Ventas!G25)</f>
        <v>7</v>
      </c>
      <c r="H25" s="9" t="str">
        <f>VLOOKUP(Ventas!C25,Países!$A$2:$B$186,2,FALSE)</f>
        <v>Sub-Saharan Africa</v>
      </c>
      <c r="I25" s="9" t="str">
        <f>Ventas!E25</f>
        <v>Retail</v>
      </c>
    </row>
    <row r="26" spans="2:9" x14ac:dyDescent="0.25">
      <c r="B26" s="12">
        <f>Ventas!F26</f>
        <v>69</v>
      </c>
      <c r="C26" s="10">
        <f>VLOOKUP(Ventas!$D26,Productos!$A$1:$D$16,4,FALSE)*Ventas!F26</f>
        <v>621</v>
      </c>
      <c r="D26" s="10">
        <f>VLOOKUP(Ventas!$D26,Productos!$A$1:$D$16,3,FALSE)*Ventas!F26</f>
        <v>414</v>
      </c>
      <c r="E26" s="10">
        <f t="shared" si="0"/>
        <v>207</v>
      </c>
      <c r="F26" s="9">
        <f>YEAR(Ventas!G26)</f>
        <v>2016</v>
      </c>
      <c r="G26" s="9">
        <f>MONTH(Ventas!G26)</f>
        <v>8</v>
      </c>
      <c r="H26" s="9" t="str">
        <f>VLOOKUP(Ventas!C26,Países!$A$2:$B$186,2,FALSE)</f>
        <v>Middle East and North Africa</v>
      </c>
      <c r="I26" s="9" t="str">
        <f>Ventas!E26</f>
        <v>Online</v>
      </c>
    </row>
    <row r="27" spans="2:9" x14ac:dyDescent="0.25">
      <c r="B27" s="12">
        <f>Ventas!F27</f>
        <v>189</v>
      </c>
      <c r="C27" s="10">
        <f>VLOOKUP(Ventas!$D27,Productos!$A$1:$D$16,4,FALSE)*Ventas!F27</f>
        <v>754.11</v>
      </c>
      <c r="D27" s="10">
        <f>VLOOKUP(Ventas!$D27,Productos!$A$1:$D$16,3,FALSE)*Ventas!F27</f>
        <v>378</v>
      </c>
      <c r="E27" s="10">
        <f t="shared" si="0"/>
        <v>376.11</v>
      </c>
      <c r="F27" s="9">
        <f>YEAR(Ventas!G27)</f>
        <v>2016</v>
      </c>
      <c r="G27" s="9">
        <f>MONTH(Ventas!G27)</f>
        <v>6</v>
      </c>
      <c r="H27" s="9" t="str">
        <f>VLOOKUP(Ventas!C27,Países!$A$2:$B$186,2,FALSE)</f>
        <v>Australia and Oceania</v>
      </c>
      <c r="I27" s="9" t="str">
        <f>Ventas!E27</f>
        <v>Online</v>
      </c>
    </row>
    <row r="28" spans="2:9" x14ac:dyDescent="0.25">
      <c r="B28" s="12">
        <f>Ventas!F28</f>
        <v>141</v>
      </c>
      <c r="C28" s="10">
        <f>VLOOKUP(Ventas!$D28,Productos!$A$1:$D$16,4,FALSE)*Ventas!F28</f>
        <v>1408.59</v>
      </c>
      <c r="D28" s="10">
        <f>VLOOKUP(Ventas!$D28,Productos!$A$1:$D$16,3,FALSE)*Ventas!F28</f>
        <v>705</v>
      </c>
      <c r="E28" s="10">
        <f t="shared" si="0"/>
        <v>703.58999999999992</v>
      </c>
      <c r="F28" s="9">
        <f>YEAR(Ventas!G28)</f>
        <v>2016</v>
      </c>
      <c r="G28" s="9">
        <f>MONTH(Ventas!G28)</f>
        <v>6</v>
      </c>
      <c r="H28" s="9" t="str">
        <f>VLOOKUP(Ventas!C28,Países!$A$2:$B$186,2,FALSE)</f>
        <v>Europe</v>
      </c>
      <c r="I28" s="9" t="str">
        <f>Ventas!E28</f>
        <v>Online</v>
      </c>
    </row>
    <row r="29" spans="2:9" x14ac:dyDescent="0.25">
      <c r="B29" s="12">
        <f>Ventas!F29</f>
        <v>166</v>
      </c>
      <c r="C29" s="10">
        <f>VLOOKUP(Ventas!$D29,Productos!$A$1:$D$16,4,FALSE)*Ventas!F29</f>
        <v>2407</v>
      </c>
      <c r="D29" s="10">
        <f>VLOOKUP(Ventas!$D29,Productos!$A$1:$D$16,3,FALSE)*Ventas!F29</f>
        <v>1328</v>
      </c>
      <c r="E29" s="10">
        <f t="shared" si="0"/>
        <v>1079</v>
      </c>
      <c r="F29" s="9">
        <f>YEAR(Ventas!G29)</f>
        <v>2016</v>
      </c>
      <c r="G29" s="9">
        <f>MONTH(Ventas!G29)</f>
        <v>8</v>
      </c>
      <c r="H29" s="9" t="str">
        <f>VLOOKUP(Ventas!C29,Países!$A$2:$B$186,2,FALSE)</f>
        <v>Asia</v>
      </c>
      <c r="I29" s="9" t="str">
        <f>Ventas!E29</f>
        <v>Online</v>
      </c>
    </row>
    <row r="30" spans="2:9" x14ac:dyDescent="0.25">
      <c r="B30" s="12">
        <f>Ventas!F30</f>
        <v>170</v>
      </c>
      <c r="C30" s="10">
        <f>VLOOKUP(Ventas!$D30,Productos!$A$1:$D$16,4,FALSE)*Ventas!F30</f>
        <v>1530</v>
      </c>
      <c r="D30" s="10">
        <f>VLOOKUP(Ventas!$D30,Productos!$A$1:$D$16,3,FALSE)*Ventas!F30</f>
        <v>1020</v>
      </c>
      <c r="E30" s="10">
        <f t="shared" si="0"/>
        <v>510</v>
      </c>
      <c r="F30" s="9">
        <f>YEAR(Ventas!G30)</f>
        <v>2016</v>
      </c>
      <c r="G30" s="9">
        <f>MONTH(Ventas!G30)</f>
        <v>8</v>
      </c>
      <c r="H30" s="9" t="str">
        <f>VLOOKUP(Ventas!C30,Países!$A$2:$B$186,2,FALSE)</f>
        <v>Middle East and North Africa</v>
      </c>
      <c r="I30" s="9" t="str">
        <f>Ventas!E30</f>
        <v>Retail</v>
      </c>
    </row>
    <row r="31" spans="2:9" x14ac:dyDescent="0.25">
      <c r="B31" s="12">
        <f>Ventas!F31</f>
        <v>199</v>
      </c>
      <c r="C31" s="10">
        <f>VLOOKUP(Ventas!$D31,Productos!$A$1:$D$16,4,FALSE)*Ventas!F31</f>
        <v>1791</v>
      </c>
      <c r="D31" s="10">
        <f>VLOOKUP(Ventas!$D31,Productos!$A$1:$D$16,3,FALSE)*Ventas!F31</f>
        <v>1194</v>
      </c>
      <c r="E31" s="10">
        <f t="shared" si="0"/>
        <v>597</v>
      </c>
      <c r="F31" s="9">
        <f>YEAR(Ventas!G31)</f>
        <v>2016</v>
      </c>
      <c r="G31" s="9">
        <f>MONTH(Ventas!G31)</f>
        <v>8</v>
      </c>
      <c r="H31" s="9" t="str">
        <f>VLOOKUP(Ventas!C31,Países!$A$2:$B$186,2,FALSE)</f>
        <v>Europe</v>
      </c>
      <c r="I31" s="9" t="str">
        <f>Ventas!E31</f>
        <v>Retail</v>
      </c>
    </row>
    <row r="32" spans="2:9" x14ac:dyDescent="0.25">
      <c r="B32" s="12">
        <f>Ventas!F32</f>
        <v>73</v>
      </c>
      <c r="C32" s="10">
        <f>VLOOKUP(Ventas!$D32,Productos!$A$1:$D$16,4,FALSE)*Ventas!F32</f>
        <v>1058.5</v>
      </c>
      <c r="D32" s="10">
        <f>VLOOKUP(Ventas!$D32,Productos!$A$1:$D$16,3,FALSE)*Ventas!F32</f>
        <v>584</v>
      </c>
      <c r="E32" s="10">
        <f t="shared" si="0"/>
        <v>474.5</v>
      </c>
      <c r="F32" s="9">
        <f>YEAR(Ventas!G32)</f>
        <v>2016</v>
      </c>
      <c r="G32" s="9">
        <f>MONTH(Ventas!G32)</f>
        <v>7</v>
      </c>
      <c r="H32" s="9" t="str">
        <f>VLOOKUP(Ventas!C32,Países!$A$2:$B$186,2,FALSE)</f>
        <v>Australia and Oceania</v>
      </c>
      <c r="I32" s="9" t="str">
        <f>Ventas!E32</f>
        <v>Online</v>
      </c>
    </row>
    <row r="33" spans="2:9" x14ac:dyDescent="0.25">
      <c r="B33" s="12">
        <f>Ventas!F33</f>
        <v>117</v>
      </c>
      <c r="C33" s="10">
        <f>VLOOKUP(Ventas!$D33,Productos!$A$1:$D$16,4,FALSE)*Ventas!F33</f>
        <v>234</v>
      </c>
      <c r="D33" s="10">
        <f>VLOOKUP(Ventas!$D33,Productos!$A$1:$D$16,3,FALSE)*Ventas!F33</f>
        <v>117</v>
      </c>
      <c r="E33" s="10">
        <f t="shared" si="0"/>
        <v>117</v>
      </c>
      <c r="F33" s="9">
        <f>YEAR(Ventas!G33)</f>
        <v>2016</v>
      </c>
      <c r="G33" s="9">
        <f>MONTH(Ventas!G33)</f>
        <v>6</v>
      </c>
      <c r="H33" s="9" t="str">
        <f>VLOOKUP(Ventas!C33,Países!$A$2:$B$186,2,FALSE)</f>
        <v>Sub-Saharan Africa</v>
      </c>
      <c r="I33" s="9" t="str">
        <f>Ventas!E33</f>
        <v>Retail</v>
      </c>
    </row>
    <row r="34" spans="2:9" x14ac:dyDescent="0.25">
      <c r="B34" s="12">
        <f>Ventas!F34</f>
        <v>160</v>
      </c>
      <c r="C34" s="10">
        <f>VLOOKUP(Ventas!$D34,Productos!$A$1:$D$16,4,FALSE)*Ventas!F34</f>
        <v>1440</v>
      </c>
      <c r="D34" s="10">
        <f>VLOOKUP(Ventas!$D34,Productos!$A$1:$D$16,3,FALSE)*Ventas!F34</f>
        <v>960</v>
      </c>
      <c r="E34" s="10">
        <f t="shared" si="0"/>
        <v>480</v>
      </c>
      <c r="F34" s="9">
        <f>YEAR(Ventas!G34)</f>
        <v>2016</v>
      </c>
      <c r="G34" s="9">
        <f>MONTH(Ventas!G34)</f>
        <v>6</v>
      </c>
      <c r="H34" s="9" t="str">
        <f>VLOOKUP(Ventas!C34,Países!$A$2:$B$186,2,FALSE)</f>
        <v>Sub-Saharan Africa</v>
      </c>
      <c r="I34" s="9" t="str">
        <f>Ventas!E34</f>
        <v>Retail</v>
      </c>
    </row>
    <row r="35" spans="2:9" x14ac:dyDescent="0.25">
      <c r="B35" s="12">
        <f>Ventas!F35</f>
        <v>45</v>
      </c>
      <c r="C35" s="10">
        <f>VLOOKUP(Ventas!$D35,Productos!$A$1:$D$16,4,FALSE)*Ventas!F35</f>
        <v>90</v>
      </c>
      <c r="D35" s="10">
        <f>VLOOKUP(Ventas!$D35,Productos!$A$1:$D$16,3,FALSE)*Ventas!F35</f>
        <v>45</v>
      </c>
      <c r="E35" s="10">
        <f t="shared" si="0"/>
        <v>45</v>
      </c>
      <c r="F35" s="9">
        <f>YEAR(Ventas!G35)</f>
        <v>2016</v>
      </c>
      <c r="G35" s="9">
        <f>MONTH(Ventas!G35)</f>
        <v>6</v>
      </c>
      <c r="H35" s="9" t="str">
        <f>VLOOKUP(Ventas!C35,Países!$A$2:$B$186,2,FALSE)</f>
        <v>Australia and Oceania</v>
      </c>
      <c r="I35" s="9" t="str">
        <f>Ventas!E35</f>
        <v>Online</v>
      </c>
    </row>
    <row r="36" spans="2:9" x14ac:dyDescent="0.25">
      <c r="B36" s="12">
        <f>Ventas!F36</f>
        <v>37</v>
      </c>
      <c r="C36" s="10">
        <f>VLOOKUP(Ventas!$D36,Productos!$A$1:$D$16,4,FALSE)*Ventas!F36</f>
        <v>536.5</v>
      </c>
      <c r="D36" s="10">
        <f>VLOOKUP(Ventas!$D36,Productos!$A$1:$D$16,3,FALSE)*Ventas!F36</f>
        <v>296</v>
      </c>
      <c r="E36" s="10">
        <f t="shared" si="0"/>
        <v>240.5</v>
      </c>
      <c r="F36" s="9">
        <f>YEAR(Ventas!G36)</f>
        <v>2016</v>
      </c>
      <c r="G36" s="9">
        <f>MONTH(Ventas!G36)</f>
        <v>6</v>
      </c>
      <c r="H36" s="9" t="str">
        <f>VLOOKUP(Ventas!C36,Países!$A$2:$B$186,2,FALSE)</f>
        <v>Europe</v>
      </c>
      <c r="I36" s="9" t="str">
        <f>Ventas!E36</f>
        <v>Retail</v>
      </c>
    </row>
    <row r="37" spans="2:9" x14ac:dyDescent="0.25">
      <c r="B37" s="12">
        <f>Ventas!F37</f>
        <v>135</v>
      </c>
      <c r="C37" s="10">
        <f>VLOOKUP(Ventas!$D37,Productos!$A$1:$D$16,4,FALSE)*Ventas!F37</f>
        <v>1215</v>
      </c>
      <c r="D37" s="10">
        <f>VLOOKUP(Ventas!$D37,Productos!$A$1:$D$16,3,FALSE)*Ventas!F37</f>
        <v>810</v>
      </c>
      <c r="E37" s="10">
        <f t="shared" si="0"/>
        <v>405</v>
      </c>
      <c r="F37" s="9">
        <f>YEAR(Ventas!G37)</f>
        <v>2016</v>
      </c>
      <c r="G37" s="9">
        <f>MONTH(Ventas!G37)</f>
        <v>8</v>
      </c>
      <c r="H37" s="9" t="str">
        <f>VLOOKUP(Ventas!C37,Países!$A$2:$B$186,2,FALSE)</f>
        <v>Europe</v>
      </c>
      <c r="I37" s="9" t="str">
        <f>Ventas!E37</f>
        <v>Online</v>
      </c>
    </row>
    <row r="38" spans="2:9" x14ac:dyDescent="0.25">
      <c r="B38" s="12">
        <f>Ventas!F38</f>
        <v>12</v>
      </c>
      <c r="C38" s="10">
        <f>VLOOKUP(Ventas!$D38,Productos!$A$1:$D$16,4,FALSE)*Ventas!F38</f>
        <v>47.88</v>
      </c>
      <c r="D38" s="10">
        <f>VLOOKUP(Ventas!$D38,Productos!$A$1:$D$16,3,FALSE)*Ventas!F38</f>
        <v>24</v>
      </c>
      <c r="E38" s="10">
        <f t="shared" si="0"/>
        <v>23.880000000000003</v>
      </c>
      <c r="F38" s="9">
        <f>YEAR(Ventas!G38)</f>
        <v>2016</v>
      </c>
      <c r="G38" s="9">
        <f>MONTH(Ventas!G38)</f>
        <v>7</v>
      </c>
      <c r="H38" s="9" t="str">
        <f>VLOOKUP(Ventas!C38,Países!$A$2:$B$186,2,FALSE)</f>
        <v>Asia</v>
      </c>
      <c r="I38" s="9" t="str">
        <f>Ventas!E38</f>
        <v>Direct</v>
      </c>
    </row>
    <row r="39" spans="2:9" x14ac:dyDescent="0.25">
      <c r="B39" s="12">
        <f>Ventas!F39</f>
        <v>104</v>
      </c>
      <c r="C39" s="10">
        <f>VLOOKUP(Ventas!$D39,Productos!$A$1:$D$16,4,FALSE)*Ventas!F39</f>
        <v>414.96000000000004</v>
      </c>
      <c r="D39" s="10">
        <f>VLOOKUP(Ventas!$D39,Productos!$A$1:$D$16,3,FALSE)*Ventas!F39</f>
        <v>208</v>
      </c>
      <c r="E39" s="10">
        <f t="shared" si="0"/>
        <v>206.96000000000004</v>
      </c>
      <c r="F39" s="9">
        <f>YEAR(Ventas!G39)</f>
        <v>2016</v>
      </c>
      <c r="G39" s="9">
        <f>MONTH(Ventas!G39)</f>
        <v>6</v>
      </c>
      <c r="H39" s="9" t="str">
        <f>VLOOKUP(Ventas!C39,Países!$A$2:$B$186,2,FALSE)</f>
        <v>Sub-Saharan Africa</v>
      </c>
      <c r="I39" s="9" t="str">
        <f>Ventas!E39</f>
        <v>Retail</v>
      </c>
    </row>
    <row r="40" spans="2:9" x14ac:dyDescent="0.25">
      <c r="B40" s="12">
        <f>Ventas!F40</f>
        <v>167</v>
      </c>
      <c r="C40" s="10">
        <f>VLOOKUP(Ventas!$D40,Productos!$A$1:$D$16,4,FALSE)*Ventas!F40</f>
        <v>1668.33</v>
      </c>
      <c r="D40" s="10">
        <f>VLOOKUP(Ventas!$D40,Productos!$A$1:$D$16,3,FALSE)*Ventas!F40</f>
        <v>835</v>
      </c>
      <c r="E40" s="10">
        <f t="shared" si="0"/>
        <v>833.32999999999993</v>
      </c>
      <c r="F40" s="9">
        <f>YEAR(Ventas!G40)</f>
        <v>2016</v>
      </c>
      <c r="G40" s="9">
        <f>MONTH(Ventas!G40)</f>
        <v>7</v>
      </c>
      <c r="H40" s="9" t="str">
        <f>VLOOKUP(Ventas!C40,Países!$A$2:$B$186,2,FALSE)</f>
        <v>Australia and Oceania</v>
      </c>
      <c r="I40" s="9" t="str">
        <f>Ventas!E40</f>
        <v>Online</v>
      </c>
    </row>
    <row r="41" spans="2:9" x14ac:dyDescent="0.25">
      <c r="B41" s="12">
        <f>Ventas!F41</f>
        <v>108</v>
      </c>
      <c r="C41" s="10">
        <f>VLOOKUP(Ventas!$D41,Productos!$A$1:$D$16,4,FALSE)*Ventas!F41</f>
        <v>754.92000000000007</v>
      </c>
      <c r="D41" s="10">
        <f>VLOOKUP(Ventas!$D41,Productos!$A$1:$D$16,3,FALSE)*Ventas!F41</f>
        <v>378</v>
      </c>
      <c r="E41" s="10">
        <f t="shared" si="0"/>
        <v>376.92000000000007</v>
      </c>
      <c r="F41" s="9">
        <f>YEAR(Ventas!G41)</f>
        <v>2016</v>
      </c>
      <c r="G41" s="9">
        <f>MONTH(Ventas!G41)</f>
        <v>7</v>
      </c>
      <c r="H41" s="9" t="str">
        <f>VLOOKUP(Ventas!C41,Países!$A$2:$B$186,2,FALSE)</f>
        <v>Sub-Saharan Africa</v>
      </c>
      <c r="I41" s="9" t="str">
        <f>Ventas!E41</f>
        <v>Retail</v>
      </c>
    </row>
    <row r="42" spans="2:9" x14ac:dyDescent="0.25">
      <c r="B42" s="12">
        <f>Ventas!F42</f>
        <v>105</v>
      </c>
      <c r="C42" s="10">
        <f>VLOOKUP(Ventas!$D42,Productos!$A$1:$D$16,4,FALSE)*Ventas!F42</f>
        <v>682.5</v>
      </c>
      <c r="D42" s="10">
        <f>VLOOKUP(Ventas!$D42,Productos!$A$1:$D$16,3,FALSE)*Ventas!F42</f>
        <v>367.5</v>
      </c>
      <c r="E42" s="10">
        <f t="shared" si="0"/>
        <v>315</v>
      </c>
      <c r="F42" s="9">
        <f>YEAR(Ventas!G42)</f>
        <v>2016</v>
      </c>
      <c r="G42" s="9">
        <f>MONTH(Ventas!G42)</f>
        <v>7</v>
      </c>
      <c r="H42" s="9" t="str">
        <f>VLOOKUP(Ventas!C42,Países!$A$2:$B$186,2,FALSE)</f>
        <v>Central America and the Caribbean</v>
      </c>
      <c r="I42" s="9" t="str">
        <f>Ventas!E42</f>
        <v>Retail</v>
      </c>
    </row>
    <row r="43" spans="2:9" x14ac:dyDescent="0.25">
      <c r="B43" s="12">
        <f>Ventas!F43</f>
        <v>176</v>
      </c>
      <c r="C43" s="10">
        <f>VLOOKUP(Ventas!$D43,Productos!$A$1:$D$16,4,FALSE)*Ventas!F43</f>
        <v>2552</v>
      </c>
      <c r="D43" s="10">
        <f>VLOOKUP(Ventas!$D43,Productos!$A$1:$D$16,3,FALSE)*Ventas!F43</f>
        <v>1408</v>
      </c>
      <c r="E43" s="10">
        <f t="shared" si="0"/>
        <v>1144</v>
      </c>
      <c r="F43" s="9">
        <f>YEAR(Ventas!G43)</f>
        <v>2016</v>
      </c>
      <c r="G43" s="9">
        <f>MONTH(Ventas!G43)</f>
        <v>8</v>
      </c>
      <c r="H43" s="9" t="str">
        <f>VLOOKUP(Ventas!C43,Países!$A$2:$B$186,2,FALSE)</f>
        <v>Asia</v>
      </c>
      <c r="I43" s="9" t="str">
        <f>Ventas!E43</f>
        <v>Retail</v>
      </c>
    </row>
    <row r="44" spans="2:9" x14ac:dyDescent="0.25">
      <c r="B44" s="12">
        <f>Ventas!F44</f>
        <v>131</v>
      </c>
      <c r="C44" s="10">
        <f>VLOOKUP(Ventas!$D44,Productos!$A$1:$D$16,4,FALSE)*Ventas!F44</f>
        <v>522.69000000000005</v>
      </c>
      <c r="D44" s="10">
        <f>VLOOKUP(Ventas!$D44,Productos!$A$1:$D$16,3,FALSE)*Ventas!F44</f>
        <v>262</v>
      </c>
      <c r="E44" s="10">
        <f t="shared" si="0"/>
        <v>260.69000000000005</v>
      </c>
      <c r="F44" s="9">
        <f>YEAR(Ventas!G44)</f>
        <v>2016</v>
      </c>
      <c r="G44" s="9">
        <f>MONTH(Ventas!G44)</f>
        <v>6</v>
      </c>
      <c r="H44" s="9" t="str">
        <f>VLOOKUP(Ventas!C44,Países!$A$2:$B$186,2,FALSE)</f>
        <v>Australia and Oceania</v>
      </c>
      <c r="I44" s="9" t="str">
        <f>Ventas!E44</f>
        <v>Online</v>
      </c>
    </row>
    <row r="45" spans="2:9" x14ac:dyDescent="0.25">
      <c r="B45" s="12">
        <f>Ventas!F45</f>
        <v>188</v>
      </c>
      <c r="C45" s="10">
        <f>VLOOKUP(Ventas!$D45,Productos!$A$1:$D$16,4,FALSE)*Ventas!F45</f>
        <v>1692</v>
      </c>
      <c r="D45" s="10">
        <f>VLOOKUP(Ventas!$D45,Productos!$A$1:$D$16,3,FALSE)*Ventas!F45</f>
        <v>1128</v>
      </c>
      <c r="E45" s="10">
        <f t="shared" si="0"/>
        <v>564</v>
      </c>
      <c r="F45" s="9">
        <f>YEAR(Ventas!G45)</f>
        <v>2016</v>
      </c>
      <c r="G45" s="9">
        <f>MONTH(Ventas!G45)</f>
        <v>8</v>
      </c>
      <c r="H45" s="9" t="str">
        <f>VLOOKUP(Ventas!C45,Países!$A$2:$B$186,2,FALSE)</f>
        <v>Sub-Saharan Africa</v>
      </c>
      <c r="I45" s="9" t="str">
        <f>Ventas!E45</f>
        <v>Retail</v>
      </c>
    </row>
    <row r="46" spans="2:9" x14ac:dyDescent="0.25">
      <c r="B46" s="12">
        <f>Ventas!F46</f>
        <v>93</v>
      </c>
      <c r="C46" s="10">
        <f>VLOOKUP(Ventas!$D46,Productos!$A$1:$D$16,4,FALSE)*Ventas!F46</f>
        <v>604.5</v>
      </c>
      <c r="D46" s="10">
        <f>VLOOKUP(Ventas!$D46,Productos!$A$1:$D$16,3,FALSE)*Ventas!F46</f>
        <v>325.5</v>
      </c>
      <c r="E46" s="10">
        <f t="shared" si="0"/>
        <v>279</v>
      </c>
      <c r="F46" s="9">
        <f>YEAR(Ventas!G46)</f>
        <v>2016</v>
      </c>
      <c r="G46" s="9">
        <f>MONTH(Ventas!G46)</f>
        <v>6</v>
      </c>
      <c r="H46" s="9" t="str">
        <f>VLOOKUP(Ventas!C46,Países!$A$2:$B$186,2,FALSE)</f>
        <v>Asia</v>
      </c>
      <c r="I46" s="9" t="str">
        <f>Ventas!E46</f>
        <v>Direct</v>
      </c>
    </row>
    <row r="47" spans="2:9" x14ac:dyDescent="0.25">
      <c r="B47" s="12">
        <f>Ventas!F47</f>
        <v>113</v>
      </c>
      <c r="C47" s="10">
        <f>VLOOKUP(Ventas!$D47,Productos!$A$1:$D$16,4,FALSE)*Ventas!F47</f>
        <v>678</v>
      </c>
      <c r="D47" s="10">
        <f>VLOOKUP(Ventas!$D47,Productos!$A$1:$D$16,3,FALSE)*Ventas!F47</f>
        <v>339</v>
      </c>
      <c r="E47" s="10">
        <f t="shared" si="0"/>
        <v>339</v>
      </c>
      <c r="F47" s="9">
        <f>YEAR(Ventas!G47)</f>
        <v>2016</v>
      </c>
      <c r="G47" s="9">
        <f>MONTH(Ventas!G47)</f>
        <v>7</v>
      </c>
      <c r="H47" s="9" t="str">
        <f>VLOOKUP(Ventas!C47,Países!$A$2:$B$186,2,FALSE)</f>
        <v>Central America and the Caribbean</v>
      </c>
      <c r="I47" s="9" t="str">
        <f>Ventas!E47</f>
        <v>Online</v>
      </c>
    </row>
    <row r="48" spans="2:9" x14ac:dyDescent="0.25">
      <c r="B48" s="12">
        <f>Ventas!F48</f>
        <v>112</v>
      </c>
      <c r="C48" s="10">
        <f>VLOOKUP(Ventas!$D48,Productos!$A$1:$D$16,4,FALSE)*Ventas!F48</f>
        <v>336</v>
      </c>
      <c r="D48" s="10">
        <f>VLOOKUP(Ventas!$D48,Productos!$A$1:$D$16,3,FALSE)*Ventas!F48</f>
        <v>168</v>
      </c>
      <c r="E48" s="10">
        <f t="shared" si="0"/>
        <v>168</v>
      </c>
      <c r="F48" s="9">
        <f>YEAR(Ventas!G48)</f>
        <v>2016</v>
      </c>
      <c r="G48" s="9">
        <f>MONTH(Ventas!G48)</f>
        <v>7</v>
      </c>
      <c r="H48" s="9" t="str">
        <f>VLOOKUP(Ventas!C48,Países!$A$2:$B$186,2,FALSE)</f>
        <v>Sub-Saharan Africa</v>
      </c>
      <c r="I48" s="9" t="str">
        <f>Ventas!E48</f>
        <v>Online</v>
      </c>
    </row>
    <row r="49" spans="2:9" x14ac:dyDescent="0.25">
      <c r="B49" s="12">
        <f>Ventas!F49</f>
        <v>201</v>
      </c>
      <c r="C49" s="10">
        <f>VLOOKUP(Ventas!$D49,Productos!$A$1:$D$16,4,FALSE)*Ventas!F49</f>
        <v>801.99</v>
      </c>
      <c r="D49" s="10">
        <f>VLOOKUP(Ventas!$D49,Productos!$A$1:$D$16,3,FALSE)*Ventas!F49</f>
        <v>402</v>
      </c>
      <c r="E49" s="10">
        <f t="shared" si="0"/>
        <v>399.99</v>
      </c>
      <c r="F49" s="9">
        <f>YEAR(Ventas!G49)</f>
        <v>2016</v>
      </c>
      <c r="G49" s="9">
        <f>MONTH(Ventas!G49)</f>
        <v>6</v>
      </c>
      <c r="H49" s="9" t="str">
        <f>VLOOKUP(Ventas!C49,Países!$A$2:$B$186,2,FALSE)</f>
        <v>Sub-Saharan Africa</v>
      </c>
      <c r="I49" s="9" t="str">
        <f>Ventas!E49</f>
        <v>Online</v>
      </c>
    </row>
    <row r="50" spans="2:9" x14ac:dyDescent="0.25">
      <c r="B50" s="12">
        <f>Ventas!F50</f>
        <v>41</v>
      </c>
      <c r="C50" s="10">
        <f>VLOOKUP(Ventas!$D50,Productos!$A$1:$D$16,4,FALSE)*Ventas!F50</f>
        <v>409.59000000000003</v>
      </c>
      <c r="D50" s="10">
        <f>VLOOKUP(Ventas!$D50,Productos!$A$1:$D$16,3,FALSE)*Ventas!F50</f>
        <v>205</v>
      </c>
      <c r="E50" s="10">
        <f t="shared" si="0"/>
        <v>204.59000000000003</v>
      </c>
      <c r="F50" s="9">
        <f>YEAR(Ventas!G50)</f>
        <v>2016</v>
      </c>
      <c r="G50" s="9">
        <f>MONTH(Ventas!G50)</f>
        <v>6</v>
      </c>
      <c r="H50" s="9" t="str">
        <f>VLOOKUP(Ventas!C50,Países!$A$2:$B$186,2,FALSE)</f>
        <v>North America</v>
      </c>
      <c r="I50" s="9" t="str">
        <f>Ventas!E50</f>
        <v>Retail</v>
      </c>
    </row>
    <row r="51" spans="2:9" x14ac:dyDescent="0.25">
      <c r="B51" s="12">
        <f>Ventas!F51</f>
        <v>18</v>
      </c>
      <c r="C51" s="10">
        <f>VLOOKUP(Ventas!$D51,Productos!$A$1:$D$16,4,FALSE)*Ventas!F51</f>
        <v>261</v>
      </c>
      <c r="D51" s="10">
        <f>VLOOKUP(Ventas!$D51,Productos!$A$1:$D$16,3,FALSE)*Ventas!F51</f>
        <v>144</v>
      </c>
      <c r="E51" s="10">
        <f t="shared" si="0"/>
        <v>117</v>
      </c>
      <c r="F51" s="9">
        <f>YEAR(Ventas!G51)</f>
        <v>2016</v>
      </c>
      <c r="G51" s="9">
        <f>MONTH(Ventas!G51)</f>
        <v>6</v>
      </c>
      <c r="H51" s="9" t="str">
        <f>VLOOKUP(Ventas!C51,Países!$A$2:$B$186,2,FALSE)</f>
        <v>Europe</v>
      </c>
      <c r="I51" s="9" t="str">
        <f>Ventas!E51</f>
        <v>Retail</v>
      </c>
    </row>
    <row r="52" spans="2:9" x14ac:dyDescent="0.25">
      <c r="B52" s="12">
        <f>Ventas!F52</f>
        <v>28</v>
      </c>
      <c r="C52" s="10">
        <f>VLOOKUP(Ventas!$D52,Productos!$A$1:$D$16,4,FALSE)*Ventas!F52</f>
        <v>111.72</v>
      </c>
      <c r="D52" s="10">
        <f>VLOOKUP(Ventas!$D52,Productos!$A$1:$D$16,3,FALSE)*Ventas!F52</f>
        <v>56</v>
      </c>
      <c r="E52" s="10">
        <f t="shared" si="0"/>
        <v>55.72</v>
      </c>
      <c r="F52" s="9">
        <f>YEAR(Ventas!G52)</f>
        <v>2016</v>
      </c>
      <c r="G52" s="9">
        <f>MONTH(Ventas!G52)</f>
        <v>7</v>
      </c>
      <c r="H52" s="9" t="str">
        <f>VLOOKUP(Ventas!C52,Países!$A$2:$B$186,2,FALSE)</f>
        <v>Sub-Saharan Africa</v>
      </c>
      <c r="I52" s="9" t="str">
        <f>Ventas!E52</f>
        <v>Online</v>
      </c>
    </row>
    <row r="53" spans="2:9" x14ac:dyDescent="0.25">
      <c r="B53" s="12">
        <f>Ventas!F53</f>
        <v>137</v>
      </c>
      <c r="C53" s="10">
        <f>VLOOKUP(Ventas!$D53,Productos!$A$1:$D$16,4,FALSE)*Ventas!F53</f>
        <v>274</v>
      </c>
      <c r="D53" s="10">
        <f>VLOOKUP(Ventas!$D53,Productos!$A$1:$D$16,3,FALSE)*Ventas!F53</f>
        <v>137</v>
      </c>
      <c r="E53" s="10">
        <f t="shared" si="0"/>
        <v>137</v>
      </c>
      <c r="F53" s="9">
        <f>YEAR(Ventas!G53)</f>
        <v>2016</v>
      </c>
      <c r="G53" s="9">
        <f>MONTH(Ventas!G53)</f>
        <v>7</v>
      </c>
      <c r="H53" s="9" t="str">
        <f>VLOOKUP(Ventas!C53,Países!$A$2:$B$186,2,FALSE)</f>
        <v>Australia and Oceania</v>
      </c>
      <c r="I53" s="9" t="str">
        <f>Ventas!E53</f>
        <v>Online</v>
      </c>
    </row>
    <row r="54" spans="2:9" x14ac:dyDescent="0.25">
      <c r="B54" s="12">
        <f>Ventas!F54</f>
        <v>95</v>
      </c>
      <c r="C54" s="10">
        <f>VLOOKUP(Ventas!$D54,Productos!$A$1:$D$16,4,FALSE)*Ventas!F54</f>
        <v>949.05000000000007</v>
      </c>
      <c r="D54" s="10">
        <f>VLOOKUP(Ventas!$D54,Productos!$A$1:$D$16,3,FALSE)*Ventas!F54</f>
        <v>475</v>
      </c>
      <c r="E54" s="10">
        <f t="shared" si="0"/>
        <v>474.05000000000007</v>
      </c>
      <c r="F54" s="9">
        <f>YEAR(Ventas!G54)</f>
        <v>2016</v>
      </c>
      <c r="G54" s="9">
        <f>MONTH(Ventas!G54)</f>
        <v>8</v>
      </c>
      <c r="H54" s="9" t="str">
        <f>VLOOKUP(Ventas!C54,Países!$A$2:$B$186,2,FALSE)</f>
        <v>Central America and the Caribbean</v>
      </c>
      <c r="I54" s="9" t="str">
        <f>Ventas!E54</f>
        <v>Retail</v>
      </c>
    </row>
    <row r="55" spans="2:9" x14ac:dyDescent="0.25">
      <c r="B55" s="12">
        <f>Ventas!F55</f>
        <v>109</v>
      </c>
      <c r="C55" s="10">
        <f>VLOOKUP(Ventas!$D55,Productos!$A$1:$D$16,4,FALSE)*Ventas!F55</f>
        <v>434.91</v>
      </c>
      <c r="D55" s="10">
        <f>VLOOKUP(Ventas!$D55,Productos!$A$1:$D$16,3,FALSE)*Ventas!F55</f>
        <v>218</v>
      </c>
      <c r="E55" s="10">
        <f t="shared" si="0"/>
        <v>216.91000000000003</v>
      </c>
      <c r="F55" s="9">
        <f>YEAR(Ventas!G55)</f>
        <v>2016</v>
      </c>
      <c r="G55" s="9">
        <f>MONTH(Ventas!G55)</f>
        <v>7</v>
      </c>
      <c r="H55" s="9" t="str">
        <f>VLOOKUP(Ventas!C55,Países!$A$2:$B$186,2,FALSE)</f>
        <v>Sub-Saharan Africa</v>
      </c>
      <c r="I55" s="9" t="str">
        <f>Ventas!E55</f>
        <v>Online</v>
      </c>
    </row>
    <row r="56" spans="2:9" x14ac:dyDescent="0.25">
      <c r="B56" s="12">
        <f>Ventas!F56</f>
        <v>137</v>
      </c>
      <c r="C56" s="10">
        <f>VLOOKUP(Ventas!$D56,Productos!$A$1:$D$16,4,FALSE)*Ventas!F56</f>
        <v>546.63</v>
      </c>
      <c r="D56" s="10">
        <f>VLOOKUP(Ventas!$D56,Productos!$A$1:$D$16,3,FALSE)*Ventas!F56</f>
        <v>274</v>
      </c>
      <c r="E56" s="10">
        <f t="shared" si="0"/>
        <v>272.63</v>
      </c>
      <c r="F56" s="9">
        <f>YEAR(Ventas!G56)</f>
        <v>2016</v>
      </c>
      <c r="G56" s="9">
        <f>MONTH(Ventas!G56)</f>
        <v>6</v>
      </c>
      <c r="H56" s="9" t="str">
        <f>VLOOKUP(Ventas!C56,Países!$A$2:$B$186,2,FALSE)</f>
        <v>Sub-Saharan Africa</v>
      </c>
      <c r="I56" s="9" t="str">
        <f>Ventas!E56</f>
        <v>Direct</v>
      </c>
    </row>
    <row r="57" spans="2:9" x14ac:dyDescent="0.25">
      <c r="B57" s="12">
        <f>Ventas!F57</f>
        <v>196</v>
      </c>
      <c r="C57" s="10">
        <f>VLOOKUP(Ventas!$D57,Productos!$A$1:$D$16,4,FALSE)*Ventas!F57</f>
        <v>782.04000000000008</v>
      </c>
      <c r="D57" s="10">
        <f>VLOOKUP(Ventas!$D57,Productos!$A$1:$D$16,3,FALSE)*Ventas!F57</f>
        <v>392</v>
      </c>
      <c r="E57" s="10">
        <f t="shared" si="0"/>
        <v>390.04000000000008</v>
      </c>
      <c r="F57" s="9">
        <f>YEAR(Ventas!G57)</f>
        <v>2016</v>
      </c>
      <c r="G57" s="9">
        <f>MONTH(Ventas!G57)</f>
        <v>7</v>
      </c>
      <c r="H57" s="9" t="str">
        <f>VLOOKUP(Ventas!C57,Países!$A$2:$B$186,2,FALSE)</f>
        <v>Europe</v>
      </c>
      <c r="I57" s="9" t="str">
        <f>Ventas!E57</f>
        <v>Online</v>
      </c>
    </row>
    <row r="58" spans="2:9" x14ac:dyDescent="0.25">
      <c r="B58" s="12">
        <f>Ventas!F58</f>
        <v>48</v>
      </c>
      <c r="C58" s="10">
        <f>VLOOKUP(Ventas!$D58,Productos!$A$1:$D$16,4,FALSE)*Ventas!F58</f>
        <v>312</v>
      </c>
      <c r="D58" s="10">
        <f>VLOOKUP(Ventas!$D58,Productos!$A$1:$D$16,3,FALSE)*Ventas!F58</f>
        <v>168</v>
      </c>
      <c r="E58" s="10">
        <f t="shared" si="0"/>
        <v>144</v>
      </c>
      <c r="F58" s="9">
        <f>YEAR(Ventas!G58)</f>
        <v>2016</v>
      </c>
      <c r="G58" s="9">
        <f>MONTH(Ventas!G58)</f>
        <v>7</v>
      </c>
      <c r="H58" s="9" t="str">
        <f>VLOOKUP(Ventas!C58,Países!$A$2:$B$186,2,FALSE)</f>
        <v>Asia</v>
      </c>
      <c r="I58" s="9" t="str">
        <f>Ventas!E58</f>
        <v>Retail</v>
      </c>
    </row>
    <row r="59" spans="2:9" x14ac:dyDescent="0.25">
      <c r="B59" s="12">
        <f>Ventas!F59</f>
        <v>4</v>
      </c>
      <c r="C59" s="10">
        <f>VLOOKUP(Ventas!$D59,Productos!$A$1:$D$16,4,FALSE)*Ventas!F59</f>
        <v>8</v>
      </c>
      <c r="D59" s="10">
        <f>VLOOKUP(Ventas!$D59,Productos!$A$1:$D$16,3,FALSE)*Ventas!F59</f>
        <v>4</v>
      </c>
      <c r="E59" s="10">
        <f t="shared" si="0"/>
        <v>4</v>
      </c>
      <c r="F59" s="9">
        <f>YEAR(Ventas!G59)</f>
        <v>2016</v>
      </c>
      <c r="G59" s="9">
        <f>MONTH(Ventas!G59)</f>
        <v>8</v>
      </c>
      <c r="H59" s="9" t="str">
        <f>VLOOKUP(Ventas!C59,Países!$A$2:$B$186,2,FALSE)</f>
        <v>Sub-Saharan Africa</v>
      </c>
      <c r="I59" s="9" t="str">
        <f>Ventas!E59</f>
        <v>Online</v>
      </c>
    </row>
    <row r="60" spans="2:9" x14ac:dyDescent="0.25">
      <c r="B60" s="12">
        <f>Ventas!F60</f>
        <v>125</v>
      </c>
      <c r="C60" s="10">
        <f>VLOOKUP(Ventas!$D60,Productos!$A$1:$D$16,4,FALSE)*Ventas!F60</f>
        <v>750</v>
      </c>
      <c r="D60" s="10">
        <f>VLOOKUP(Ventas!$D60,Productos!$A$1:$D$16,3,FALSE)*Ventas!F60</f>
        <v>375</v>
      </c>
      <c r="E60" s="10">
        <f t="shared" si="0"/>
        <v>375</v>
      </c>
      <c r="F60" s="9">
        <f>YEAR(Ventas!G60)</f>
        <v>2016</v>
      </c>
      <c r="G60" s="9">
        <f>MONTH(Ventas!G60)</f>
        <v>6</v>
      </c>
      <c r="H60" s="9" t="str">
        <f>VLOOKUP(Ventas!C60,Países!$A$2:$B$186,2,FALSE)</f>
        <v>Europe</v>
      </c>
      <c r="I60" s="9" t="str">
        <f>Ventas!E60</f>
        <v>Direct</v>
      </c>
    </row>
    <row r="61" spans="2:9" x14ac:dyDescent="0.25">
      <c r="B61" s="12">
        <f>Ventas!F61</f>
        <v>211</v>
      </c>
      <c r="C61" s="10">
        <f>VLOOKUP(Ventas!$D61,Productos!$A$1:$D$16,4,FALSE)*Ventas!F61</f>
        <v>422</v>
      </c>
      <c r="D61" s="10">
        <f>VLOOKUP(Ventas!$D61,Productos!$A$1:$D$16,3,FALSE)*Ventas!F61</f>
        <v>211</v>
      </c>
      <c r="E61" s="10">
        <f t="shared" si="0"/>
        <v>211</v>
      </c>
      <c r="F61" s="9">
        <f>YEAR(Ventas!G61)</f>
        <v>2016</v>
      </c>
      <c r="G61" s="9">
        <f>MONTH(Ventas!G61)</f>
        <v>8</v>
      </c>
      <c r="H61" s="9" t="str">
        <f>VLOOKUP(Ventas!C61,Países!$A$2:$B$186,2,FALSE)</f>
        <v>Central America and the Caribbean</v>
      </c>
      <c r="I61" s="9" t="str">
        <f>Ventas!E61</f>
        <v>Online</v>
      </c>
    </row>
    <row r="62" spans="2:9" x14ac:dyDescent="0.25">
      <c r="B62" s="12">
        <f>Ventas!F62</f>
        <v>20</v>
      </c>
      <c r="C62" s="10">
        <f>VLOOKUP(Ventas!$D62,Productos!$A$1:$D$16,4,FALSE)*Ventas!F62</f>
        <v>60</v>
      </c>
      <c r="D62" s="10">
        <f>VLOOKUP(Ventas!$D62,Productos!$A$1:$D$16,3,FALSE)*Ventas!F62</f>
        <v>30</v>
      </c>
      <c r="E62" s="10">
        <f t="shared" si="0"/>
        <v>30</v>
      </c>
      <c r="F62" s="9">
        <f>YEAR(Ventas!G62)</f>
        <v>2016</v>
      </c>
      <c r="G62" s="9">
        <f>MONTH(Ventas!G62)</f>
        <v>6</v>
      </c>
      <c r="H62" s="9" t="str">
        <f>VLOOKUP(Ventas!C62,Países!$A$2:$B$186,2,FALSE)</f>
        <v>Asia</v>
      </c>
      <c r="I62" s="9" t="str">
        <f>Ventas!E62</f>
        <v>Online</v>
      </c>
    </row>
    <row r="63" spans="2:9" x14ac:dyDescent="0.25">
      <c r="B63" s="12">
        <f>Ventas!F63</f>
        <v>135</v>
      </c>
      <c r="C63" s="10">
        <f>VLOOKUP(Ventas!$D63,Productos!$A$1:$D$16,4,FALSE)*Ventas!F63</f>
        <v>405</v>
      </c>
      <c r="D63" s="10">
        <f>VLOOKUP(Ventas!$D63,Productos!$A$1:$D$16,3,FALSE)*Ventas!F63</f>
        <v>202.5</v>
      </c>
      <c r="E63" s="10">
        <f t="shared" si="0"/>
        <v>202.5</v>
      </c>
      <c r="F63" s="9">
        <f>YEAR(Ventas!G63)</f>
        <v>2016</v>
      </c>
      <c r="G63" s="9">
        <f>MONTH(Ventas!G63)</f>
        <v>8</v>
      </c>
      <c r="H63" s="9" t="str">
        <f>VLOOKUP(Ventas!C63,Países!$A$2:$B$186,2,FALSE)</f>
        <v>Middle East and North Africa</v>
      </c>
      <c r="I63" s="9" t="str">
        <f>Ventas!E63</f>
        <v>Direct</v>
      </c>
    </row>
    <row r="64" spans="2:9" x14ac:dyDescent="0.25">
      <c r="B64" s="12">
        <f>Ventas!F64</f>
        <v>193</v>
      </c>
      <c r="C64" s="10">
        <f>VLOOKUP(Ventas!$D64,Productos!$A$1:$D$16,4,FALSE)*Ventas!F64</f>
        <v>1928.07</v>
      </c>
      <c r="D64" s="10">
        <f>VLOOKUP(Ventas!$D64,Productos!$A$1:$D$16,3,FALSE)*Ventas!F64</f>
        <v>965</v>
      </c>
      <c r="E64" s="10">
        <f t="shared" si="0"/>
        <v>963.06999999999994</v>
      </c>
      <c r="F64" s="9">
        <f>YEAR(Ventas!G64)</f>
        <v>2016</v>
      </c>
      <c r="G64" s="9">
        <f>MONTH(Ventas!G64)</f>
        <v>8</v>
      </c>
      <c r="H64" s="9" t="str">
        <f>VLOOKUP(Ventas!C64,Países!$A$2:$B$186,2,FALSE)</f>
        <v>Sub-Saharan Africa</v>
      </c>
      <c r="I64" s="9" t="str">
        <f>Ventas!E64</f>
        <v>Retail</v>
      </c>
    </row>
    <row r="65" spans="2:9" x14ac:dyDescent="0.25">
      <c r="B65" s="12">
        <f>Ventas!F65</f>
        <v>184</v>
      </c>
      <c r="C65" s="10">
        <f>VLOOKUP(Ventas!$D65,Productos!$A$1:$D$16,4,FALSE)*Ventas!F65</f>
        <v>1104</v>
      </c>
      <c r="D65" s="10">
        <f>VLOOKUP(Ventas!$D65,Productos!$A$1:$D$16,3,FALSE)*Ventas!F65</f>
        <v>552</v>
      </c>
      <c r="E65" s="10">
        <f t="shared" si="0"/>
        <v>552</v>
      </c>
      <c r="F65" s="9">
        <f>YEAR(Ventas!G65)</f>
        <v>2016</v>
      </c>
      <c r="G65" s="9">
        <f>MONTH(Ventas!G65)</f>
        <v>6</v>
      </c>
      <c r="H65" s="9" t="str">
        <f>VLOOKUP(Ventas!C65,Países!$A$2:$B$186,2,FALSE)</f>
        <v>Asia</v>
      </c>
      <c r="I65" s="9" t="str">
        <f>Ventas!E65</f>
        <v>Online</v>
      </c>
    </row>
    <row r="66" spans="2:9" x14ac:dyDescent="0.25">
      <c r="B66" s="12">
        <f>Ventas!F66</f>
        <v>126</v>
      </c>
      <c r="C66" s="10">
        <f>VLOOKUP(Ventas!$D66,Productos!$A$1:$D$16,4,FALSE)*Ventas!F66</f>
        <v>567</v>
      </c>
      <c r="D66" s="10">
        <f>VLOOKUP(Ventas!$D66,Productos!$A$1:$D$16,3,FALSE)*Ventas!F66</f>
        <v>315</v>
      </c>
      <c r="E66" s="10">
        <f t="shared" si="0"/>
        <v>252</v>
      </c>
      <c r="F66" s="9">
        <f>YEAR(Ventas!G66)</f>
        <v>2016</v>
      </c>
      <c r="G66" s="9">
        <f>MONTH(Ventas!G66)</f>
        <v>8</v>
      </c>
      <c r="H66" s="9" t="str">
        <f>VLOOKUP(Ventas!C66,Países!$A$2:$B$186,2,FALSE)</f>
        <v>Europe</v>
      </c>
      <c r="I66" s="9" t="str">
        <f>Ventas!E66</f>
        <v>Online</v>
      </c>
    </row>
    <row r="67" spans="2:9" x14ac:dyDescent="0.25">
      <c r="B67" s="12">
        <f>Ventas!F67</f>
        <v>176</v>
      </c>
      <c r="C67" s="10">
        <f>VLOOKUP(Ventas!$D67,Productos!$A$1:$D$16,4,FALSE)*Ventas!F67</f>
        <v>1144</v>
      </c>
      <c r="D67" s="10">
        <f>VLOOKUP(Ventas!$D67,Productos!$A$1:$D$16,3,FALSE)*Ventas!F67</f>
        <v>616</v>
      </c>
      <c r="E67" s="10">
        <f t="shared" ref="E67:E130" si="1">C67-D67</f>
        <v>528</v>
      </c>
      <c r="F67" s="9">
        <f>YEAR(Ventas!G67)</f>
        <v>2016</v>
      </c>
      <c r="G67" s="9">
        <f>MONTH(Ventas!G67)</f>
        <v>7</v>
      </c>
      <c r="H67" s="9" t="str">
        <f>VLOOKUP(Ventas!C67,Países!$A$2:$B$186,2,FALSE)</f>
        <v>Sub-Saharan Africa</v>
      </c>
      <c r="I67" s="9" t="str">
        <f>Ventas!E67</f>
        <v>Online</v>
      </c>
    </row>
    <row r="68" spans="2:9" x14ac:dyDescent="0.25">
      <c r="B68" s="12">
        <f>Ventas!F68</f>
        <v>102</v>
      </c>
      <c r="C68" s="10">
        <f>VLOOKUP(Ventas!$D68,Productos!$A$1:$D$16,4,FALSE)*Ventas!F68</f>
        <v>1479</v>
      </c>
      <c r="D68" s="10">
        <f>VLOOKUP(Ventas!$D68,Productos!$A$1:$D$16,3,FALSE)*Ventas!F68</f>
        <v>816</v>
      </c>
      <c r="E68" s="10">
        <f t="shared" si="1"/>
        <v>663</v>
      </c>
      <c r="F68" s="9">
        <f>YEAR(Ventas!G68)</f>
        <v>2016</v>
      </c>
      <c r="G68" s="9">
        <f>MONTH(Ventas!G68)</f>
        <v>7</v>
      </c>
      <c r="H68" s="9" t="str">
        <f>VLOOKUP(Ventas!C68,Países!$A$2:$B$186,2,FALSE)</f>
        <v>Europe</v>
      </c>
      <c r="I68" s="9" t="str">
        <f>Ventas!E68</f>
        <v>Direct</v>
      </c>
    </row>
    <row r="69" spans="2:9" x14ac:dyDescent="0.25">
      <c r="B69" s="12">
        <f>Ventas!F69</f>
        <v>203</v>
      </c>
      <c r="C69" s="10">
        <f>VLOOKUP(Ventas!$D69,Productos!$A$1:$D$16,4,FALSE)*Ventas!F69</f>
        <v>809.97</v>
      </c>
      <c r="D69" s="10">
        <f>VLOOKUP(Ventas!$D69,Productos!$A$1:$D$16,3,FALSE)*Ventas!F69</f>
        <v>406</v>
      </c>
      <c r="E69" s="10">
        <f t="shared" si="1"/>
        <v>403.97</v>
      </c>
      <c r="F69" s="9">
        <f>YEAR(Ventas!G69)</f>
        <v>2016</v>
      </c>
      <c r="G69" s="9">
        <f>MONTH(Ventas!G69)</f>
        <v>7</v>
      </c>
      <c r="H69" s="9" t="str">
        <f>VLOOKUP(Ventas!C69,Países!$A$2:$B$186,2,FALSE)</f>
        <v>North America</v>
      </c>
      <c r="I69" s="9" t="str">
        <f>Ventas!E69</f>
        <v>Online</v>
      </c>
    </row>
    <row r="70" spans="2:9" x14ac:dyDescent="0.25">
      <c r="B70" s="12">
        <f>Ventas!F70</f>
        <v>177</v>
      </c>
      <c r="C70" s="10">
        <f>VLOOKUP(Ventas!$D70,Productos!$A$1:$D$16,4,FALSE)*Ventas!F70</f>
        <v>354</v>
      </c>
      <c r="D70" s="10">
        <f>VLOOKUP(Ventas!$D70,Productos!$A$1:$D$16,3,FALSE)*Ventas!F70</f>
        <v>177</v>
      </c>
      <c r="E70" s="10">
        <f t="shared" si="1"/>
        <v>177</v>
      </c>
      <c r="F70" s="9">
        <f>YEAR(Ventas!G70)</f>
        <v>2016</v>
      </c>
      <c r="G70" s="9">
        <f>MONTH(Ventas!G70)</f>
        <v>8</v>
      </c>
      <c r="H70" s="9" t="str">
        <f>VLOOKUP(Ventas!C70,Países!$A$2:$B$186,2,FALSE)</f>
        <v>Europe</v>
      </c>
      <c r="I70" s="9" t="str">
        <f>Ventas!E70</f>
        <v>Online</v>
      </c>
    </row>
    <row r="71" spans="2:9" x14ac:dyDescent="0.25">
      <c r="B71" s="12">
        <f>Ventas!F71</f>
        <v>51</v>
      </c>
      <c r="C71" s="10">
        <f>VLOOKUP(Ventas!$D71,Productos!$A$1:$D$16,4,FALSE)*Ventas!F71</f>
        <v>102</v>
      </c>
      <c r="D71" s="10">
        <f>VLOOKUP(Ventas!$D71,Productos!$A$1:$D$16,3,FALSE)*Ventas!F71</f>
        <v>51</v>
      </c>
      <c r="E71" s="10">
        <f t="shared" si="1"/>
        <v>51</v>
      </c>
      <c r="F71" s="9">
        <f>YEAR(Ventas!G71)</f>
        <v>2016</v>
      </c>
      <c r="G71" s="9">
        <f>MONTH(Ventas!G71)</f>
        <v>8</v>
      </c>
      <c r="H71" s="9" t="str">
        <f>VLOOKUP(Ventas!C71,Países!$A$2:$B$186,2,FALSE)</f>
        <v>Middle East and North Africa</v>
      </c>
      <c r="I71" s="9" t="str">
        <f>Ventas!E71</f>
        <v>Direct</v>
      </c>
    </row>
    <row r="72" spans="2:9" x14ac:dyDescent="0.25">
      <c r="B72" s="12">
        <f>Ventas!F72</f>
        <v>203</v>
      </c>
      <c r="C72" s="10">
        <f>VLOOKUP(Ventas!$D72,Productos!$A$1:$D$16,4,FALSE)*Ventas!F72</f>
        <v>809.97</v>
      </c>
      <c r="D72" s="10">
        <f>VLOOKUP(Ventas!$D72,Productos!$A$1:$D$16,3,FALSE)*Ventas!F72</f>
        <v>406</v>
      </c>
      <c r="E72" s="10">
        <f t="shared" si="1"/>
        <v>403.97</v>
      </c>
      <c r="F72" s="9">
        <f>YEAR(Ventas!G72)</f>
        <v>2016</v>
      </c>
      <c r="G72" s="9">
        <f>MONTH(Ventas!G72)</f>
        <v>7</v>
      </c>
      <c r="H72" s="9" t="str">
        <f>VLOOKUP(Ventas!C72,Países!$A$2:$B$186,2,FALSE)</f>
        <v>Asia</v>
      </c>
      <c r="I72" s="9" t="str">
        <f>Ventas!E72</f>
        <v>Retail</v>
      </c>
    </row>
    <row r="73" spans="2:9" x14ac:dyDescent="0.25">
      <c r="B73" s="12">
        <f>Ventas!F73</f>
        <v>106</v>
      </c>
      <c r="C73" s="10">
        <f>VLOOKUP(Ventas!$D73,Productos!$A$1:$D$16,4,FALSE)*Ventas!F73</f>
        <v>422.94</v>
      </c>
      <c r="D73" s="10">
        <f>VLOOKUP(Ventas!$D73,Productos!$A$1:$D$16,3,FALSE)*Ventas!F73</f>
        <v>212</v>
      </c>
      <c r="E73" s="10">
        <f t="shared" si="1"/>
        <v>210.94</v>
      </c>
      <c r="F73" s="9">
        <f>YEAR(Ventas!G73)</f>
        <v>2016</v>
      </c>
      <c r="G73" s="9">
        <f>MONTH(Ventas!G73)</f>
        <v>8</v>
      </c>
      <c r="H73" s="9" t="str">
        <f>VLOOKUP(Ventas!C73,Países!$A$2:$B$186,2,FALSE)</f>
        <v>Europe</v>
      </c>
      <c r="I73" s="9" t="str">
        <f>Ventas!E73</f>
        <v>Retail</v>
      </c>
    </row>
    <row r="74" spans="2:9" x14ac:dyDescent="0.25">
      <c r="B74" s="12">
        <f>Ventas!F74</f>
        <v>14</v>
      </c>
      <c r="C74" s="10">
        <f>VLOOKUP(Ventas!$D74,Productos!$A$1:$D$16,4,FALSE)*Ventas!F74</f>
        <v>42</v>
      </c>
      <c r="D74" s="10">
        <f>VLOOKUP(Ventas!$D74,Productos!$A$1:$D$16,3,FALSE)*Ventas!F74</f>
        <v>21</v>
      </c>
      <c r="E74" s="10">
        <f t="shared" si="1"/>
        <v>21</v>
      </c>
      <c r="F74" s="9">
        <f>YEAR(Ventas!G74)</f>
        <v>2016</v>
      </c>
      <c r="G74" s="9">
        <f>MONTH(Ventas!G74)</f>
        <v>8</v>
      </c>
      <c r="H74" s="9" t="str">
        <f>VLOOKUP(Ventas!C74,Países!$A$2:$B$186,2,FALSE)</f>
        <v>Sub-Saharan Africa</v>
      </c>
      <c r="I74" s="9" t="str">
        <f>Ventas!E74</f>
        <v>Online</v>
      </c>
    </row>
    <row r="75" spans="2:9" x14ac:dyDescent="0.25">
      <c r="B75" s="12">
        <f>Ventas!F75</f>
        <v>116</v>
      </c>
      <c r="C75" s="10">
        <f>VLOOKUP(Ventas!$D75,Productos!$A$1:$D$16,4,FALSE)*Ventas!F75</f>
        <v>1044</v>
      </c>
      <c r="D75" s="10">
        <f>VLOOKUP(Ventas!$D75,Productos!$A$1:$D$16,3,FALSE)*Ventas!F75</f>
        <v>696</v>
      </c>
      <c r="E75" s="10">
        <f t="shared" si="1"/>
        <v>348</v>
      </c>
      <c r="F75" s="9">
        <f>YEAR(Ventas!G75)</f>
        <v>2016</v>
      </c>
      <c r="G75" s="9">
        <f>MONTH(Ventas!G75)</f>
        <v>8</v>
      </c>
      <c r="H75" s="9" t="str">
        <f>VLOOKUP(Ventas!C75,Países!$A$2:$B$186,2,FALSE)</f>
        <v>Europe</v>
      </c>
      <c r="I75" s="9" t="str">
        <f>Ventas!E75</f>
        <v>Online</v>
      </c>
    </row>
    <row r="76" spans="2:9" x14ac:dyDescent="0.25">
      <c r="B76" s="12">
        <f>Ventas!F76</f>
        <v>7</v>
      </c>
      <c r="C76" s="10">
        <f>VLOOKUP(Ventas!$D76,Productos!$A$1:$D$16,4,FALSE)*Ventas!F76</f>
        <v>31.5</v>
      </c>
      <c r="D76" s="10">
        <f>VLOOKUP(Ventas!$D76,Productos!$A$1:$D$16,3,FALSE)*Ventas!F76</f>
        <v>17.5</v>
      </c>
      <c r="E76" s="10">
        <f t="shared" si="1"/>
        <v>14</v>
      </c>
      <c r="F76" s="9">
        <f>YEAR(Ventas!G76)</f>
        <v>2016</v>
      </c>
      <c r="G76" s="9">
        <f>MONTH(Ventas!G76)</f>
        <v>7</v>
      </c>
      <c r="H76" s="9" t="str">
        <f>VLOOKUP(Ventas!C76,Países!$A$2:$B$186,2,FALSE)</f>
        <v>Middle East and North Africa</v>
      </c>
      <c r="I76" s="9" t="str">
        <f>Ventas!E76</f>
        <v>Retail</v>
      </c>
    </row>
    <row r="77" spans="2:9" x14ac:dyDescent="0.25">
      <c r="B77" s="12">
        <f>Ventas!F77</f>
        <v>82</v>
      </c>
      <c r="C77" s="10">
        <f>VLOOKUP(Ventas!$D77,Productos!$A$1:$D$16,4,FALSE)*Ventas!F77</f>
        <v>573.18000000000006</v>
      </c>
      <c r="D77" s="10">
        <f>VLOOKUP(Ventas!$D77,Productos!$A$1:$D$16,3,FALSE)*Ventas!F77</f>
        <v>287</v>
      </c>
      <c r="E77" s="10">
        <f t="shared" si="1"/>
        <v>286.18000000000006</v>
      </c>
      <c r="F77" s="9">
        <f>YEAR(Ventas!G77)</f>
        <v>2016</v>
      </c>
      <c r="G77" s="9">
        <f>MONTH(Ventas!G77)</f>
        <v>7</v>
      </c>
      <c r="H77" s="9" t="str">
        <f>VLOOKUP(Ventas!C77,Países!$A$2:$B$186,2,FALSE)</f>
        <v>Sub-Saharan Africa</v>
      </c>
      <c r="I77" s="9" t="str">
        <f>Ventas!E77</f>
        <v>Online</v>
      </c>
    </row>
    <row r="78" spans="2:9" x14ac:dyDescent="0.25">
      <c r="B78" s="12">
        <f>Ventas!F78</f>
        <v>178</v>
      </c>
      <c r="C78" s="10">
        <f>VLOOKUP(Ventas!$D78,Productos!$A$1:$D$16,4,FALSE)*Ventas!F78</f>
        <v>710.22</v>
      </c>
      <c r="D78" s="10">
        <f>VLOOKUP(Ventas!$D78,Productos!$A$1:$D$16,3,FALSE)*Ventas!F78</f>
        <v>356</v>
      </c>
      <c r="E78" s="10">
        <f t="shared" si="1"/>
        <v>354.22</v>
      </c>
      <c r="F78" s="9">
        <f>YEAR(Ventas!G78)</f>
        <v>2016</v>
      </c>
      <c r="G78" s="9">
        <f>MONTH(Ventas!G78)</f>
        <v>8</v>
      </c>
      <c r="H78" s="9" t="str">
        <f>VLOOKUP(Ventas!C78,Países!$A$2:$B$186,2,FALSE)</f>
        <v>Asia</v>
      </c>
      <c r="I78" s="9" t="str">
        <f>Ventas!E78</f>
        <v>Online</v>
      </c>
    </row>
    <row r="79" spans="2:9" x14ac:dyDescent="0.25">
      <c r="B79" s="12">
        <f>Ventas!F79</f>
        <v>41</v>
      </c>
      <c r="C79" s="10">
        <f>VLOOKUP(Ventas!$D79,Productos!$A$1:$D$16,4,FALSE)*Ventas!F79</f>
        <v>246</v>
      </c>
      <c r="D79" s="10">
        <f>VLOOKUP(Ventas!$D79,Productos!$A$1:$D$16,3,FALSE)*Ventas!F79</f>
        <v>123</v>
      </c>
      <c r="E79" s="10">
        <f t="shared" si="1"/>
        <v>123</v>
      </c>
      <c r="F79" s="9">
        <f>YEAR(Ventas!G79)</f>
        <v>2016</v>
      </c>
      <c r="G79" s="9">
        <f>MONTH(Ventas!G79)</f>
        <v>7</v>
      </c>
      <c r="H79" s="9" t="str">
        <f>VLOOKUP(Ventas!C79,Países!$A$2:$B$186,2,FALSE)</f>
        <v>Europe</v>
      </c>
      <c r="I79" s="9" t="str">
        <f>Ventas!E79</f>
        <v>Retail</v>
      </c>
    </row>
    <row r="80" spans="2:9" x14ac:dyDescent="0.25">
      <c r="B80" s="12">
        <f>Ventas!F80</f>
        <v>85</v>
      </c>
      <c r="C80" s="10">
        <f>VLOOKUP(Ventas!$D80,Productos!$A$1:$D$16,4,FALSE)*Ventas!F80</f>
        <v>382.5</v>
      </c>
      <c r="D80" s="10">
        <f>VLOOKUP(Ventas!$D80,Productos!$A$1:$D$16,3,FALSE)*Ventas!F80</f>
        <v>212.5</v>
      </c>
      <c r="E80" s="10">
        <f t="shared" si="1"/>
        <v>170</v>
      </c>
      <c r="F80" s="9">
        <f>YEAR(Ventas!G80)</f>
        <v>2016</v>
      </c>
      <c r="G80" s="9">
        <f>MONTH(Ventas!G80)</f>
        <v>7</v>
      </c>
      <c r="H80" s="9" t="str">
        <f>VLOOKUP(Ventas!C80,Países!$A$2:$B$186,2,FALSE)</f>
        <v>Central America and the Caribbean</v>
      </c>
      <c r="I80" s="9" t="str">
        <f>Ventas!E80</f>
        <v>Retail</v>
      </c>
    </row>
    <row r="81" spans="2:9" x14ac:dyDescent="0.25">
      <c r="B81" s="12">
        <f>Ventas!F81</f>
        <v>77</v>
      </c>
      <c r="C81" s="10">
        <f>VLOOKUP(Ventas!$D81,Productos!$A$1:$D$16,4,FALSE)*Ventas!F81</f>
        <v>231</v>
      </c>
      <c r="D81" s="10">
        <f>VLOOKUP(Ventas!$D81,Productos!$A$1:$D$16,3,FALSE)*Ventas!F81</f>
        <v>115.5</v>
      </c>
      <c r="E81" s="10">
        <f t="shared" si="1"/>
        <v>115.5</v>
      </c>
      <c r="F81" s="9">
        <f>YEAR(Ventas!G81)</f>
        <v>2016</v>
      </c>
      <c r="G81" s="9">
        <f>MONTH(Ventas!G81)</f>
        <v>6</v>
      </c>
      <c r="H81" s="9" t="str">
        <f>VLOOKUP(Ventas!C81,Países!$A$2:$B$186,2,FALSE)</f>
        <v>Sub-Saharan Africa</v>
      </c>
      <c r="I81" s="9" t="str">
        <f>Ventas!E81</f>
        <v>Retail</v>
      </c>
    </row>
    <row r="82" spans="2:9" x14ac:dyDescent="0.25">
      <c r="B82" s="12">
        <f>Ventas!F82</f>
        <v>122</v>
      </c>
      <c r="C82" s="10">
        <f>VLOOKUP(Ventas!$D82,Productos!$A$1:$D$16,4,FALSE)*Ventas!F82</f>
        <v>486.78000000000003</v>
      </c>
      <c r="D82" s="10">
        <f>VLOOKUP(Ventas!$D82,Productos!$A$1:$D$16,3,FALSE)*Ventas!F82</f>
        <v>244</v>
      </c>
      <c r="E82" s="10">
        <f t="shared" si="1"/>
        <v>242.78000000000003</v>
      </c>
      <c r="F82" s="9">
        <f>YEAR(Ventas!G82)</f>
        <v>2016</v>
      </c>
      <c r="G82" s="9">
        <f>MONTH(Ventas!G82)</f>
        <v>6</v>
      </c>
      <c r="H82" s="9" t="str">
        <f>VLOOKUP(Ventas!C82,Países!$A$2:$B$186,2,FALSE)</f>
        <v>Europe</v>
      </c>
      <c r="I82" s="9" t="str">
        <f>Ventas!E82</f>
        <v>Online</v>
      </c>
    </row>
    <row r="83" spans="2:9" x14ac:dyDescent="0.25">
      <c r="B83" s="12">
        <f>Ventas!F83</f>
        <v>42</v>
      </c>
      <c r="C83" s="10">
        <f>VLOOKUP(Ventas!$D83,Productos!$A$1:$D$16,4,FALSE)*Ventas!F83</f>
        <v>419.58</v>
      </c>
      <c r="D83" s="10">
        <f>VLOOKUP(Ventas!$D83,Productos!$A$1:$D$16,3,FALSE)*Ventas!F83</f>
        <v>210</v>
      </c>
      <c r="E83" s="10">
        <f t="shared" si="1"/>
        <v>209.57999999999998</v>
      </c>
      <c r="F83" s="9">
        <f>YEAR(Ventas!G83)</f>
        <v>2016</v>
      </c>
      <c r="G83" s="9">
        <f>MONTH(Ventas!G83)</f>
        <v>8</v>
      </c>
      <c r="H83" s="9" t="str">
        <f>VLOOKUP(Ventas!C83,Países!$A$2:$B$186,2,FALSE)</f>
        <v>Asia</v>
      </c>
      <c r="I83" s="9" t="str">
        <f>Ventas!E83</f>
        <v>Online</v>
      </c>
    </row>
    <row r="84" spans="2:9" x14ac:dyDescent="0.25">
      <c r="B84" s="12">
        <f>Ventas!F84</f>
        <v>64</v>
      </c>
      <c r="C84" s="10">
        <f>VLOOKUP(Ventas!$D84,Productos!$A$1:$D$16,4,FALSE)*Ventas!F84</f>
        <v>416</v>
      </c>
      <c r="D84" s="10">
        <f>VLOOKUP(Ventas!$D84,Productos!$A$1:$D$16,3,FALSE)*Ventas!F84</f>
        <v>224</v>
      </c>
      <c r="E84" s="10">
        <f t="shared" si="1"/>
        <v>192</v>
      </c>
      <c r="F84" s="9">
        <f>YEAR(Ventas!G84)</f>
        <v>2016</v>
      </c>
      <c r="G84" s="9">
        <f>MONTH(Ventas!G84)</f>
        <v>8</v>
      </c>
      <c r="H84" s="9" t="str">
        <f>VLOOKUP(Ventas!C84,Países!$A$2:$B$186,2,FALSE)</f>
        <v>Asia</v>
      </c>
      <c r="I84" s="9" t="str">
        <f>Ventas!E84</f>
        <v>Online</v>
      </c>
    </row>
    <row r="85" spans="2:9" x14ac:dyDescent="0.25">
      <c r="B85" s="12">
        <f>Ventas!F85</f>
        <v>208</v>
      </c>
      <c r="C85" s="10">
        <f>VLOOKUP(Ventas!$D85,Productos!$A$1:$D$16,4,FALSE)*Ventas!F85</f>
        <v>3016</v>
      </c>
      <c r="D85" s="10">
        <f>VLOOKUP(Ventas!$D85,Productos!$A$1:$D$16,3,FALSE)*Ventas!F85</f>
        <v>1664</v>
      </c>
      <c r="E85" s="10">
        <f t="shared" si="1"/>
        <v>1352</v>
      </c>
      <c r="F85" s="9">
        <f>YEAR(Ventas!G85)</f>
        <v>2016</v>
      </c>
      <c r="G85" s="9">
        <f>MONTH(Ventas!G85)</f>
        <v>8</v>
      </c>
      <c r="H85" s="9" t="str">
        <f>VLOOKUP(Ventas!C85,Países!$A$2:$B$186,2,FALSE)</f>
        <v>Europe</v>
      </c>
      <c r="I85" s="9" t="str">
        <f>Ventas!E85</f>
        <v>Direct</v>
      </c>
    </row>
    <row r="86" spans="2:9" x14ac:dyDescent="0.25">
      <c r="B86" s="12">
        <f>Ventas!F86</f>
        <v>13</v>
      </c>
      <c r="C86" s="10">
        <f>VLOOKUP(Ventas!$D86,Productos!$A$1:$D$16,4,FALSE)*Ventas!F86</f>
        <v>129.87</v>
      </c>
      <c r="D86" s="10">
        <f>VLOOKUP(Ventas!$D86,Productos!$A$1:$D$16,3,FALSE)*Ventas!F86</f>
        <v>65</v>
      </c>
      <c r="E86" s="10">
        <f t="shared" si="1"/>
        <v>64.87</v>
      </c>
      <c r="F86" s="9">
        <f>YEAR(Ventas!G86)</f>
        <v>2016</v>
      </c>
      <c r="G86" s="9">
        <f>MONTH(Ventas!G86)</f>
        <v>7</v>
      </c>
      <c r="H86" s="9" t="str">
        <f>VLOOKUP(Ventas!C86,Países!$A$2:$B$186,2,FALSE)</f>
        <v>Sub-Saharan Africa</v>
      </c>
      <c r="I86" s="9" t="str">
        <f>Ventas!E86</f>
        <v>Retail</v>
      </c>
    </row>
    <row r="87" spans="2:9" x14ac:dyDescent="0.25">
      <c r="B87" s="12">
        <f>Ventas!F87</f>
        <v>147</v>
      </c>
      <c r="C87" s="10">
        <f>VLOOKUP(Ventas!$D87,Productos!$A$1:$D$16,4,FALSE)*Ventas!F87</f>
        <v>1323</v>
      </c>
      <c r="D87" s="10">
        <f>VLOOKUP(Ventas!$D87,Productos!$A$1:$D$16,3,FALSE)*Ventas!F87</f>
        <v>882</v>
      </c>
      <c r="E87" s="10">
        <f t="shared" si="1"/>
        <v>441</v>
      </c>
      <c r="F87" s="9">
        <f>YEAR(Ventas!G87)</f>
        <v>2016</v>
      </c>
      <c r="G87" s="9">
        <f>MONTH(Ventas!G87)</f>
        <v>6</v>
      </c>
      <c r="H87" s="9" t="str">
        <f>VLOOKUP(Ventas!C87,Países!$A$2:$B$186,2,FALSE)</f>
        <v>Middle East and North Africa</v>
      </c>
      <c r="I87" s="9" t="str">
        <f>Ventas!E87</f>
        <v>Retail</v>
      </c>
    </row>
    <row r="88" spans="2:9" x14ac:dyDescent="0.25">
      <c r="B88" s="12">
        <f>Ventas!F88</f>
        <v>163</v>
      </c>
      <c r="C88" s="10">
        <f>VLOOKUP(Ventas!$D88,Productos!$A$1:$D$16,4,FALSE)*Ventas!F88</f>
        <v>1628.3700000000001</v>
      </c>
      <c r="D88" s="10">
        <f>VLOOKUP(Ventas!$D88,Productos!$A$1:$D$16,3,FALSE)*Ventas!F88</f>
        <v>815</v>
      </c>
      <c r="E88" s="10">
        <f t="shared" si="1"/>
        <v>813.37000000000012</v>
      </c>
      <c r="F88" s="9">
        <f>YEAR(Ventas!G88)</f>
        <v>2016</v>
      </c>
      <c r="G88" s="9">
        <f>MONTH(Ventas!G88)</f>
        <v>8</v>
      </c>
      <c r="H88" s="9" t="str">
        <f>VLOOKUP(Ventas!C88,Países!$A$2:$B$186,2,FALSE)</f>
        <v>Europe</v>
      </c>
      <c r="I88" s="9" t="str">
        <f>Ventas!E88</f>
        <v>Retail</v>
      </c>
    </row>
    <row r="89" spans="2:9" x14ac:dyDescent="0.25">
      <c r="B89" s="12">
        <f>Ventas!F89</f>
        <v>126</v>
      </c>
      <c r="C89" s="10">
        <f>VLOOKUP(Ventas!$D89,Productos!$A$1:$D$16,4,FALSE)*Ventas!F89</f>
        <v>819</v>
      </c>
      <c r="D89" s="10">
        <f>VLOOKUP(Ventas!$D89,Productos!$A$1:$D$16,3,FALSE)*Ventas!F89</f>
        <v>441</v>
      </c>
      <c r="E89" s="10">
        <f t="shared" si="1"/>
        <v>378</v>
      </c>
      <c r="F89" s="9">
        <f>YEAR(Ventas!G89)</f>
        <v>2016</v>
      </c>
      <c r="G89" s="9">
        <f>MONTH(Ventas!G89)</f>
        <v>7</v>
      </c>
      <c r="H89" s="9" t="str">
        <f>VLOOKUP(Ventas!C89,Países!$A$2:$B$186,2,FALSE)</f>
        <v>Europe</v>
      </c>
      <c r="I89" s="9" t="str">
        <f>Ventas!E89</f>
        <v>Direct</v>
      </c>
    </row>
    <row r="90" spans="2:9" x14ac:dyDescent="0.25">
      <c r="B90" s="12">
        <f>Ventas!F90</f>
        <v>188</v>
      </c>
      <c r="C90" s="10">
        <f>VLOOKUP(Ventas!$D90,Productos!$A$1:$D$16,4,FALSE)*Ventas!F90</f>
        <v>1692</v>
      </c>
      <c r="D90" s="10">
        <f>VLOOKUP(Ventas!$D90,Productos!$A$1:$D$16,3,FALSE)*Ventas!F90</f>
        <v>1128</v>
      </c>
      <c r="E90" s="10">
        <f t="shared" si="1"/>
        <v>564</v>
      </c>
      <c r="F90" s="9">
        <f>YEAR(Ventas!G90)</f>
        <v>2016</v>
      </c>
      <c r="G90" s="9">
        <f>MONTH(Ventas!G90)</f>
        <v>6</v>
      </c>
      <c r="H90" s="9" t="str">
        <f>VLOOKUP(Ventas!C90,Países!$A$2:$B$186,2,FALSE)</f>
        <v>Sub-Saharan Africa</v>
      </c>
      <c r="I90" s="9" t="str">
        <f>Ventas!E90</f>
        <v>Online</v>
      </c>
    </row>
    <row r="91" spans="2:9" x14ac:dyDescent="0.25">
      <c r="B91" s="12">
        <f>Ventas!F91</f>
        <v>151</v>
      </c>
      <c r="C91" s="10">
        <f>VLOOKUP(Ventas!$D91,Productos!$A$1:$D$16,4,FALSE)*Ventas!F91</f>
        <v>602.49</v>
      </c>
      <c r="D91" s="10">
        <f>VLOOKUP(Ventas!$D91,Productos!$A$1:$D$16,3,FALSE)*Ventas!F91</f>
        <v>302</v>
      </c>
      <c r="E91" s="10">
        <f t="shared" si="1"/>
        <v>300.49</v>
      </c>
      <c r="F91" s="9">
        <f>YEAR(Ventas!G91)</f>
        <v>2016</v>
      </c>
      <c r="G91" s="9">
        <f>MONTH(Ventas!G91)</f>
        <v>8</v>
      </c>
      <c r="H91" s="9" t="str">
        <f>VLOOKUP(Ventas!C91,Países!$A$2:$B$186,2,FALSE)</f>
        <v>Asia</v>
      </c>
      <c r="I91" s="9" t="str">
        <f>Ventas!E91</f>
        <v>Retail</v>
      </c>
    </row>
    <row r="92" spans="2:9" x14ac:dyDescent="0.25">
      <c r="B92" s="12">
        <f>Ventas!F92</f>
        <v>89</v>
      </c>
      <c r="C92" s="10">
        <f>VLOOKUP(Ventas!$D92,Productos!$A$1:$D$16,4,FALSE)*Ventas!F92</f>
        <v>534</v>
      </c>
      <c r="D92" s="10">
        <f>VLOOKUP(Ventas!$D92,Productos!$A$1:$D$16,3,FALSE)*Ventas!F92</f>
        <v>267</v>
      </c>
      <c r="E92" s="10">
        <f t="shared" si="1"/>
        <v>267</v>
      </c>
      <c r="F92" s="9">
        <f>YEAR(Ventas!G92)</f>
        <v>2016</v>
      </c>
      <c r="G92" s="9">
        <f>MONTH(Ventas!G92)</f>
        <v>7</v>
      </c>
      <c r="H92" s="9" t="str">
        <f>VLOOKUP(Ventas!C92,Países!$A$2:$B$186,2,FALSE)</f>
        <v>Europe</v>
      </c>
      <c r="I92" s="9" t="str">
        <f>Ventas!E92</f>
        <v>Online</v>
      </c>
    </row>
    <row r="93" spans="2:9" x14ac:dyDescent="0.25">
      <c r="B93" s="12">
        <f>Ventas!F93</f>
        <v>168</v>
      </c>
      <c r="C93" s="10">
        <f>VLOOKUP(Ventas!$D93,Productos!$A$1:$D$16,4,FALSE)*Ventas!F93</f>
        <v>2436</v>
      </c>
      <c r="D93" s="10">
        <f>VLOOKUP(Ventas!$D93,Productos!$A$1:$D$16,3,FALSE)*Ventas!F93</f>
        <v>1344</v>
      </c>
      <c r="E93" s="10">
        <f t="shared" si="1"/>
        <v>1092</v>
      </c>
      <c r="F93" s="9">
        <f>YEAR(Ventas!G93)</f>
        <v>2016</v>
      </c>
      <c r="G93" s="9">
        <f>MONTH(Ventas!G93)</f>
        <v>6</v>
      </c>
      <c r="H93" s="9" t="str">
        <f>VLOOKUP(Ventas!C93,Países!$A$2:$B$186,2,FALSE)</f>
        <v>North America</v>
      </c>
      <c r="I93" s="9" t="str">
        <f>Ventas!E93</f>
        <v>Retail</v>
      </c>
    </row>
    <row r="94" spans="2:9" x14ac:dyDescent="0.25">
      <c r="B94" s="12">
        <f>Ventas!F94</f>
        <v>84</v>
      </c>
      <c r="C94" s="10">
        <f>VLOOKUP(Ventas!$D94,Productos!$A$1:$D$16,4,FALSE)*Ventas!F94</f>
        <v>587.16</v>
      </c>
      <c r="D94" s="10">
        <f>VLOOKUP(Ventas!$D94,Productos!$A$1:$D$16,3,FALSE)*Ventas!F94</f>
        <v>294</v>
      </c>
      <c r="E94" s="10">
        <f t="shared" si="1"/>
        <v>293.15999999999997</v>
      </c>
      <c r="F94" s="9">
        <f>YEAR(Ventas!G94)</f>
        <v>2016</v>
      </c>
      <c r="G94" s="9">
        <f>MONTH(Ventas!G94)</f>
        <v>8</v>
      </c>
      <c r="H94" s="9" t="str">
        <f>VLOOKUP(Ventas!C94,Países!$A$2:$B$186,2,FALSE)</f>
        <v>Sub-Saharan Africa</v>
      </c>
      <c r="I94" s="9" t="str">
        <f>Ventas!E94</f>
        <v>Direct</v>
      </c>
    </row>
    <row r="95" spans="2:9" x14ac:dyDescent="0.25">
      <c r="B95" s="12">
        <f>Ventas!F95</f>
        <v>16</v>
      </c>
      <c r="C95" s="10">
        <f>VLOOKUP(Ventas!$D95,Productos!$A$1:$D$16,4,FALSE)*Ventas!F95</f>
        <v>63.84</v>
      </c>
      <c r="D95" s="10">
        <f>VLOOKUP(Ventas!$D95,Productos!$A$1:$D$16,3,FALSE)*Ventas!F95</f>
        <v>32</v>
      </c>
      <c r="E95" s="10">
        <f t="shared" si="1"/>
        <v>31.840000000000003</v>
      </c>
      <c r="F95" s="9">
        <f>YEAR(Ventas!G95)</f>
        <v>2016</v>
      </c>
      <c r="G95" s="9">
        <f>MONTH(Ventas!G95)</f>
        <v>6</v>
      </c>
      <c r="H95" s="9" t="str">
        <f>VLOOKUP(Ventas!C95,Países!$A$2:$B$186,2,FALSE)</f>
        <v>Australia and Oceania</v>
      </c>
      <c r="I95" s="9" t="str">
        <f>Ventas!E95</f>
        <v>Direct</v>
      </c>
    </row>
    <row r="96" spans="2:9" x14ac:dyDescent="0.25">
      <c r="B96" s="12">
        <f>Ventas!F96</f>
        <v>80</v>
      </c>
      <c r="C96" s="10">
        <f>VLOOKUP(Ventas!$D96,Productos!$A$1:$D$16,4,FALSE)*Ventas!F96</f>
        <v>319.20000000000005</v>
      </c>
      <c r="D96" s="10">
        <f>VLOOKUP(Ventas!$D96,Productos!$A$1:$D$16,3,FALSE)*Ventas!F96</f>
        <v>160</v>
      </c>
      <c r="E96" s="10">
        <f t="shared" si="1"/>
        <v>159.20000000000005</v>
      </c>
      <c r="F96" s="9">
        <f>YEAR(Ventas!G96)</f>
        <v>2016</v>
      </c>
      <c r="G96" s="9">
        <f>MONTH(Ventas!G96)</f>
        <v>6</v>
      </c>
      <c r="H96" s="9" t="str">
        <f>VLOOKUP(Ventas!C96,Países!$A$2:$B$186,2,FALSE)</f>
        <v>Sub-Saharan Africa</v>
      </c>
      <c r="I96" s="9" t="str">
        <f>Ventas!E96</f>
        <v>Retail</v>
      </c>
    </row>
    <row r="97" spans="2:9" x14ac:dyDescent="0.25">
      <c r="B97" s="12">
        <f>Ventas!F97</f>
        <v>50</v>
      </c>
      <c r="C97" s="10">
        <f>VLOOKUP(Ventas!$D97,Productos!$A$1:$D$16,4,FALSE)*Ventas!F97</f>
        <v>300</v>
      </c>
      <c r="D97" s="10">
        <f>VLOOKUP(Ventas!$D97,Productos!$A$1:$D$16,3,FALSE)*Ventas!F97</f>
        <v>150</v>
      </c>
      <c r="E97" s="10">
        <f t="shared" si="1"/>
        <v>150</v>
      </c>
      <c r="F97" s="9">
        <f>YEAR(Ventas!G97)</f>
        <v>2016</v>
      </c>
      <c r="G97" s="9">
        <f>MONTH(Ventas!G97)</f>
        <v>7</v>
      </c>
      <c r="H97" s="9" t="str">
        <f>VLOOKUP(Ventas!C97,Países!$A$2:$B$186,2,FALSE)</f>
        <v>Europe</v>
      </c>
      <c r="I97" s="9" t="str">
        <f>Ventas!E97</f>
        <v>Online</v>
      </c>
    </row>
    <row r="98" spans="2:9" x14ac:dyDescent="0.25">
      <c r="B98" s="12">
        <f>Ventas!F98</f>
        <v>41</v>
      </c>
      <c r="C98" s="10">
        <f>VLOOKUP(Ventas!$D98,Productos!$A$1:$D$16,4,FALSE)*Ventas!F98</f>
        <v>409.59000000000003</v>
      </c>
      <c r="D98" s="10">
        <f>VLOOKUP(Ventas!$D98,Productos!$A$1:$D$16,3,FALSE)*Ventas!F98</f>
        <v>205</v>
      </c>
      <c r="E98" s="10">
        <f t="shared" si="1"/>
        <v>204.59000000000003</v>
      </c>
      <c r="F98" s="9">
        <f>YEAR(Ventas!G98)</f>
        <v>2016</v>
      </c>
      <c r="G98" s="9">
        <f>MONTH(Ventas!G98)</f>
        <v>6</v>
      </c>
      <c r="H98" s="9" t="str">
        <f>VLOOKUP(Ventas!C98,Países!$A$2:$B$186,2,FALSE)</f>
        <v>Australia and Oceania</v>
      </c>
      <c r="I98" s="9" t="str">
        <f>Ventas!E98</f>
        <v>Online</v>
      </c>
    </row>
    <row r="99" spans="2:9" x14ac:dyDescent="0.25">
      <c r="B99" s="12">
        <f>Ventas!F99</f>
        <v>19</v>
      </c>
      <c r="C99" s="10">
        <f>VLOOKUP(Ventas!$D99,Productos!$A$1:$D$16,4,FALSE)*Ventas!F99</f>
        <v>38</v>
      </c>
      <c r="D99" s="10">
        <f>VLOOKUP(Ventas!$D99,Productos!$A$1:$D$16,3,FALSE)*Ventas!F99</f>
        <v>19</v>
      </c>
      <c r="E99" s="10">
        <f t="shared" si="1"/>
        <v>19</v>
      </c>
      <c r="F99" s="9">
        <f>YEAR(Ventas!G99)</f>
        <v>2016</v>
      </c>
      <c r="G99" s="9">
        <f>MONTH(Ventas!G99)</f>
        <v>7</v>
      </c>
      <c r="H99" s="9" t="str">
        <f>VLOOKUP(Ventas!C99,Países!$A$2:$B$186,2,FALSE)</f>
        <v>Sub-Saharan Africa</v>
      </c>
      <c r="I99" s="9" t="str">
        <f>Ventas!E99</f>
        <v>Retail</v>
      </c>
    </row>
    <row r="100" spans="2:9" x14ac:dyDescent="0.25">
      <c r="B100" s="12">
        <f>Ventas!F100</f>
        <v>37</v>
      </c>
      <c r="C100" s="10">
        <f>VLOOKUP(Ventas!$D100,Productos!$A$1:$D$16,4,FALSE)*Ventas!F100</f>
        <v>258.63</v>
      </c>
      <c r="D100" s="10">
        <f>VLOOKUP(Ventas!$D100,Productos!$A$1:$D$16,3,FALSE)*Ventas!F100</f>
        <v>129.5</v>
      </c>
      <c r="E100" s="10">
        <f t="shared" si="1"/>
        <v>129.13</v>
      </c>
      <c r="F100" s="9">
        <f>YEAR(Ventas!G100)</f>
        <v>2016</v>
      </c>
      <c r="G100" s="9">
        <f>MONTH(Ventas!G100)</f>
        <v>6</v>
      </c>
      <c r="H100" s="9" t="str">
        <f>VLOOKUP(Ventas!C100,Países!$A$2:$B$186,2,FALSE)</f>
        <v>Middle East and North Africa</v>
      </c>
      <c r="I100" s="9" t="str">
        <f>Ventas!E100</f>
        <v>Online</v>
      </c>
    </row>
    <row r="101" spans="2:9" x14ac:dyDescent="0.25">
      <c r="B101" s="12">
        <f>Ventas!F101</f>
        <v>184</v>
      </c>
      <c r="C101" s="10">
        <f>VLOOKUP(Ventas!$D101,Productos!$A$1:$D$16,4,FALSE)*Ventas!F101</f>
        <v>1286.1600000000001</v>
      </c>
      <c r="D101" s="10">
        <f>VLOOKUP(Ventas!$D101,Productos!$A$1:$D$16,3,FALSE)*Ventas!F101</f>
        <v>644</v>
      </c>
      <c r="E101" s="10">
        <f t="shared" si="1"/>
        <v>642.16000000000008</v>
      </c>
      <c r="F101" s="9">
        <f>YEAR(Ventas!G101)</f>
        <v>2016</v>
      </c>
      <c r="G101" s="9">
        <f>MONTH(Ventas!G101)</f>
        <v>7</v>
      </c>
      <c r="H101" s="9" t="str">
        <f>VLOOKUP(Ventas!C101,Países!$A$2:$B$186,2,FALSE)</f>
        <v>Sub-Saharan Africa</v>
      </c>
      <c r="I101" s="9" t="str">
        <f>Ventas!E101</f>
        <v>Retail</v>
      </c>
    </row>
    <row r="102" spans="2:9" x14ac:dyDescent="0.25">
      <c r="B102" s="12">
        <f>Ventas!F102</f>
        <v>179</v>
      </c>
      <c r="C102" s="10">
        <f>VLOOKUP(Ventas!$D102,Productos!$A$1:$D$16,4,FALSE)*Ventas!F102</f>
        <v>537</v>
      </c>
      <c r="D102" s="10">
        <f>VLOOKUP(Ventas!$D102,Productos!$A$1:$D$16,3,FALSE)*Ventas!F102</f>
        <v>268.5</v>
      </c>
      <c r="E102" s="10">
        <f t="shared" si="1"/>
        <v>268.5</v>
      </c>
      <c r="F102" s="9">
        <f>YEAR(Ventas!G102)</f>
        <v>2016</v>
      </c>
      <c r="G102" s="9">
        <f>MONTH(Ventas!G102)</f>
        <v>8</v>
      </c>
      <c r="H102" s="9" t="str">
        <f>VLOOKUP(Ventas!C102,Países!$A$2:$B$186,2,FALSE)</f>
        <v>Australia and Oceania</v>
      </c>
      <c r="I102" s="9" t="str">
        <f>Ventas!E102</f>
        <v>Retail</v>
      </c>
    </row>
    <row r="103" spans="2:9" x14ac:dyDescent="0.25">
      <c r="B103" s="12">
        <f>Ventas!F103</f>
        <v>190</v>
      </c>
      <c r="C103" s="10">
        <f>VLOOKUP(Ventas!$D103,Productos!$A$1:$D$16,4,FALSE)*Ventas!F103</f>
        <v>380</v>
      </c>
      <c r="D103" s="10">
        <f>VLOOKUP(Ventas!$D103,Productos!$A$1:$D$16,3,FALSE)*Ventas!F103</f>
        <v>190</v>
      </c>
      <c r="E103" s="10">
        <f t="shared" si="1"/>
        <v>190</v>
      </c>
      <c r="F103" s="9">
        <f>YEAR(Ventas!G103)</f>
        <v>2016</v>
      </c>
      <c r="G103" s="9">
        <f>MONTH(Ventas!G103)</f>
        <v>7</v>
      </c>
      <c r="H103" s="9" t="str">
        <f>VLOOKUP(Ventas!C103,Países!$A$2:$B$186,2,FALSE)</f>
        <v>Europe</v>
      </c>
      <c r="I103" s="9" t="str">
        <f>Ventas!E103</f>
        <v>Online</v>
      </c>
    </row>
    <row r="104" spans="2:9" x14ac:dyDescent="0.25">
      <c r="B104" s="12">
        <f>Ventas!F104</f>
        <v>47</v>
      </c>
      <c r="C104" s="10">
        <f>VLOOKUP(Ventas!$D104,Productos!$A$1:$D$16,4,FALSE)*Ventas!F104</f>
        <v>423</v>
      </c>
      <c r="D104" s="10">
        <f>VLOOKUP(Ventas!$D104,Productos!$A$1:$D$16,3,FALSE)*Ventas!F104</f>
        <v>282</v>
      </c>
      <c r="E104" s="10">
        <f t="shared" si="1"/>
        <v>141</v>
      </c>
      <c r="F104" s="9">
        <f>YEAR(Ventas!G104)</f>
        <v>2016</v>
      </c>
      <c r="G104" s="9">
        <f>MONTH(Ventas!G104)</f>
        <v>7</v>
      </c>
      <c r="H104" s="9" t="str">
        <f>VLOOKUP(Ventas!C104,Países!$A$2:$B$186,2,FALSE)</f>
        <v>Middle East and North Africa</v>
      </c>
      <c r="I104" s="9" t="str">
        <f>Ventas!E104</f>
        <v>Retail</v>
      </c>
    </row>
    <row r="105" spans="2:9" x14ac:dyDescent="0.25">
      <c r="B105" s="12">
        <f>Ventas!F105</f>
        <v>165</v>
      </c>
      <c r="C105" s="10">
        <f>VLOOKUP(Ventas!$D105,Productos!$A$1:$D$16,4,FALSE)*Ventas!F105</f>
        <v>742.5</v>
      </c>
      <c r="D105" s="10">
        <f>VLOOKUP(Ventas!$D105,Productos!$A$1:$D$16,3,FALSE)*Ventas!F105</f>
        <v>412.5</v>
      </c>
      <c r="E105" s="10">
        <f t="shared" si="1"/>
        <v>330</v>
      </c>
      <c r="F105" s="9">
        <f>YEAR(Ventas!G105)</f>
        <v>2016</v>
      </c>
      <c r="G105" s="9">
        <f>MONTH(Ventas!G105)</f>
        <v>7</v>
      </c>
      <c r="H105" s="9" t="str">
        <f>VLOOKUP(Ventas!C105,Países!$A$2:$B$186,2,FALSE)</f>
        <v>Central America and the Caribbean</v>
      </c>
      <c r="I105" s="9" t="str">
        <f>Ventas!E105</f>
        <v>Retail</v>
      </c>
    </row>
    <row r="106" spans="2:9" x14ac:dyDescent="0.25">
      <c r="B106" s="12">
        <f>Ventas!F106</f>
        <v>178</v>
      </c>
      <c r="C106" s="10">
        <f>VLOOKUP(Ventas!$D106,Productos!$A$1:$D$16,4,FALSE)*Ventas!F106</f>
        <v>356</v>
      </c>
      <c r="D106" s="10">
        <f>VLOOKUP(Ventas!$D106,Productos!$A$1:$D$16,3,FALSE)*Ventas!F106</f>
        <v>178</v>
      </c>
      <c r="E106" s="10">
        <f t="shared" si="1"/>
        <v>178</v>
      </c>
      <c r="F106" s="9">
        <f>YEAR(Ventas!G106)</f>
        <v>2016</v>
      </c>
      <c r="G106" s="9">
        <f>MONTH(Ventas!G106)</f>
        <v>6</v>
      </c>
      <c r="H106" s="9" t="str">
        <f>VLOOKUP(Ventas!C106,Países!$A$2:$B$186,2,FALSE)</f>
        <v>Europe</v>
      </c>
      <c r="I106" s="9" t="str">
        <f>Ventas!E106</f>
        <v>Retail</v>
      </c>
    </row>
    <row r="107" spans="2:9" x14ac:dyDescent="0.25">
      <c r="B107" s="12">
        <f>Ventas!F107</f>
        <v>10</v>
      </c>
      <c r="C107" s="10">
        <f>VLOOKUP(Ventas!$D107,Productos!$A$1:$D$16,4,FALSE)*Ventas!F107</f>
        <v>39.900000000000006</v>
      </c>
      <c r="D107" s="10">
        <f>VLOOKUP(Ventas!$D107,Productos!$A$1:$D$16,3,FALSE)*Ventas!F107</f>
        <v>20</v>
      </c>
      <c r="E107" s="10">
        <f t="shared" si="1"/>
        <v>19.900000000000006</v>
      </c>
      <c r="F107" s="9">
        <f>YEAR(Ventas!G107)</f>
        <v>2016</v>
      </c>
      <c r="G107" s="9">
        <f>MONTH(Ventas!G107)</f>
        <v>6</v>
      </c>
      <c r="H107" s="9" t="str">
        <f>VLOOKUP(Ventas!C107,Países!$A$2:$B$186,2,FALSE)</f>
        <v>Middle East and North Africa</v>
      </c>
      <c r="I107" s="9" t="str">
        <f>Ventas!E107</f>
        <v>Online</v>
      </c>
    </row>
    <row r="108" spans="2:9" x14ac:dyDescent="0.25">
      <c r="B108" s="12">
        <f>Ventas!F108</f>
        <v>150</v>
      </c>
      <c r="C108" s="10">
        <f>VLOOKUP(Ventas!$D108,Productos!$A$1:$D$16,4,FALSE)*Ventas!F108</f>
        <v>675</v>
      </c>
      <c r="D108" s="10">
        <f>VLOOKUP(Ventas!$D108,Productos!$A$1:$D$16,3,FALSE)*Ventas!F108</f>
        <v>375</v>
      </c>
      <c r="E108" s="10">
        <f t="shared" si="1"/>
        <v>300</v>
      </c>
      <c r="F108" s="9">
        <f>YEAR(Ventas!G108)</f>
        <v>2016</v>
      </c>
      <c r="G108" s="9">
        <f>MONTH(Ventas!G108)</f>
        <v>8</v>
      </c>
      <c r="H108" s="9" t="str">
        <f>VLOOKUP(Ventas!C108,Países!$A$2:$B$186,2,FALSE)</f>
        <v>Sub-Saharan Africa</v>
      </c>
      <c r="I108" s="9" t="str">
        <f>Ventas!E108</f>
        <v>Online</v>
      </c>
    </row>
    <row r="109" spans="2:9" x14ac:dyDescent="0.25">
      <c r="B109" s="12">
        <f>Ventas!F109</f>
        <v>77</v>
      </c>
      <c r="C109" s="10">
        <f>VLOOKUP(Ventas!$D109,Productos!$A$1:$D$16,4,FALSE)*Ventas!F109</f>
        <v>500.5</v>
      </c>
      <c r="D109" s="10">
        <f>VLOOKUP(Ventas!$D109,Productos!$A$1:$D$16,3,FALSE)*Ventas!F109</f>
        <v>269.5</v>
      </c>
      <c r="E109" s="10">
        <f t="shared" si="1"/>
        <v>231</v>
      </c>
      <c r="F109" s="9">
        <f>YEAR(Ventas!G109)</f>
        <v>2016</v>
      </c>
      <c r="G109" s="9">
        <f>MONTH(Ventas!G109)</f>
        <v>7</v>
      </c>
      <c r="H109" s="9" t="str">
        <f>VLOOKUP(Ventas!C109,Países!$A$2:$B$186,2,FALSE)</f>
        <v>Europe</v>
      </c>
      <c r="I109" s="9" t="str">
        <f>Ventas!E109</f>
        <v>Online</v>
      </c>
    </row>
    <row r="110" spans="2:9" x14ac:dyDescent="0.25">
      <c r="B110" s="12">
        <f>Ventas!F110</f>
        <v>63</v>
      </c>
      <c r="C110" s="10">
        <f>VLOOKUP(Ventas!$D110,Productos!$A$1:$D$16,4,FALSE)*Ventas!F110</f>
        <v>189</v>
      </c>
      <c r="D110" s="10">
        <f>VLOOKUP(Ventas!$D110,Productos!$A$1:$D$16,3,FALSE)*Ventas!F110</f>
        <v>94.5</v>
      </c>
      <c r="E110" s="10">
        <f t="shared" si="1"/>
        <v>94.5</v>
      </c>
      <c r="F110" s="9">
        <f>YEAR(Ventas!G110)</f>
        <v>2016</v>
      </c>
      <c r="G110" s="9">
        <f>MONTH(Ventas!G110)</f>
        <v>6</v>
      </c>
      <c r="H110" s="9" t="str">
        <f>VLOOKUP(Ventas!C110,Países!$A$2:$B$186,2,FALSE)</f>
        <v>Asia</v>
      </c>
      <c r="I110" s="9" t="str">
        <f>Ventas!E110</f>
        <v>Online</v>
      </c>
    </row>
    <row r="111" spans="2:9" x14ac:dyDescent="0.25">
      <c r="B111" s="12">
        <f>Ventas!F111</f>
        <v>204</v>
      </c>
      <c r="C111" s="10">
        <f>VLOOKUP(Ventas!$D111,Productos!$A$1:$D$16,4,FALSE)*Ventas!F111</f>
        <v>1425.96</v>
      </c>
      <c r="D111" s="10">
        <f>VLOOKUP(Ventas!$D111,Productos!$A$1:$D$16,3,FALSE)*Ventas!F111</f>
        <v>714</v>
      </c>
      <c r="E111" s="10">
        <f t="shared" si="1"/>
        <v>711.96</v>
      </c>
      <c r="F111" s="9">
        <f>YEAR(Ventas!G111)</f>
        <v>2016</v>
      </c>
      <c r="G111" s="9">
        <f>MONTH(Ventas!G111)</f>
        <v>8</v>
      </c>
      <c r="H111" s="9" t="str">
        <f>VLOOKUP(Ventas!C111,Países!$A$2:$B$186,2,FALSE)</f>
        <v>Central America and the Caribbean</v>
      </c>
      <c r="I111" s="9" t="str">
        <f>Ventas!E111</f>
        <v>Retail</v>
      </c>
    </row>
    <row r="112" spans="2:9" x14ac:dyDescent="0.25">
      <c r="B112" s="12">
        <f>Ventas!F112</f>
        <v>22</v>
      </c>
      <c r="C112" s="10">
        <f>VLOOKUP(Ventas!$D112,Productos!$A$1:$D$16,4,FALSE)*Ventas!F112</f>
        <v>143</v>
      </c>
      <c r="D112" s="10">
        <f>VLOOKUP(Ventas!$D112,Productos!$A$1:$D$16,3,FALSE)*Ventas!F112</f>
        <v>77</v>
      </c>
      <c r="E112" s="10">
        <f t="shared" si="1"/>
        <v>66</v>
      </c>
      <c r="F112" s="9">
        <f>YEAR(Ventas!G112)</f>
        <v>2016</v>
      </c>
      <c r="G112" s="9">
        <f>MONTH(Ventas!G112)</f>
        <v>8</v>
      </c>
      <c r="H112" s="9" t="str">
        <f>VLOOKUP(Ventas!C112,Países!$A$2:$B$186,2,FALSE)</f>
        <v>Sub-Saharan Africa</v>
      </c>
      <c r="I112" s="9" t="str">
        <f>Ventas!E112</f>
        <v>Retail</v>
      </c>
    </row>
    <row r="113" spans="2:9" x14ac:dyDescent="0.25">
      <c r="B113" s="12">
        <f>Ventas!F113</f>
        <v>95</v>
      </c>
      <c r="C113" s="10">
        <f>VLOOKUP(Ventas!$D113,Productos!$A$1:$D$16,4,FALSE)*Ventas!F113</f>
        <v>617.5</v>
      </c>
      <c r="D113" s="10">
        <f>VLOOKUP(Ventas!$D113,Productos!$A$1:$D$16,3,FALSE)*Ventas!F113</f>
        <v>332.5</v>
      </c>
      <c r="E113" s="10">
        <f t="shared" si="1"/>
        <v>285</v>
      </c>
      <c r="F113" s="9">
        <f>YEAR(Ventas!G113)</f>
        <v>2016</v>
      </c>
      <c r="G113" s="9">
        <f>MONTH(Ventas!G113)</f>
        <v>7</v>
      </c>
      <c r="H113" s="9" t="str">
        <f>VLOOKUP(Ventas!C113,Países!$A$2:$B$186,2,FALSE)</f>
        <v>Asia</v>
      </c>
      <c r="I113" s="9" t="str">
        <f>Ventas!E113</f>
        <v>Online</v>
      </c>
    </row>
    <row r="114" spans="2:9" x14ac:dyDescent="0.25">
      <c r="B114" s="12">
        <f>Ventas!F114</f>
        <v>57</v>
      </c>
      <c r="C114" s="10">
        <f>VLOOKUP(Ventas!$D114,Productos!$A$1:$D$16,4,FALSE)*Ventas!F114</f>
        <v>227.43</v>
      </c>
      <c r="D114" s="10">
        <f>VLOOKUP(Ventas!$D114,Productos!$A$1:$D$16,3,FALSE)*Ventas!F114</f>
        <v>114</v>
      </c>
      <c r="E114" s="10">
        <f t="shared" si="1"/>
        <v>113.43</v>
      </c>
      <c r="F114" s="9">
        <f>YEAR(Ventas!G114)</f>
        <v>2016</v>
      </c>
      <c r="G114" s="9">
        <f>MONTH(Ventas!G114)</f>
        <v>8</v>
      </c>
      <c r="H114" s="9" t="str">
        <f>VLOOKUP(Ventas!C114,Países!$A$2:$B$186,2,FALSE)</f>
        <v>Sub-Saharan Africa</v>
      </c>
      <c r="I114" s="9" t="str">
        <f>Ventas!E114</f>
        <v>Retail</v>
      </c>
    </row>
    <row r="115" spans="2:9" x14ac:dyDescent="0.25">
      <c r="B115" s="12">
        <f>Ventas!F115</f>
        <v>5</v>
      </c>
      <c r="C115" s="10">
        <f>VLOOKUP(Ventas!$D115,Productos!$A$1:$D$16,4,FALSE)*Ventas!F115</f>
        <v>34.950000000000003</v>
      </c>
      <c r="D115" s="10">
        <f>VLOOKUP(Ventas!$D115,Productos!$A$1:$D$16,3,FALSE)*Ventas!F115</f>
        <v>17.5</v>
      </c>
      <c r="E115" s="10">
        <f t="shared" si="1"/>
        <v>17.450000000000003</v>
      </c>
      <c r="F115" s="9">
        <f>YEAR(Ventas!G115)</f>
        <v>2016</v>
      </c>
      <c r="G115" s="9">
        <f>MONTH(Ventas!G115)</f>
        <v>6</v>
      </c>
      <c r="H115" s="9" t="str">
        <f>VLOOKUP(Ventas!C115,Países!$A$2:$B$186,2,FALSE)</f>
        <v>Australia and Oceania</v>
      </c>
      <c r="I115" s="9" t="str">
        <f>Ventas!E115</f>
        <v>Retail</v>
      </c>
    </row>
    <row r="116" spans="2:9" x14ac:dyDescent="0.25">
      <c r="B116" s="12">
        <f>Ventas!F116</f>
        <v>85</v>
      </c>
      <c r="C116" s="10">
        <f>VLOOKUP(Ventas!$D116,Productos!$A$1:$D$16,4,FALSE)*Ventas!F116</f>
        <v>594.15</v>
      </c>
      <c r="D116" s="10">
        <f>VLOOKUP(Ventas!$D116,Productos!$A$1:$D$16,3,FALSE)*Ventas!F116</f>
        <v>297.5</v>
      </c>
      <c r="E116" s="10">
        <f t="shared" si="1"/>
        <v>296.64999999999998</v>
      </c>
      <c r="F116" s="9">
        <f>YEAR(Ventas!G116)</f>
        <v>2016</v>
      </c>
      <c r="G116" s="9">
        <f>MONTH(Ventas!G116)</f>
        <v>7</v>
      </c>
      <c r="H116" s="9" t="str">
        <f>VLOOKUP(Ventas!C116,Países!$A$2:$B$186,2,FALSE)</f>
        <v>Sub-Saharan Africa</v>
      </c>
      <c r="I116" s="9" t="str">
        <f>Ventas!E116</f>
        <v>Retail</v>
      </c>
    </row>
    <row r="117" spans="2:9" x14ac:dyDescent="0.25">
      <c r="B117" s="12">
        <f>Ventas!F117</f>
        <v>43</v>
      </c>
      <c r="C117" s="10">
        <f>VLOOKUP(Ventas!$D117,Productos!$A$1:$D$16,4,FALSE)*Ventas!F117</f>
        <v>279.5</v>
      </c>
      <c r="D117" s="10">
        <f>VLOOKUP(Ventas!$D117,Productos!$A$1:$D$16,3,FALSE)*Ventas!F117</f>
        <v>150.5</v>
      </c>
      <c r="E117" s="10">
        <f t="shared" si="1"/>
        <v>129</v>
      </c>
      <c r="F117" s="9">
        <f>YEAR(Ventas!G117)</f>
        <v>2016</v>
      </c>
      <c r="G117" s="9">
        <f>MONTH(Ventas!G117)</f>
        <v>6</v>
      </c>
      <c r="H117" s="9" t="str">
        <f>VLOOKUP(Ventas!C117,Países!$A$2:$B$186,2,FALSE)</f>
        <v>Sub-Saharan Africa</v>
      </c>
      <c r="I117" s="9" t="str">
        <f>Ventas!E117</f>
        <v>Retail</v>
      </c>
    </row>
    <row r="118" spans="2:9" x14ac:dyDescent="0.25">
      <c r="B118" s="12">
        <f>Ventas!F118</f>
        <v>157</v>
      </c>
      <c r="C118" s="10">
        <f>VLOOKUP(Ventas!$D118,Productos!$A$1:$D$16,4,FALSE)*Ventas!F118</f>
        <v>2276.5</v>
      </c>
      <c r="D118" s="10">
        <f>VLOOKUP(Ventas!$D118,Productos!$A$1:$D$16,3,FALSE)*Ventas!F118</f>
        <v>1256</v>
      </c>
      <c r="E118" s="10">
        <f t="shared" si="1"/>
        <v>1020.5</v>
      </c>
      <c r="F118" s="9">
        <f>YEAR(Ventas!G118)</f>
        <v>2016</v>
      </c>
      <c r="G118" s="9">
        <f>MONTH(Ventas!G118)</f>
        <v>6</v>
      </c>
      <c r="H118" s="9" t="str">
        <f>VLOOKUP(Ventas!C118,Países!$A$2:$B$186,2,FALSE)</f>
        <v>Europe</v>
      </c>
      <c r="I118" s="9" t="str">
        <f>Ventas!E118</f>
        <v>Retail</v>
      </c>
    </row>
    <row r="119" spans="2:9" x14ac:dyDescent="0.25">
      <c r="B119" s="12">
        <f>Ventas!F119</f>
        <v>65</v>
      </c>
      <c r="C119" s="10">
        <f>VLOOKUP(Ventas!$D119,Productos!$A$1:$D$16,4,FALSE)*Ventas!F119</f>
        <v>259.35000000000002</v>
      </c>
      <c r="D119" s="10">
        <f>VLOOKUP(Ventas!$D119,Productos!$A$1:$D$16,3,FALSE)*Ventas!F119</f>
        <v>130</v>
      </c>
      <c r="E119" s="10">
        <f t="shared" si="1"/>
        <v>129.35000000000002</v>
      </c>
      <c r="F119" s="9">
        <f>YEAR(Ventas!G119)</f>
        <v>2016</v>
      </c>
      <c r="G119" s="9">
        <f>MONTH(Ventas!G119)</f>
        <v>8</v>
      </c>
      <c r="H119" s="9" t="str">
        <f>VLOOKUP(Ventas!C119,Países!$A$2:$B$186,2,FALSE)</f>
        <v>Sub-Saharan Africa</v>
      </c>
      <c r="I119" s="9" t="str">
        <f>Ventas!E119</f>
        <v>Online</v>
      </c>
    </row>
    <row r="120" spans="2:9" x14ac:dyDescent="0.25">
      <c r="B120" s="12">
        <f>Ventas!F120</f>
        <v>95</v>
      </c>
      <c r="C120" s="10">
        <f>VLOOKUP(Ventas!$D120,Productos!$A$1:$D$16,4,FALSE)*Ventas!F120</f>
        <v>617.5</v>
      </c>
      <c r="D120" s="10">
        <f>VLOOKUP(Ventas!$D120,Productos!$A$1:$D$16,3,FALSE)*Ventas!F120</f>
        <v>332.5</v>
      </c>
      <c r="E120" s="10">
        <f t="shared" si="1"/>
        <v>285</v>
      </c>
      <c r="F120" s="9">
        <f>YEAR(Ventas!G120)</f>
        <v>2016</v>
      </c>
      <c r="G120" s="9">
        <f>MONTH(Ventas!G120)</f>
        <v>7</v>
      </c>
      <c r="H120" s="9" t="str">
        <f>VLOOKUP(Ventas!C120,Países!$A$2:$B$186,2,FALSE)</f>
        <v>Australia and Oceania</v>
      </c>
      <c r="I120" s="9" t="str">
        <f>Ventas!E120</f>
        <v>Online</v>
      </c>
    </row>
    <row r="121" spans="2:9" x14ac:dyDescent="0.25">
      <c r="B121" s="12">
        <f>Ventas!F121</f>
        <v>159</v>
      </c>
      <c r="C121" s="10">
        <f>VLOOKUP(Ventas!$D121,Productos!$A$1:$D$16,4,FALSE)*Ventas!F121</f>
        <v>1111.4100000000001</v>
      </c>
      <c r="D121" s="10">
        <f>VLOOKUP(Ventas!$D121,Productos!$A$1:$D$16,3,FALSE)*Ventas!F121</f>
        <v>556.5</v>
      </c>
      <c r="E121" s="10">
        <f t="shared" si="1"/>
        <v>554.91000000000008</v>
      </c>
      <c r="F121" s="9">
        <f>YEAR(Ventas!G121)</f>
        <v>2016</v>
      </c>
      <c r="G121" s="9">
        <f>MONTH(Ventas!G121)</f>
        <v>7</v>
      </c>
      <c r="H121" s="9" t="str">
        <f>VLOOKUP(Ventas!C121,Países!$A$2:$B$186,2,FALSE)</f>
        <v>Sub-Saharan Africa</v>
      </c>
      <c r="I121" s="9" t="str">
        <f>Ventas!E121</f>
        <v>Retail</v>
      </c>
    </row>
    <row r="122" spans="2:9" x14ac:dyDescent="0.25">
      <c r="B122" s="12">
        <f>Ventas!F122</f>
        <v>14</v>
      </c>
      <c r="C122" s="10">
        <f>VLOOKUP(Ventas!$D122,Productos!$A$1:$D$16,4,FALSE)*Ventas!F122</f>
        <v>84</v>
      </c>
      <c r="D122" s="10">
        <f>VLOOKUP(Ventas!$D122,Productos!$A$1:$D$16,3,FALSE)*Ventas!F122</f>
        <v>42</v>
      </c>
      <c r="E122" s="10">
        <f t="shared" si="1"/>
        <v>42</v>
      </c>
      <c r="F122" s="9">
        <f>YEAR(Ventas!G122)</f>
        <v>2016</v>
      </c>
      <c r="G122" s="9">
        <f>MONTH(Ventas!G122)</f>
        <v>6</v>
      </c>
      <c r="H122" s="9" t="str">
        <f>VLOOKUP(Ventas!C122,Países!$A$2:$B$186,2,FALSE)</f>
        <v>Middle East and North Africa</v>
      </c>
      <c r="I122" s="9" t="str">
        <f>Ventas!E122</f>
        <v>Online</v>
      </c>
    </row>
    <row r="123" spans="2:9" x14ac:dyDescent="0.25">
      <c r="B123" s="12">
        <f>Ventas!F123</f>
        <v>39</v>
      </c>
      <c r="C123" s="10">
        <f>VLOOKUP(Ventas!$D123,Productos!$A$1:$D$16,4,FALSE)*Ventas!F123</f>
        <v>272.61</v>
      </c>
      <c r="D123" s="10">
        <f>VLOOKUP(Ventas!$D123,Productos!$A$1:$D$16,3,FALSE)*Ventas!F123</f>
        <v>136.5</v>
      </c>
      <c r="E123" s="10">
        <f t="shared" si="1"/>
        <v>136.11000000000001</v>
      </c>
      <c r="F123" s="9">
        <f>YEAR(Ventas!G123)</f>
        <v>2016</v>
      </c>
      <c r="G123" s="9">
        <f>MONTH(Ventas!G123)</f>
        <v>7</v>
      </c>
      <c r="H123" s="9" t="str">
        <f>VLOOKUP(Ventas!C123,Países!$A$2:$B$186,2,FALSE)</f>
        <v>Sub-Saharan Africa</v>
      </c>
      <c r="I123" s="9" t="str">
        <f>Ventas!E123</f>
        <v>Online</v>
      </c>
    </row>
    <row r="124" spans="2:9" x14ac:dyDescent="0.25">
      <c r="B124" s="12">
        <f>Ventas!F124</f>
        <v>9</v>
      </c>
      <c r="C124" s="10">
        <f>VLOOKUP(Ventas!$D124,Productos!$A$1:$D$16,4,FALSE)*Ventas!F124</f>
        <v>35.910000000000004</v>
      </c>
      <c r="D124" s="10">
        <f>VLOOKUP(Ventas!$D124,Productos!$A$1:$D$16,3,FALSE)*Ventas!F124</f>
        <v>18</v>
      </c>
      <c r="E124" s="10">
        <f t="shared" si="1"/>
        <v>17.910000000000004</v>
      </c>
      <c r="F124" s="9">
        <f>YEAR(Ventas!G124)</f>
        <v>2016</v>
      </c>
      <c r="G124" s="9">
        <f>MONTH(Ventas!G124)</f>
        <v>7</v>
      </c>
      <c r="H124" s="9" t="str">
        <f>VLOOKUP(Ventas!C124,Países!$A$2:$B$186,2,FALSE)</f>
        <v>Europe</v>
      </c>
      <c r="I124" s="9" t="str">
        <f>Ventas!E124</f>
        <v>Retail</v>
      </c>
    </row>
    <row r="125" spans="2:9" x14ac:dyDescent="0.25">
      <c r="B125" s="12">
        <f>Ventas!F125</f>
        <v>50</v>
      </c>
      <c r="C125" s="10">
        <f>VLOOKUP(Ventas!$D125,Productos!$A$1:$D$16,4,FALSE)*Ventas!F125</f>
        <v>150</v>
      </c>
      <c r="D125" s="10">
        <f>VLOOKUP(Ventas!$D125,Productos!$A$1:$D$16,3,FALSE)*Ventas!F125</f>
        <v>75</v>
      </c>
      <c r="E125" s="10">
        <f t="shared" si="1"/>
        <v>75</v>
      </c>
      <c r="F125" s="9">
        <f>YEAR(Ventas!G125)</f>
        <v>2016</v>
      </c>
      <c r="G125" s="9">
        <f>MONTH(Ventas!G125)</f>
        <v>6</v>
      </c>
      <c r="H125" s="9" t="str">
        <f>VLOOKUP(Ventas!C125,Países!$A$2:$B$186,2,FALSE)</f>
        <v>Europe</v>
      </c>
      <c r="I125" s="9" t="str">
        <f>Ventas!E125</f>
        <v>Online</v>
      </c>
    </row>
    <row r="126" spans="2:9" x14ac:dyDescent="0.25">
      <c r="B126" s="12">
        <f>Ventas!F126</f>
        <v>107</v>
      </c>
      <c r="C126" s="10">
        <f>VLOOKUP(Ventas!$D126,Productos!$A$1:$D$16,4,FALSE)*Ventas!F126</f>
        <v>642</v>
      </c>
      <c r="D126" s="10">
        <f>VLOOKUP(Ventas!$D126,Productos!$A$1:$D$16,3,FALSE)*Ventas!F126</f>
        <v>321</v>
      </c>
      <c r="E126" s="10">
        <f t="shared" si="1"/>
        <v>321</v>
      </c>
      <c r="F126" s="9">
        <f>YEAR(Ventas!G126)</f>
        <v>2016</v>
      </c>
      <c r="G126" s="9">
        <f>MONTH(Ventas!G126)</f>
        <v>8</v>
      </c>
      <c r="H126" s="9" t="str">
        <f>VLOOKUP(Ventas!C126,Países!$A$2:$B$186,2,FALSE)</f>
        <v>Sub-Saharan Africa</v>
      </c>
      <c r="I126" s="9" t="str">
        <f>Ventas!E126</f>
        <v>Retail</v>
      </c>
    </row>
    <row r="127" spans="2:9" x14ac:dyDescent="0.25">
      <c r="B127" s="12">
        <f>Ventas!F127</f>
        <v>118</v>
      </c>
      <c r="C127" s="10">
        <f>VLOOKUP(Ventas!$D127,Productos!$A$1:$D$16,4,FALSE)*Ventas!F127</f>
        <v>1178.82</v>
      </c>
      <c r="D127" s="10">
        <f>VLOOKUP(Ventas!$D127,Productos!$A$1:$D$16,3,FALSE)*Ventas!F127</f>
        <v>590</v>
      </c>
      <c r="E127" s="10">
        <f t="shared" si="1"/>
        <v>588.81999999999994</v>
      </c>
      <c r="F127" s="9">
        <f>YEAR(Ventas!G127)</f>
        <v>2016</v>
      </c>
      <c r="G127" s="9">
        <f>MONTH(Ventas!G127)</f>
        <v>6</v>
      </c>
      <c r="H127" s="9" t="str">
        <f>VLOOKUP(Ventas!C127,Países!$A$2:$B$186,2,FALSE)</f>
        <v>Europe</v>
      </c>
      <c r="I127" s="9" t="str">
        <f>Ventas!E127</f>
        <v>Direct</v>
      </c>
    </row>
    <row r="128" spans="2:9" x14ac:dyDescent="0.25">
      <c r="B128" s="12">
        <f>Ventas!F128</f>
        <v>39</v>
      </c>
      <c r="C128" s="10">
        <f>VLOOKUP(Ventas!$D128,Productos!$A$1:$D$16,4,FALSE)*Ventas!F128</f>
        <v>234</v>
      </c>
      <c r="D128" s="10">
        <f>VLOOKUP(Ventas!$D128,Productos!$A$1:$D$16,3,FALSE)*Ventas!F128</f>
        <v>117</v>
      </c>
      <c r="E128" s="10">
        <f t="shared" si="1"/>
        <v>117</v>
      </c>
      <c r="F128" s="9">
        <f>YEAR(Ventas!G128)</f>
        <v>2016</v>
      </c>
      <c r="G128" s="9">
        <f>MONTH(Ventas!G128)</f>
        <v>8</v>
      </c>
      <c r="H128" s="9" t="str">
        <f>VLOOKUP(Ventas!C128,Países!$A$2:$B$186,2,FALSE)</f>
        <v>Europe</v>
      </c>
      <c r="I128" s="9" t="str">
        <f>Ventas!E128</f>
        <v>Online</v>
      </c>
    </row>
    <row r="129" spans="2:9" x14ac:dyDescent="0.25">
      <c r="B129" s="12">
        <f>Ventas!F129</f>
        <v>126</v>
      </c>
      <c r="C129" s="10">
        <f>VLOOKUP(Ventas!$D129,Productos!$A$1:$D$16,4,FALSE)*Ventas!F129</f>
        <v>252</v>
      </c>
      <c r="D129" s="10">
        <f>VLOOKUP(Ventas!$D129,Productos!$A$1:$D$16,3,FALSE)*Ventas!F129</f>
        <v>126</v>
      </c>
      <c r="E129" s="10">
        <f t="shared" si="1"/>
        <v>126</v>
      </c>
      <c r="F129" s="9">
        <f>YEAR(Ventas!G129)</f>
        <v>2016</v>
      </c>
      <c r="G129" s="9">
        <f>MONTH(Ventas!G129)</f>
        <v>8</v>
      </c>
      <c r="H129" s="9" t="str">
        <f>VLOOKUP(Ventas!C129,Países!$A$2:$B$186,2,FALSE)</f>
        <v>Europe</v>
      </c>
      <c r="I129" s="9" t="str">
        <f>Ventas!E129</f>
        <v>Online</v>
      </c>
    </row>
    <row r="130" spans="2:9" x14ac:dyDescent="0.25">
      <c r="B130" s="12">
        <f>Ventas!F130</f>
        <v>176</v>
      </c>
      <c r="C130" s="10">
        <f>VLOOKUP(Ventas!$D130,Productos!$A$1:$D$16,4,FALSE)*Ventas!F130</f>
        <v>528</v>
      </c>
      <c r="D130" s="10">
        <f>VLOOKUP(Ventas!$D130,Productos!$A$1:$D$16,3,FALSE)*Ventas!F130</f>
        <v>264</v>
      </c>
      <c r="E130" s="10">
        <f t="shared" si="1"/>
        <v>264</v>
      </c>
      <c r="F130" s="9">
        <f>YEAR(Ventas!G130)</f>
        <v>2016</v>
      </c>
      <c r="G130" s="9">
        <f>MONTH(Ventas!G130)</f>
        <v>6</v>
      </c>
      <c r="H130" s="9" t="str">
        <f>VLOOKUP(Ventas!C130,Países!$A$2:$B$186,2,FALSE)</f>
        <v>Middle East and North Africa</v>
      </c>
      <c r="I130" s="9" t="str">
        <f>Ventas!E130</f>
        <v>Retail</v>
      </c>
    </row>
    <row r="131" spans="2:9" x14ac:dyDescent="0.25">
      <c r="B131" s="12">
        <f>Ventas!F131</f>
        <v>111</v>
      </c>
      <c r="C131" s="10">
        <f>VLOOKUP(Ventas!$D131,Productos!$A$1:$D$16,4,FALSE)*Ventas!F131</f>
        <v>666</v>
      </c>
      <c r="D131" s="10">
        <f>VLOOKUP(Ventas!$D131,Productos!$A$1:$D$16,3,FALSE)*Ventas!F131</f>
        <v>333</v>
      </c>
      <c r="E131" s="10">
        <f t="shared" ref="E131:E194" si="2">C131-D131</f>
        <v>333</v>
      </c>
      <c r="F131" s="9">
        <f>YEAR(Ventas!G131)</f>
        <v>2016</v>
      </c>
      <c r="G131" s="9">
        <f>MONTH(Ventas!G131)</f>
        <v>8</v>
      </c>
      <c r="H131" s="9" t="str">
        <f>VLOOKUP(Ventas!C131,Países!$A$2:$B$186,2,FALSE)</f>
        <v>Sub-Saharan Africa</v>
      </c>
      <c r="I131" s="9" t="str">
        <f>Ventas!E131</f>
        <v>Direct</v>
      </c>
    </row>
    <row r="132" spans="2:9" x14ac:dyDescent="0.25">
      <c r="B132" s="12">
        <f>Ventas!F132</f>
        <v>71</v>
      </c>
      <c r="C132" s="10">
        <f>VLOOKUP(Ventas!$D132,Productos!$A$1:$D$16,4,FALSE)*Ventas!F132</f>
        <v>426</v>
      </c>
      <c r="D132" s="10">
        <f>VLOOKUP(Ventas!$D132,Productos!$A$1:$D$16,3,FALSE)*Ventas!F132</f>
        <v>213</v>
      </c>
      <c r="E132" s="10">
        <f t="shared" si="2"/>
        <v>213</v>
      </c>
      <c r="F132" s="9">
        <f>YEAR(Ventas!G132)</f>
        <v>2016</v>
      </c>
      <c r="G132" s="9">
        <f>MONTH(Ventas!G132)</f>
        <v>7</v>
      </c>
      <c r="H132" s="9" t="str">
        <f>VLOOKUP(Ventas!C132,Países!$A$2:$B$186,2,FALSE)</f>
        <v>Middle East and North Africa</v>
      </c>
      <c r="I132" s="9" t="str">
        <f>Ventas!E132</f>
        <v>Retail</v>
      </c>
    </row>
    <row r="133" spans="2:9" x14ac:dyDescent="0.25">
      <c r="B133" s="12">
        <f>Ventas!F133</f>
        <v>113</v>
      </c>
      <c r="C133" s="10">
        <f>VLOOKUP(Ventas!$D133,Productos!$A$1:$D$16,4,FALSE)*Ventas!F133</f>
        <v>1638.5</v>
      </c>
      <c r="D133" s="10">
        <f>VLOOKUP(Ventas!$D133,Productos!$A$1:$D$16,3,FALSE)*Ventas!F133</f>
        <v>904</v>
      </c>
      <c r="E133" s="10">
        <f t="shared" si="2"/>
        <v>734.5</v>
      </c>
      <c r="F133" s="9">
        <f>YEAR(Ventas!G133)</f>
        <v>2016</v>
      </c>
      <c r="G133" s="9">
        <f>MONTH(Ventas!G133)</f>
        <v>8</v>
      </c>
      <c r="H133" s="9" t="str">
        <f>VLOOKUP(Ventas!C133,Países!$A$2:$B$186,2,FALSE)</f>
        <v>Asia</v>
      </c>
      <c r="I133" s="9" t="str">
        <f>Ventas!E133</f>
        <v>Direct</v>
      </c>
    </row>
    <row r="134" spans="2:9" x14ac:dyDescent="0.25">
      <c r="B134" s="12">
        <f>Ventas!F134</f>
        <v>105</v>
      </c>
      <c r="C134" s="10">
        <f>VLOOKUP(Ventas!$D134,Productos!$A$1:$D$16,4,FALSE)*Ventas!F134</f>
        <v>1522.5</v>
      </c>
      <c r="D134" s="10">
        <f>VLOOKUP(Ventas!$D134,Productos!$A$1:$D$16,3,FALSE)*Ventas!F134</f>
        <v>840</v>
      </c>
      <c r="E134" s="10">
        <f t="shared" si="2"/>
        <v>682.5</v>
      </c>
      <c r="F134" s="9">
        <f>YEAR(Ventas!G134)</f>
        <v>2016</v>
      </c>
      <c r="G134" s="9">
        <f>MONTH(Ventas!G134)</f>
        <v>7</v>
      </c>
      <c r="H134" s="9" t="str">
        <f>VLOOKUP(Ventas!C134,Países!$A$2:$B$186,2,FALSE)</f>
        <v>Sub-Saharan Africa</v>
      </c>
      <c r="I134" s="9" t="str">
        <f>Ventas!E134</f>
        <v>Retail</v>
      </c>
    </row>
    <row r="135" spans="2:9" x14ac:dyDescent="0.25">
      <c r="B135" s="12">
        <f>Ventas!F135</f>
        <v>169</v>
      </c>
      <c r="C135" s="10">
        <f>VLOOKUP(Ventas!$D135,Productos!$A$1:$D$16,4,FALSE)*Ventas!F135</f>
        <v>1098.5</v>
      </c>
      <c r="D135" s="10">
        <f>VLOOKUP(Ventas!$D135,Productos!$A$1:$D$16,3,FALSE)*Ventas!F135</f>
        <v>591.5</v>
      </c>
      <c r="E135" s="10">
        <f t="shared" si="2"/>
        <v>507</v>
      </c>
      <c r="F135" s="9">
        <f>YEAR(Ventas!G135)</f>
        <v>2016</v>
      </c>
      <c r="G135" s="9">
        <f>MONTH(Ventas!G135)</f>
        <v>7</v>
      </c>
      <c r="H135" s="9" t="str">
        <f>VLOOKUP(Ventas!C135,Países!$A$2:$B$186,2,FALSE)</f>
        <v>Sub-Saharan Africa</v>
      </c>
      <c r="I135" s="9" t="str">
        <f>Ventas!E135</f>
        <v>Online</v>
      </c>
    </row>
    <row r="136" spans="2:9" x14ac:dyDescent="0.25">
      <c r="B136" s="12">
        <f>Ventas!F136</f>
        <v>116</v>
      </c>
      <c r="C136" s="10">
        <f>VLOOKUP(Ventas!$D136,Productos!$A$1:$D$16,4,FALSE)*Ventas!F136</f>
        <v>462.84000000000003</v>
      </c>
      <c r="D136" s="10">
        <f>VLOOKUP(Ventas!$D136,Productos!$A$1:$D$16,3,FALSE)*Ventas!F136</f>
        <v>232</v>
      </c>
      <c r="E136" s="10">
        <f t="shared" si="2"/>
        <v>230.84000000000003</v>
      </c>
      <c r="F136" s="9">
        <f>YEAR(Ventas!G136)</f>
        <v>2016</v>
      </c>
      <c r="G136" s="9">
        <f>MONTH(Ventas!G136)</f>
        <v>6</v>
      </c>
      <c r="H136" s="9" t="str">
        <f>VLOOKUP(Ventas!C136,Países!$A$2:$B$186,2,FALSE)</f>
        <v>Sub-Saharan Africa</v>
      </c>
      <c r="I136" s="9" t="str">
        <f>Ventas!E136</f>
        <v>Online</v>
      </c>
    </row>
    <row r="137" spans="2:9" x14ac:dyDescent="0.25">
      <c r="B137" s="12">
        <f>Ventas!F137</f>
        <v>208</v>
      </c>
      <c r="C137" s="10">
        <f>VLOOKUP(Ventas!$D137,Productos!$A$1:$D$16,4,FALSE)*Ventas!F137</f>
        <v>416</v>
      </c>
      <c r="D137" s="10">
        <f>VLOOKUP(Ventas!$D137,Productos!$A$1:$D$16,3,FALSE)*Ventas!F137</f>
        <v>208</v>
      </c>
      <c r="E137" s="10">
        <f t="shared" si="2"/>
        <v>208</v>
      </c>
      <c r="F137" s="9">
        <f>YEAR(Ventas!G137)</f>
        <v>2016</v>
      </c>
      <c r="G137" s="9">
        <f>MONTH(Ventas!G137)</f>
        <v>7</v>
      </c>
      <c r="H137" s="9" t="str">
        <f>VLOOKUP(Ventas!C137,Países!$A$2:$B$186,2,FALSE)</f>
        <v>Middle East and North Africa</v>
      </c>
      <c r="I137" s="9" t="str">
        <f>Ventas!E137</f>
        <v>Online</v>
      </c>
    </row>
    <row r="138" spans="2:9" x14ac:dyDescent="0.25">
      <c r="B138" s="12">
        <f>Ventas!F138</f>
        <v>45</v>
      </c>
      <c r="C138" s="10">
        <f>VLOOKUP(Ventas!$D138,Productos!$A$1:$D$16,4,FALSE)*Ventas!F138</f>
        <v>292.5</v>
      </c>
      <c r="D138" s="10">
        <f>VLOOKUP(Ventas!$D138,Productos!$A$1:$D$16,3,FALSE)*Ventas!F138</f>
        <v>157.5</v>
      </c>
      <c r="E138" s="10">
        <f t="shared" si="2"/>
        <v>135</v>
      </c>
      <c r="F138" s="9">
        <f>YEAR(Ventas!G138)</f>
        <v>2016</v>
      </c>
      <c r="G138" s="9">
        <f>MONTH(Ventas!G138)</f>
        <v>7</v>
      </c>
      <c r="H138" s="9" t="str">
        <f>VLOOKUP(Ventas!C138,Países!$A$2:$B$186,2,FALSE)</f>
        <v>Asia</v>
      </c>
      <c r="I138" s="9" t="str">
        <f>Ventas!E138</f>
        <v>Online</v>
      </c>
    </row>
    <row r="139" spans="2:9" x14ac:dyDescent="0.25">
      <c r="B139" s="12">
        <f>Ventas!F139</f>
        <v>193</v>
      </c>
      <c r="C139" s="10">
        <f>VLOOKUP(Ventas!$D139,Productos!$A$1:$D$16,4,FALSE)*Ventas!F139</f>
        <v>868.5</v>
      </c>
      <c r="D139" s="10">
        <f>VLOOKUP(Ventas!$D139,Productos!$A$1:$D$16,3,FALSE)*Ventas!F139</f>
        <v>482.5</v>
      </c>
      <c r="E139" s="10">
        <f t="shared" si="2"/>
        <v>386</v>
      </c>
      <c r="F139" s="9">
        <f>YEAR(Ventas!G139)</f>
        <v>2016</v>
      </c>
      <c r="G139" s="9">
        <f>MONTH(Ventas!G139)</f>
        <v>6</v>
      </c>
      <c r="H139" s="9" t="str">
        <f>VLOOKUP(Ventas!C139,Países!$A$2:$B$186,2,FALSE)</f>
        <v>Europe</v>
      </c>
      <c r="I139" s="9" t="str">
        <f>Ventas!E139</f>
        <v>Online</v>
      </c>
    </row>
    <row r="140" spans="2:9" x14ac:dyDescent="0.25">
      <c r="B140" s="12">
        <f>Ventas!F140</f>
        <v>108</v>
      </c>
      <c r="C140" s="10">
        <f>VLOOKUP(Ventas!$D140,Productos!$A$1:$D$16,4,FALSE)*Ventas!F140</f>
        <v>216</v>
      </c>
      <c r="D140" s="10">
        <f>VLOOKUP(Ventas!$D140,Productos!$A$1:$D$16,3,FALSE)*Ventas!F140</f>
        <v>108</v>
      </c>
      <c r="E140" s="10">
        <f t="shared" si="2"/>
        <v>108</v>
      </c>
      <c r="F140" s="9">
        <f>YEAR(Ventas!G140)</f>
        <v>2016</v>
      </c>
      <c r="G140" s="9">
        <f>MONTH(Ventas!G140)</f>
        <v>6</v>
      </c>
      <c r="H140" s="9" t="str">
        <f>VLOOKUP(Ventas!C140,Países!$A$2:$B$186,2,FALSE)</f>
        <v>Europe</v>
      </c>
      <c r="I140" s="9" t="str">
        <f>Ventas!E140</f>
        <v>Online</v>
      </c>
    </row>
    <row r="141" spans="2:9" x14ac:dyDescent="0.25">
      <c r="B141" s="12">
        <f>Ventas!F141</f>
        <v>205</v>
      </c>
      <c r="C141" s="10">
        <f>VLOOKUP(Ventas!$D141,Productos!$A$1:$D$16,4,FALSE)*Ventas!F141</f>
        <v>2047.95</v>
      </c>
      <c r="D141" s="10">
        <f>VLOOKUP(Ventas!$D141,Productos!$A$1:$D$16,3,FALSE)*Ventas!F141</f>
        <v>1025</v>
      </c>
      <c r="E141" s="10">
        <f t="shared" si="2"/>
        <v>1022.95</v>
      </c>
      <c r="F141" s="9">
        <f>YEAR(Ventas!G141)</f>
        <v>2016</v>
      </c>
      <c r="G141" s="9">
        <f>MONTH(Ventas!G141)</f>
        <v>7</v>
      </c>
      <c r="H141" s="9" t="str">
        <f>VLOOKUP(Ventas!C141,Países!$A$2:$B$186,2,FALSE)</f>
        <v>Europe</v>
      </c>
      <c r="I141" s="9" t="str">
        <f>Ventas!E141</f>
        <v>Retail</v>
      </c>
    </row>
    <row r="142" spans="2:9" x14ac:dyDescent="0.25">
      <c r="B142" s="12">
        <f>Ventas!F142</f>
        <v>88</v>
      </c>
      <c r="C142" s="10">
        <f>VLOOKUP(Ventas!$D142,Productos!$A$1:$D$16,4,FALSE)*Ventas!F142</f>
        <v>792</v>
      </c>
      <c r="D142" s="10">
        <f>VLOOKUP(Ventas!$D142,Productos!$A$1:$D$16,3,FALSE)*Ventas!F142</f>
        <v>528</v>
      </c>
      <c r="E142" s="10">
        <f t="shared" si="2"/>
        <v>264</v>
      </c>
      <c r="F142" s="9">
        <f>YEAR(Ventas!G142)</f>
        <v>2016</v>
      </c>
      <c r="G142" s="9">
        <f>MONTH(Ventas!G142)</f>
        <v>7</v>
      </c>
      <c r="H142" s="9" t="str">
        <f>VLOOKUP(Ventas!C142,Países!$A$2:$B$186,2,FALSE)</f>
        <v>Sub-Saharan Africa</v>
      </c>
      <c r="I142" s="9" t="str">
        <f>Ventas!E142</f>
        <v>Online</v>
      </c>
    </row>
    <row r="143" spans="2:9" x14ac:dyDescent="0.25">
      <c r="B143" s="12">
        <f>Ventas!F143</f>
        <v>46</v>
      </c>
      <c r="C143" s="10">
        <f>VLOOKUP(Ventas!$D143,Productos!$A$1:$D$16,4,FALSE)*Ventas!F143</f>
        <v>321.54000000000002</v>
      </c>
      <c r="D143" s="10">
        <f>VLOOKUP(Ventas!$D143,Productos!$A$1:$D$16,3,FALSE)*Ventas!F143</f>
        <v>161</v>
      </c>
      <c r="E143" s="10">
        <f t="shared" si="2"/>
        <v>160.54000000000002</v>
      </c>
      <c r="F143" s="9">
        <f>YEAR(Ventas!G143)</f>
        <v>2016</v>
      </c>
      <c r="G143" s="9">
        <f>MONTH(Ventas!G143)</f>
        <v>6</v>
      </c>
      <c r="H143" s="9" t="str">
        <f>VLOOKUP(Ventas!C143,Países!$A$2:$B$186,2,FALSE)</f>
        <v>Europe</v>
      </c>
      <c r="I143" s="9" t="str">
        <f>Ventas!E143</f>
        <v>Online</v>
      </c>
    </row>
    <row r="144" spans="2:9" x14ac:dyDescent="0.25">
      <c r="B144" s="12">
        <f>Ventas!F144</f>
        <v>73</v>
      </c>
      <c r="C144" s="10">
        <f>VLOOKUP(Ventas!$D144,Productos!$A$1:$D$16,4,FALSE)*Ventas!F144</f>
        <v>146</v>
      </c>
      <c r="D144" s="10">
        <f>VLOOKUP(Ventas!$D144,Productos!$A$1:$D$16,3,FALSE)*Ventas!F144</f>
        <v>73</v>
      </c>
      <c r="E144" s="10">
        <f t="shared" si="2"/>
        <v>73</v>
      </c>
      <c r="F144" s="9">
        <f>YEAR(Ventas!G144)</f>
        <v>2016</v>
      </c>
      <c r="G144" s="9">
        <f>MONTH(Ventas!G144)</f>
        <v>8</v>
      </c>
      <c r="H144" s="9" t="str">
        <f>VLOOKUP(Ventas!C144,Países!$A$2:$B$186,2,FALSE)</f>
        <v>Europe</v>
      </c>
      <c r="I144" s="9" t="str">
        <f>Ventas!E144</f>
        <v>Retail</v>
      </c>
    </row>
    <row r="145" spans="2:9" x14ac:dyDescent="0.25">
      <c r="B145" s="12">
        <f>Ventas!F145</f>
        <v>207</v>
      </c>
      <c r="C145" s="10">
        <f>VLOOKUP(Ventas!$D145,Productos!$A$1:$D$16,4,FALSE)*Ventas!F145</f>
        <v>1863</v>
      </c>
      <c r="D145" s="10">
        <f>VLOOKUP(Ventas!$D145,Productos!$A$1:$D$16,3,FALSE)*Ventas!F145</f>
        <v>1242</v>
      </c>
      <c r="E145" s="10">
        <f t="shared" si="2"/>
        <v>621</v>
      </c>
      <c r="F145" s="9">
        <f>YEAR(Ventas!G145)</f>
        <v>2016</v>
      </c>
      <c r="G145" s="9">
        <f>MONTH(Ventas!G145)</f>
        <v>8</v>
      </c>
      <c r="H145" s="9" t="str">
        <f>VLOOKUP(Ventas!C145,Países!$A$2:$B$186,2,FALSE)</f>
        <v>Australia and Oceania</v>
      </c>
      <c r="I145" s="9" t="str">
        <f>Ventas!E145</f>
        <v>Retail</v>
      </c>
    </row>
    <row r="146" spans="2:9" x14ac:dyDescent="0.25">
      <c r="B146" s="12">
        <f>Ventas!F146</f>
        <v>202</v>
      </c>
      <c r="C146" s="10">
        <f>VLOOKUP(Ventas!$D146,Productos!$A$1:$D$16,4,FALSE)*Ventas!F146</f>
        <v>1313</v>
      </c>
      <c r="D146" s="10">
        <f>VLOOKUP(Ventas!$D146,Productos!$A$1:$D$16,3,FALSE)*Ventas!F146</f>
        <v>707</v>
      </c>
      <c r="E146" s="10">
        <f t="shared" si="2"/>
        <v>606</v>
      </c>
      <c r="F146" s="9">
        <f>YEAR(Ventas!G146)</f>
        <v>2016</v>
      </c>
      <c r="G146" s="9">
        <f>MONTH(Ventas!G146)</f>
        <v>7</v>
      </c>
      <c r="H146" s="9" t="str">
        <f>VLOOKUP(Ventas!C146,Países!$A$2:$B$186,2,FALSE)</f>
        <v>Central America and the Caribbean</v>
      </c>
      <c r="I146" s="9" t="str">
        <f>Ventas!E146</f>
        <v>Retail</v>
      </c>
    </row>
    <row r="147" spans="2:9" x14ac:dyDescent="0.25">
      <c r="B147" s="12">
        <f>Ventas!F147</f>
        <v>209</v>
      </c>
      <c r="C147" s="10">
        <f>VLOOKUP(Ventas!$D147,Productos!$A$1:$D$16,4,FALSE)*Ventas!F147</f>
        <v>1254</v>
      </c>
      <c r="D147" s="10">
        <f>VLOOKUP(Ventas!$D147,Productos!$A$1:$D$16,3,FALSE)*Ventas!F147</f>
        <v>627</v>
      </c>
      <c r="E147" s="10">
        <f t="shared" si="2"/>
        <v>627</v>
      </c>
      <c r="F147" s="9">
        <f>YEAR(Ventas!G147)</f>
        <v>2016</v>
      </c>
      <c r="G147" s="9">
        <f>MONTH(Ventas!G147)</f>
        <v>6</v>
      </c>
      <c r="H147" s="9" t="str">
        <f>VLOOKUP(Ventas!C147,Países!$A$2:$B$186,2,FALSE)</f>
        <v>Central America and the Caribbean</v>
      </c>
      <c r="I147" s="9" t="str">
        <f>Ventas!E147</f>
        <v>Online</v>
      </c>
    </row>
    <row r="148" spans="2:9" x14ac:dyDescent="0.25">
      <c r="B148" s="12">
        <f>Ventas!F148</f>
        <v>48</v>
      </c>
      <c r="C148" s="10">
        <f>VLOOKUP(Ventas!$D148,Productos!$A$1:$D$16,4,FALSE)*Ventas!F148</f>
        <v>191.52</v>
      </c>
      <c r="D148" s="10">
        <f>VLOOKUP(Ventas!$D148,Productos!$A$1:$D$16,3,FALSE)*Ventas!F148</f>
        <v>96</v>
      </c>
      <c r="E148" s="10">
        <f t="shared" si="2"/>
        <v>95.52000000000001</v>
      </c>
      <c r="F148" s="9">
        <f>YEAR(Ventas!G148)</f>
        <v>2016</v>
      </c>
      <c r="G148" s="9">
        <f>MONTH(Ventas!G148)</f>
        <v>7</v>
      </c>
      <c r="H148" s="9" t="str">
        <f>VLOOKUP(Ventas!C148,Países!$A$2:$B$186,2,FALSE)</f>
        <v>Europe</v>
      </c>
      <c r="I148" s="9" t="str">
        <f>Ventas!E148</f>
        <v>Retail</v>
      </c>
    </row>
    <row r="149" spans="2:9" x14ac:dyDescent="0.25">
      <c r="B149" s="12">
        <f>Ventas!F149</f>
        <v>52</v>
      </c>
      <c r="C149" s="10">
        <f>VLOOKUP(Ventas!$D149,Productos!$A$1:$D$16,4,FALSE)*Ventas!F149</f>
        <v>468</v>
      </c>
      <c r="D149" s="10">
        <f>VLOOKUP(Ventas!$D149,Productos!$A$1:$D$16,3,FALSE)*Ventas!F149</f>
        <v>312</v>
      </c>
      <c r="E149" s="10">
        <f t="shared" si="2"/>
        <v>156</v>
      </c>
      <c r="F149" s="9">
        <f>YEAR(Ventas!G149)</f>
        <v>2016</v>
      </c>
      <c r="G149" s="9">
        <f>MONTH(Ventas!G149)</f>
        <v>6</v>
      </c>
      <c r="H149" s="9" t="str">
        <f>VLOOKUP(Ventas!C149,Países!$A$2:$B$186,2,FALSE)</f>
        <v>Sub-Saharan Africa</v>
      </c>
      <c r="I149" s="9" t="str">
        <f>Ventas!E149</f>
        <v>Online</v>
      </c>
    </row>
    <row r="150" spans="2:9" x14ac:dyDescent="0.25">
      <c r="B150" s="12">
        <f>Ventas!F150</f>
        <v>202</v>
      </c>
      <c r="C150" s="10">
        <f>VLOOKUP(Ventas!$D150,Productos!$A$1:$D$16,4,FALSE)*Ventas!F150</f>
        <v>805.98</v>
      </c>
      <c r="D150" s="10">
        <f>VLOOKUP(Ventas!$D150,Productos!$A$1:$D$16,3,FALSE)*Ventas!F150</f>
        <v>404</v>
      </c>
      <c r="E150" s="10">
        <f t="shared" si="2"/>
        <v>401.98</v>
      </c>
      <c r="F150" s="9">
        <f>YEAR(Ventas!G150)</f>
        <v>2016</v>
      </c>
      <c r="G150" s="9">
        <f>MONTH(Ventas!G150)</f>
        <v>6</v>
      </c>
      <c r="H150" s="9" t="str">
        <f>VLOOKUP(Ventas!C150,Países!$A$2:$B$186,2,FALSE)</f>
        <v>Central America and the Caribbean</v>
      </c>
      <c r="I150" s="9" t="str">
        <f>Ventas!E150</f>
        <v>Online</v>
      </c>
    </row>
    <row r="151" spans="2:9" x14ac:dyDescent="0.25">
      <c r="B151" s="12">
        <f>Ventas!F151</f>
        <v>138</v>
      </c>
      <c r="C151" s="10">
        <f>VLOOKUP(Ventas!$D151,Productos!$A$1:$D$16,4,FALSE)*Ventas!F151</f>
        <v>550.62</v>
      </c>
      <c r="D151" s="10">
        <f>VLOOKUP(Ventas!$D151,Productos!$A$1:$D$16,3,FALSE)*Ventas!F151</f>
        <v>276</v>
      </c>
      <c r="E151" s="10">
        <f t="shared" si="2"/>
        <v>274.62</v>
      </c>
      <c r="F151" s="9">
        <f>YEAR(Ventas!G151)</f>
        <v>2016</v>
      </c>
      <c r="G151" s="9">
        <f>MONTH(Ventas!G151)</f>
        <v>8</v>
      </c>
      <c r="H151" s="9" t="str">
        <f>VLOOKUP(Ventas!C151,Países!$A$2:$B$186,2,FALSE)</f>
        <v>Middle East and North Africa</v>
      </c>
      <c r="I151" s="9" t="str">
        <f>Ventas!E151</f>
        <v>Direct</v>
      </c>
    </row>
    <row r="152" spans="2:9" x14ac:dyDescent="0.25">
      <c r="B152" s="12">
        <f>Ventas!F152</f>
        <v>77</v>
      </c>
      <c r="C152" s="10">
        <f>VLOOKUP(Ventas!$D152,Productos!$A$1:$D$16,4,FALSE)*Ventas!F152</f>
        <v>500.5</v>
      </c>
      <c r="D152" s="10">
        <f>VLOOKUP(Ventas!$D152,Productos!$A$1:$D$16,3,FALSE)*Ventas!F152</f>
        <v>269.5</v>
      </c>
      <c r="E152" s="10">
        <f t="shared" si="2"/>
        <v>231</v>
      </c>
      <c r="F152" s="9">
        <f>YEAR(Ventas!G152)</f>
        <v>2016</v>
      </c>
      <c r="G152" s="9">
        <f>MONTH(Ventas!G152)</f>
        <v>6</v>
      </c>
      <c r="H152" s="9" t="str">
        <f>VLOOKUP(Ventas!C152,Países!$A$2:$B$186,2,FALSE)</f>
        <v>Central America and the Caribbean</v>
      </c>
      <c r="I152" s="9" t="str">
        <f>Ventas!E152</f>
        <v>Online</v>
      </c>
    </row>
    <row r="153" spans="2:9" x14ac:dyDescent="0.25">
      <c r="B153" s="12">
        <f>Ventas!F153</f>
        <v>168</v>
      </c>
      <c r="C153" s="10">
        <f>VLOOKUP(Ventas!$D153,Productos!$A$1:$D$16,4,FALSE)*Ventas!F153</f>
        <v>1008</v>
      </c>
      <c r="D153" s="10">
        <f>VLOOKUP(Ventas!$D153,Productos!$A$1:$D$16,3,FALSE)*Ventas!F153</f>
        <v>504</v>
      </c>
      <c r="E153" s="10">
        <f t="shared" si="2"/>
        <v>504</v>
      </c>
      <c r="F153" s="9">
        <f>YEAR(Ventas!G153)</f>
        <v>2016</v>
      </c>
      <c r="G153" s="9">
        <f>MONTH(Ventas!G153)</f>
        <v>8</v>
      </c>
      <c r="H153" s="9" t="str">
        <f>VLOOKUP(Ventas!C153,Países!$A$2:$B$186,2,FALSE)</f>
        <v>Sub-Saharan Africa</v>
      </c>
      <c r="I153" s="9" t="str">
        <f>Ventas!E153</f>
        <v>Retail</v>
      </c>
    </row>
    <row r="154" spans="2:9" x14ac:dyDescent="0.25">
      <c r="B154" s="12">
        <f>Ventas!F154</f>
        <v>114</v>
      </c>
      <c r="C154" s="10">
        <f>VLOOKUP(Ventas!$D154,Productos!$A$1:$D$16,4,FALSE)*Ventas!F154</f>
        <v>1653</v>
      </c>
      <c r="D154" s="10">
        <f>VLOOKUP(Ventas!$D154,Productos!$A$1:$D$16,3,FALSE)*Ventas!F154</f>
        <v>912</v>
      </c>
      <c r="E154" s="10">
        <f t="shared" si="2"/>
        <v>741</v>
      </c>
      <c r="F154" s="9">
        <f>YEAR(Ventas!G154)</f>
        <v>2016</v>
      </c>
      <c r="G154" s="9">
        <f>MONTH(Ventas!G154)</f>
        <v>7</v>
      </c>
      <c r="H154" s="9" t="str">
        <f>VLOOKUP(Ventas!C154,Países!$A$2:$B$186,2,FALSE)</f>
        <v>Central America and the Caribbean</v>
      </c>
      <c r="I154" s="9" t="str">
        <f>Ventas!E154</f>
        <v>Online</v>
      </c>
    </row>
    <row r="155" spans="2:9" x14ac:dyDescent="0.25">
      <c r="B155" s="12">
        <f>Ventas!F155</f>
        <v>170</v>
      </c>
      <c r="C155" s="10">
        <f>VLOOKUP(Ventas!$D155,Productos!$A$1:$D$16,4,FALSE)*Ventas!F155</f>
        <v>1105</v>
      </c>
      <c r="D155" s="10">
        <f>VLOOKUP(Ventas!$D155,Productos!$A$1:$D$16,3,FALSE)*Ventas!F155</f>
        <v>595</v>
      </c>
      <c r="E155" s="10">
        <f t="shared" si="2"/>
        <v>510</v>
      </c>
      <c r="F155" s="9">
        <f>YEAR(Ventas!G155)</f>
        <v>2016</v>
      </c>
      <c r="G155" s="9">
        <f>MONTH(Ventas!G155)</f>
        <v>8</v>
      </c>
      <c r="H155" s="9" t="str">
        <f>VLOOKUP(Ventas!C155,Países!$A$2:$B$186,2,FALSE)</f>
        <v>Asia</v>
      </c>
      <c r="I155" s="9" t="str">
        <f>Ventas!E155</f>
        <v>Direct</v>
      </c>
    </row>
    <row r="156" spans="2:9" x14ac:dyDescent="0.25">
      <c r="B156" s="12">
        <f>Ventas!F156</f>
        <v>116</v>
      </c>
      <c r="C156" s="10">
        <f>VLOOKUP(Ventas!$D156,Productos!$A$1:$D$16,4,FALSE)*Ventas!F156</f>
        <v>522</v>
      </c>
      <c r="D156" s="10">
        <f>VLOOKUP(Ventas!$D156,Productos!$A$1:$D$16,3,FALSE)*Ventas!F156</f>
        <v>290</v>
      </c>
      <c r="E156" s="10">
        <f t="shared" si="2"/>
        <v>232</v>
      </c>
      <c r="F156" s="9">
        <f>YEAR(Ventas!G156)</f>
        <v>2016</v>
      </c>
      <c r="G156" s="9">
        <f>MONTH(Ventas!G156)</f>
        <v>8</v>
      </c>
      <c r="H156" s="9" t="str">
        <f>VLOOKUP(Ventas!C156,Países!$A$2:$B$186,2,FALSE)</f>
        <v>Sub-Saharan Africa</v>
      </c>
      <c r="I156" s="9" t="str">
        <f>Ventas!E156</f>
        <v>Online</v>
      </c>
    </row>
    <row r="157" spans="2:9" x14ac:dyDescent="0.25">
      <c r="B157" s="12">
        <f>Ventas!F157</f>
        <v>100</v>
      </c>
      <c r="C157" s="10">
        <f>VLOOKUP(Ventas!$D157,Productos!$A$1:$D$16,4,FALSE)*Ventas!F157</f>
        <v>650</v>
      </c>
      <c r="D157" s="10">
        <f>VLOOKUP(Ventas!$D157,Productos!$A$1:$D$16,3,FALSE)*Ventas!F157</f>
        <v>350</v>
      </c>
      <c r="E157" s="10">
        <f t="shared" si="2"/>
        <v>300</v>
      </c>
      <c r="F157" s="9">
        <f>YEAR(Ventas!G157)</f>
        <v>2016</v>
      </c>
      <c r="G157" s="9">
        <f>MONTH(Ventas!G157)</f>
        <v>6</v>
      </c>
      <c r="H157" s="9" t="str">
        <f>VLOOKUP(Ventas!C157,Países!$A$2:$B$186,2,FALSE)</f>
        <v>Sub-Saharan Africa</v>
      </c>
      <c r="I157" s="9" t="str">
        <f>Ventas!E157</f>
        <v>Online</v>
      </c>
    </row>
    <row r="158" spans="2:9" x14ac:dyDescent="0.25">
      <c r="B158" s="12">
        <f>Ventas!F158</f>
        <v>191</v>
      </c>
      <c r="C158" s="10">
        <f>VLOOKUP(Ventas!$D158,Productos!$A$1:$D$16,4,FALSE)*Ventas!F158</f>
        <v>1719</v>
      </c>
      <c r="D158" s="10">
        <f>VLOOKUP(Ventas!$D158,Productos!$A$1:$D$16,3,FALSE)*Ventas!F158</f>
        <v>1146</v>
      </c>
      <c r="E158" s="10">
        <f t="shared" si="2"/>
        <v>573</v>
      </c>
      <c r="F158" s="9">
        <f>YEAR(Ventas!G158)</f>
        <v>2016</v>
      </c>
      <c r="G158" s="9">
        <f>MONTH(Ventas!G158)</f>
        <v>8</v>
      </c>
      <c r="H158" s="9" t="str">
        <f>VLOOKUP(Ventas!C158,Países!$A$2:$B$186,2,FALSE)</f>
        <v>Europe</v>
      </c>
      <c r="I158" s="9" t="str">
        <f>Ventas!E158</f>
        <v>Online</v>
      </c>
    </row>
    <row r="159" spans="2:9" x14ac:dyDescent="0.25">
      <c r="B159" s="12">
        <f>Ventas!F159</f>
        <v>193</v>
      </c>
      <c r="C159" s="10">
        <f>VLOOKUP(Ventas!$D159,Productos!$A$1:$D$16,4,FALSE)*Ventas!F159</f>
        <v>386</v>
      </c>
      <c r="D159" s="10">
        <f>VLOOKUP(Ventas!$D159,Productos!$A$1:$D$16,3,FALSE)*Ventas!F159</f>
        <v>193</v>
      </c>
      <c r="E159" s="10">
        <f t="shared" si="2"/>
        <v>193</v>
      </c>
      <c r="F159" s="9">
        <f>YEAR(Ventas!G159)</f>
        <v>2016</v>
      </c>
      <c r="G159" s="9">
        <f>MONTH(Ventas!G159)</f>
        <v>8</v>
      </c>
      <c r="H159" s="9" t="str">
        <f>VLOOKUP(Ventas!C159,Países!$A$2:$B$186,2,FALSE)</f>
        <v>Australia and Oceania</v>
      </c>
      <c r="I159" s="9" t="str">
        <f>Ventas!E159</f>
        <v>Online</v>
      </c>
    </row>
    <row r="160" spans="2:9" x14ac:dyDescent="0.25">
      <c r="B160" s="12">
        <f>Ventas!F160</f>
        <v>57</v>
      </c>
      <c r="C160" s="10">
        <f>VLOOKUP(Ventas!$D160,Productos!$A$1:$D$16,4,FALSE)*Ventas!F160</f>
        <v>256.5</v>
      </c>
      <c r="D160" s="10">
        <f>VLOOKUP(Ventas!$D160,Productos!$A$1:$D$16,3,FALSE)*Ventas!F160</f>
        <v>142.5</v>
      </c>
      <c r="E160" s="10">
        <f t="shared" si="2"/>
        <v>114</v>
      </c>
      <c r="F160" s="9">
        <f>YEAR(Ventas!G160)</f>
        <v>2016</v>
      </c>
      <c r="G160" s="9">
        <f>MONTH(Ventas!G160)</f>
        <v>6</v>
      </c>
      <c r="H160" s="9" t="str">
        <f>VLOOKUP(Ventas!C160,Países!$A$2:$B$186,2,FALSE)</f>
        <v>Sub-Saharan Africa</v>
      </c>
      <c r="I160" s="9" t="str">
        <f>Ventas!E160</f>
        <v>Retail</v>
      </c>
    </row>
    <row r="161" spans="2:9" x14ac:dyDescent="0.25">
      <c r="B161" s="12">
        <f>Ventas!F161</f>
        <v>142</v>
      </c>
      <c r="C161" s="10">
        <f>VLOOKUP(Ventas!$D161,Productos!$A$1:$D$16,4,FALSE)*Ventas!F161</f>
        <v>1278</v>
      </c>
      <c r="D161" s="10">
        <f>VLOOKUP(Ventas!$D161,Productos!$A$1:$D$16,3,FALSE)*Ventas!F161</f>
        <v>852</v>
      </c>
      <c r="E161" s="10">
        <f t="shared" si="2"/>
        <v>426</v>
      </c>
      <c r="F161" s="9">
        <f>YEAR(Ventas!G161)</f>
        <v>2016</v>
      </c>
      <c r="G161" s="9">
        <f>MONTH(Ventas!G161)</f>
        <v>8</v>
      </c>
      <c r="H161" s="9" t="str">
        <f>VLOOKUP(Ventas!C161,Países!$A$2:$B$186,2,FALSE)</f>
        <v>Europe</v>
      </c>
      <c r="I161" s="9" t="str">
        <f>Ventas!E161</f>
        <v>Online</v>
      </c>
    </row>
    <row r="162" spans="2:9" x14ac:dyDescent="0.25">
      <c r="B162" s="12">
        <f>Ventas!F162</f>
        <v>153</v>
      </c>
      <c r="C162" s="10">
        <f>VLOOKUP(Ventas!$D162,Productos!$A$1:$D$16,4,FALSE)*Ventas!F162</f>
        <v>994.5</v>
      </c>
      <c r="D162" s="10">
        <f>VLOOKUP(Ventas!$D162,Productos!$A$1:$D$16,3,FALSE)*Ventas!F162</f>
        <v>535.5</v>
      </c>
      <c r="E162" s="10">
        <f t="shared" si="2"/>
        <v>459</v>
      </c>
      <c r="F162" s="9">
        <f>YEAR(Ventas!G162)</f>
        <v>2016</v>
      </c>
      <c r="G162" s="9">
        <f>MONTH(Ventas!G162)</f>
        <v>8</v>
      </c>
      <c r="H162" s="9" t="str">
        <f>VLOOKUP(Ventas!C162,Países!$A$2:$B$186,2,FALSE)</f>
        <v>Europe</v>
      </c>
      <c r="I162" s="9" t="str">
        <f>Ventas!E162</f>
        <v>Direct</v>
      </c>
    </row>
    <row r="163" spans="2:9" x14ac:dyDescent="0.25">
      <c r="B163" s="12">
        <f>Ventas!F163</f>
        <v>29</v>
      </c>
      <c r="C163" s="10">
        <f>VLOOKUP(Ventas!$D163,Productos!$A$1:$D$16,4,FALSE)*Ventas!F163</f>
        <v>115.71000000000001</v>
      </c>
      <c r="D163" s="10">
        <f>VLOOKUP(Ventas!$D163,Productos!$A$1:$D$16,3,FALSE)*Ventas!F163</f>
        <v>58</v>
      </c>
      <c r="E163" s="10">
        <f t="shared" si="2"/>
        <v>57.710000000000008</v>
      </c>
      <c r="F163" s="9">
        <f>YEAR(Ventas!G163)</f>
        <v>2016</v>
      </c>
      <c r="G163" s="9">
        <f>MONTH(Ventas!G163)</f>
        <v>7</v>
      </c>
      <c r="H163" s="9" t="str">
        <f>VLOOKUP(Ventas!C163,Países!$A$2:$B$186,2,FALSE)</f>
        <v>Middle East and North Africa</v>
      </c>
      <c r="I163" s="9" t="str">
        <f>Ventas!E163</f>
        <v>Retail</v>
      </c>
    </row>
    <row r="164" spans="2:9" x14ac:dyDescent="0.25">
      <c r="B164" s="12">
        <f>Ventas!F164</f>
        <v>38</v>
      </c>
      <c r="C164" s="10">
        <f>VLOOKUP(Ventas!$D164,Productos!$A$1:$D$16,4,FALSE)*Ventas!F164</f>
        <v>114</v>
      </c>
      <c r="D164" s="10">
        <f>VLOOKUP(Ventas!$D164,Productos!$A$1:$D$16,3,FALSE)*Ventas!F164</f>
        <v>57</v>
      </c>
      <c r="E164" s="10">
        <f t="shared" si="2"/>
        <v>57</v>
      </c>
      <c r="F164" s="9">
        <f>YEAR(Ventas!G164)</f>
        <v>2016</v>
      </c>
      <c r="G164" s="9">
        <f>MONTH(Ventas!G164)</f>
        <v>7</v>
      </c>
      <c r="H164" s="9" t="str">
        <f>VLOOKUP(Ventas!C164,Países!$A$2:$B$186,2,FALSE)</f>
        <v>Europe</v>
      </c>
      <c r="I164" s="9" t="str">
        <f>Ventas!E164</f>
        <v>Retail</v>
      </c>
    </row>
    <row r="165" spans="2:9" x14ac:dyDescent="0.25">
      <c r="B165" s="12">
        <f>Ventas!F165</f>
        <v>3</v>
      </c>
      <c r="C165" s="10">
        <f>VLOOKUP(Ventas!$D165,Productos!$A$1:$D$16,4,FALSE)*Ventas!F165</f>
        <v>13.5</v>
      </c>
      <c r="D165" s="10">
        <f>VLOOKUP(Ventas!$D165,Productos!$A$1:$D$16,3,FALSE)*Ventas!F165</f>
        <v>7.5</v>
      </c>
      <c r="E165" s="10">
        <f t="shared" si="2"/>
        <v>6</v>
      </c>
      <c r="F165" s="9">
        <f>YEAR(Ventas!G165)</f>
        <v>2016</v>
      </c>
      <c r="G165" s="9">
        <f>MONTH(Ventas!G165)</f>
        <v>7</v>
      </c>
      <c r="H165" s="9" t="str">
        <f>VLOOKUP(Ventas!C165,Países!$A$2:$B$186,2,FALSE)</f>
        <v>Sub-Saharan Africa</v>
      </c>
      <c r="I165" s="9" t="str">
        <f>Ventas!E165</f>
        <v>Retail</v>
      </c>
    </row>
    <row r="166" spans="2:9" x14ac:dyDescent="0.25">
      <c r="B166" s="12">
        <f>Ventas!F166</f>
        <v>178</v>
      </c>
      <c r="C166" s="10">
        <f>VLOOKUP(Ventas!$D166,Productos!$A$1:$D$16,4,FALSE)*Ventas!F166</f>
        <v>1157</v>
      </c>
      <c r="D166" s="10">
        <f>VLOOKUP(Ventas!$D166,Productos!$A$1:$D$16,3,FALSE)*Ventas!F166</f>
        <v>623</v>
      </c>
      <c r="E166" s="10">
        <f t="shared" si="2"/>
        <v>534</v>
      </c>
      <c r="F166" s="9">
        <f>YEAR(Ventas!G166)</f>
        <v>2016</v>
      </c>
      <c r="G166" s="9">
        <f>MONTH(Ventas!G166)</f>
        <v>8</v>
      </c>
      <c r="H166" s="9" t="str">
        <f>VLOOKUP(Ventas!C166,Países!$A$2:$B$186,2,FALSE)</f>
        <v>Europe</v>
      </c>
      <c r="I166" s="9" t="str">
        <f>Ventas!E166</f>
        <v>Retail</v>
      </c>
    </row>
    <row r="167" spans="2:9" x14ac:dyDescent="0.25">
      <c r="B167" s="12">
        <f>Ventas!F167</f>
        <v>53</v>
      </c>
      <c r="C167" s="10">
        <f>VLOOKUP(Ventas!$D167,Productos!$A$1:$D$16,4,FALSE)*Ventas!F167</f>
        <v>768.5</v>
      </c>
      <c r="D167" s="10">
        <f>VLOOKUP(Ventas!$D167,Productos!$A$1:$D$16,3,FALSE)*Ventas!F167</f>
        <v>424</v>
      </c>
      <c r="E167" s="10">
        <f t="shared" si="2"/>
        <v>344.5</v>
      </c>
      <c r="F167" s="9">
        <f>YEAR(Ventas!G167)</f>
        <v>2016</v>
      </c>
      <c r="G167" s="9">
        <f>MONTH(Ventas!G167)</f>
        <v>7</v>
      </c>
      <c r="H167" s="9" t="str">
        <f>VLOOKUP(Ventas!C167,Países!$A$2:$B$186,2,FALSE)</f>
        <v>Europe</v>
      </c>
      <c r="I167" s="9" t="str">
        <f>Ventas!E167</f>
        <v>Direct</v>
      </c>
    </row>
    <row r="168" spans="2:9" x14ac:dyDescent="0.25">
      <c r="B168" s="12">
        <f>Ventas!F168</f>
        <v>153</v>
      </c>
      <c r="C168" s="10">
        <f>VLOOKUP(Ventas!$D168,Productos!$A$1:$D$16,4,FALSE)*Ventas!F168</f>
        <v>459</v>
      </c>
      <c r="D168" s="10">
        <f>VLOOKUP(Ventas!$D168,Productos!$A$1:$D$16,3,FALSE)*Ventas!F168</f>
        <v>229.5</v>
      </c>
      <c r="E168" s="10">
        <f t="shared" si="2"/>
        <v>229.5</v>
      </c>
      <c r="F168" s="9">
        <f>YEAR(Ventas!G168)</f>
        <v>2016</v>
      </c>
      <c r="G168" s="9">
        <f>MONTH(Ventas!G168)</f>
        <v>8</v>
      </c>
      <c r="H168" s="9" t="str">
        <f>VLOOKUP(Ventas!C168,Países!$A$2:$B$186,2,FALSE)</f>
        <v>Australia and Oceania</v>
      </c>
      <c r="I168" s="9" t="str">
        <f>Ventas!E168</f>
        <v>Online</v>
      </c>
    </row>
    <row r="169" spans="2:9" x14ac:dyDescent="0.25">
      <c r="B169" s="12">
        <f>Ventas!F169</f>
        <v>144</v>
      </c>
      <c r="C169" s="10">
        <f>VLOOKUP(Ventas!$D169,Productos!$A$1:$D$16,4,FALSE)*Ventas!F169</f>
        <v>1438.56</v>
      </c>
      <c r="D169" s="10">
        <f>VLOOKUP(Ventas!$D169,Productos!$A$1:$D$16,3,FALSE)*Ventas!F169</f>
        <v>720</v>
      </c>
      <c r="E169" s="10">
        <f t="shared" si="2"/>
        <v>718.56</v>
      </c>
      <c r="F169" s="9">
        <f>YEAR(Ventas!G169)</f>
        <v>2016</v>
      </c>
      <c r="G169" s="9">
        <f>MONTH(Ventas!G169)</f>
        <v>6</v>
      </c>
      <c r="H169" s="9" t="str">
        <f>VLOOKUP(Ventas!C169,Países!$A$2:$B$186,2,FALSE)</f>
        <v>Australia and Oceania</v>
      </c>
      <c r="I169" s="9" t="str">
        <f>Ventas!E169</f>
        <v>Online</v>
      </c>
    </row>
    <row r="170" spans="2:9" x14ac:dyDescent="0.25">
      <c r="B170" s="12">
        <f>Ventas!F170</f>
        <v>131</v>
      </c>
      <c r="C170" s="10">
        <f>VLOOKUP(Ventas!$D170,Productos!$A$1:$D$16,4,FALSE)*Ventas!F170</f>
        <v>786</v>
      </c>
      <c r="D170" s="10">
        <f>VLOOKUP(Ventas!$D170,Productos!$A$1:$D$16,3,FALSE)*Ventas!F170</f>
        <v>393</v>
      </c>
      <c r="E170" s="10">
        <f t="shared" si="2"/>
        <v>393</v>
      </c>
      <c r="F170" s="9">
        <f>YEAR(Ventas!G170)</f>
        <v>2016</v>
      </c>
      <c r="G170" s="9">
        <f>MONTH(Ventas!G170)</f>
        <v>6</v>
      </c>
      <c r="H170" s="9" t="str">
        <f>VLOOKUP(Ventas!C170,Países!$A$2:$B$186,2,FALSE)</f>
        <v>Sub-Saharan Africa</v>
      </c>
      <c r="I170" s="9" t="str">
        <f>Ventas!E170</f>
        <v>Direct</v>
      </c>
    </row>
    <row r="171" spans="2:9" x14ac:dyDescent="0.25">
      <c r="B171" s="12">
        <f>Ventas!F171</f>
        <v>7</v>
      </c>
      <c r="C171" s="10">
        <f>VLOOKUP(Ventas!$D171,Productos!$A$1:$D$16,4,FALSE)*Ventas!F171</f>
        <v>27.93</v>
      </c>
      <c r="D171" s="10">
        <f>VLOOKUP(Ventas!$D171,Productos!$A$1:$D$16,3,FALSE)*Ventas!F171</f>
        <v>14</v>
      </c>
      <c r="E171" s="10">
        <f t="shared" si="2"/>
        <v>13.93</v>
      </c>
      <c r="F171" s="9">
        <f>YEAR(Ventas!G171)</f>
        <v>2016</v>
      </c>
      <c r="G171" s="9">
        <f>MONTH(Ventas!G171)</f>
        <v>6</v>
      </c>
      <c r="H171" s="9" t="str">
        <f>VLOOKUP(Ventas!C171,Países!$A$2:$B$186,2,FALSE)</f>
        <v>Central America and the Caribbean</v>
      </c>
      <c r="I171" s="9" t="str">
        <f>Ventas!E171</f>
        <v>Retail</v>
      </c>
    </row>
    <row r="172" spans="2:9" x14ac:dyDescent="0.25">
      <c r="B172" s="12">
        <f>Ventas!F172</f>
        <v>110</v>
      </c>
      <c r="C172" s="10">
        <f>VLOOKUP(Ventas!$D172,Productos!$A$1:$D$16,4,FALSE)*Ventas!F172</f>
        <v>438.90000000000003</v>
      </c>
      <c r="D172" s="10">
        <f>VLOOKUP(Ventas!$D172,Productos!$A$1:$D$16,3,FALSE)*Ventas!F172</f>
        <v>220</v>
      </c>
      <c r="E172" s="10">
        <f t="shared" si="2"/>
        <v>218.90000000000003</v>
      </c>
      <c r="F172" s="9">
        <f>YEAR(Ventas!G172)</f>
        <v>2016</v>
      </c>
      <c r="G172" s="9">
        <f>MONTH(Ventas!G172)</f>
        <v>7</v>
      </c>
      <c r="H172" s="9" t="str">
        <f>VLOOKUP(Ventas!C172,Países!$A$2:$B$186,2,FALSE)</f>
        <v>Central America and the Caribbean</v>
      </c>
      <c r="I172" s="9" t="str">
        <f>Ventas!E172</f>
        <v>Direct</v>
      </c>
    </row>
    <row r="173" spans="2:9" x14ac:dyDescent="0.25">
      <c r="B173" s="12">
        <f>Ventas!F173</f>
        <v>209</v>
      </c>
      <c r="C173" s="10">
        <f>VLOOKUP(Ventas!$D173,Productos!$A$1:$D$16,4,FALSE)*Ventas!F173</f>
        <v>833.91000000000008</v>
      </c>
      <c r="D173" s="10">
        <f>VLOOKUP(Ventas!$D173,Productos!$A$1:$D$16,3,FALSE)*Ventas!F173</f>
        <v>418</v>
      </c>
      <c r="E173" s="10">
        <f t="shared" si="2"/>
        <v>415.91000000000008</v>
      </c>
      <c r="F173" s="9">
        <f>YEAR(Ventas!G173)</f>
        <v>2016</v>
      </c>
      <c r="G173" s="9">
        <f>MONTH(Ventas!G173)</f>
        <v>8</v>
      </c>
      <c r="H173" s="9" t="str">
        <f>VLOOKUP(Ventas!C173,Países!$A$2:$B$186,2,FALSE)</f>
        <v>Middle East and North Africa</v>
      </c>
      <c r="I173" s="9" t="str">
        <f>Ventas!E173</f>
        <v>Online</v>
      </c>
    </row>
    <row r="174" spans="2:9" x14ac:dyDescent="0.25">
      <c r="B174" s="12">
        <f>Ventas!F174</f>
        <v>203</v>
      </c>
      <c r="C174" s="10">
        <f>VLOOKUP(Ventas!$D174,Productos!$A$1:$D$16,4,FALSE)*Ventas!F174</f>
        <v>913.5</v>
      </c>
      <c r="D174" s="10">
        <f>VLOOKUP(Ventas!$D174,Productos!$A$1:$D$16,3,FALSE)*Ventas!F174</f>
        <v>507.5</v>
      </c>
      <c r="E174" s="10">
        <f t="shared" si="2"/>
        <v>406</v>
      </c>
      <c r="F174" s="9">
        <f>YEAR(Ventas!G174)</f>
        <v>2016</v>
      </c>
      <c r="G174" s="9">
        <f>MONTH(Ventas!G174)</f>
        <v>6</v>
      </c>
      <c r="H174" s="9" t="str">
        <f>VLOOKUP(Ventas!C174,Países!$A$2:$B$186,2,FALSE)</f>
        <v>Europe</v>
      </c>
      <c r="I174" s="9" t="str">
        <f>Ventas!E174</f>
        <v>Retail</v>
      </c>
    </row>
    <row r="175" spans="2:9" x14ac:dyDescent="0.25">
      <c r="B175" s="12">
        <f>Ventas!F175</f>
        <v>29</v>
      </c>
      <c r="C175" s="10">
        <f>VLOOKUP(Ventas!$D175,Productos!$A$1:$D$16,4,FALSE)*Ventas!F175</f>
        <v>115.71000000000001</v>
      </c>
      <c r="D175" s="10">
        <f>VLOOKUP(Ventas!$D175,Productos!$A$1:$D$16,3,FALSE)*Ventas!F175</f>
        <v>58</v>
      </c>
      <c r="E175" s="10">
        <f t="shared" si="2"/>
        <v>57.710000000000008</v>
      </c>
      <c r="F175" s="9">
        <f>YEAR(Ventas!G175)</f>
        <v>2016</v>
      </c>
      <c r="G175" s="9">
        <f>MONTH(Ventas!G175)</f>
        <v>6</v>
      </c>
      <c r="H175" s="9" t="str">
        <f>VLOOKUP(Ventas!C175,Países!$A$2:$B$186,2,FALSE)</f>
        <v>Sub-Saharan Africa</v>
      </c>
      <c r="I175" s="9" t="str">
        <f>Ventas!E175</f>
        <v>Online</v>
      </c>
    </row>
    <row r="176" spans="2:9" x14ac:dyDescent="0.25">
      <c r="B176" s="12">
        <f>Ventas!F176</f>
        <v>202</v>
      </c>
      <c r="C176" s="10">
        <f>VLOOKUP(Ventas!$D176,Productos!$A$1:$D$16,4,FALSE)*Ventas!F176</f>
        <v>1313</v>
      </c>
      <c r="D176" s="10">
        <f>VLOOKUP(Ventas!$D176,Productos!$A$1:$D$16,3,FALSE)*Ventas!F176</f>
        <v>707</v>
      </c>
      <c r="E176" s="10">
        <f t="shared" si="2"/>
        <v>606</v>
      </c>
      <c r="F176" s="9">
        <f>YEAR(Ventas!G176)</f>
        <v>2016</v>
      </c>
      <c r="G176" s="9">
        <f>MONTH(Ventas!G176)</f>
        <v>7</v>
      </c>
      <c r="H176" s="9" t="str">
        <f>VLOOKUP(Ventas!C176,Países!$A$2:$B$186,2,FALSE)</f>
        <v>Middle East and North Africa</v>
      </c>
      <c r="I176" s="9" t="str">
        <f>Ventas!E176</f>
        <v>Retail</v>
      </c>
    </row>
    <row r="177" spans="2:9" x14ac:dyDescent="0.25">
      <c r="B177" s="12">
        <f>Ventas!F177</f>
        <v>15</v>
      </c>
      <c r="C177" s="10">
        <f>VLOOKUP(Ventas!$D177,Productos!$A$1:$D$16,4,FALSE)*Ventas!F177</f>
        <v>45</v>
      </c>
      <c r="D177" s="10">
        <f>VLOOKUP(Ventas!$D177,Productos!$A$1:$D$16,3,FALSE)*Ventas!F177</f>
        <v>22.5</v>
      </c>
      <c r="E177" s="10">
        <f t="shared" si="2"/>
        <v>22.5</v>
      </c>
      <c r="F177" s="9">
        <f>YEAR(Ventas!G177)</f>
        <v>2016</v>
      </c>
      <c r="G177" s="9">
        <f>MONTH(Ventas!G177)</f>
        <v>6</v>
      </c>
      <c r="H177" s="9" t="str">
        <f>VLOOKUP(Ventas!C177,Países!$A$2:$B$186,2,FALSE)</f>
        <v>Europe</v>
      </c>
      <c r="I177" s="9" t="str">
        <f>Ventas!E177</f>
        <v>Online</v>
      </c>
    </row>
    <row r="178" spans="2:9" x14ac:dyDescent="0.25">
      <c r="B178" s="12">
        <f>Ventas!F178</f>
        <v>102</v>
      </c>
      <c r="C178" s="10">
        <f>VLOOKUP(Ventas!$D178,Productos!$A$1:$D$16,4,FALSE)*Ventas!F178</f>
        <v>1018.98</v>
      </c>
      <c r="D178" s="10">
        <f>VLOOKUP(Ventas!$D178,Productos!$A$1:$D$16,3,FALSE)*Ventas!F178</f>
        <v>510</v>
      </c>
      <c r="E178" s="10">
        <f t="shared" si="2"/>
        <v>508.98</v>
      </c>
      <c r="F178" s="9">
        <f>YEAR(Ventas!G178)</f>
        <v>2016</v>
      </c>
      <c r="G178" s="9">
        <f>MONTH(Ventas!G178)</f>
        <v>8</v>
      </c>
      <c r="H178" s="9" t="str">
        <f>VLOOKUP(Ventas!C178,Países!$A$2:$B$186,2,FALSE)</f>
        <v>Sub-Saharan Africa</v>
      </c>
      <c r="I178" s="9" t="str">
        <f>Ventas!E178</f>
        <v>Retail</v>
      </c>
    </row>
    <row r="179" spans="2:9" x14ac:dyDescent="0.25">
      <c r="B179" s="12">
        <f>Ventas!F179</f>
        <v>211</v>
      </c>
      <c r="C179" s="10">
        <f>VLOOKUP(Ventas!$D179,Productos!$A$1:$D$16,4,FALSE)*Ventas!F179</f>
        <v>1371.5</v>
      </c>
      <c r="D179" s="10">
        <f>VLOOKUP(Ventas!$D179,Productos!$A$1:$D$16,3,FALSE)*Ventas!F179</f>
        <v>738.5</v>
      </c>
      <c r="E179" s="10">
        <f t="shared" si="2"/>
        <v>633</v>
      </c>
      <c r="F179" s="9">
        <f>YEAR(Ventas!G179)</f>
        <v>2016</v>
      </c>
      <c r="G179" s="9">
        <f>MONTH(Ventas!G179)</f>
        <v>6</v>
      </c>
      <c r="H179" s="9" t="str">
        <f>VLOOKUP(Ventas!C179,Países!$A$2:$B$186,2,FALSE)</f>
        <v>Europe</v>
      </c>
      <c r="I179" s="9" t="str">
        <f>Ventas!E179</f>
        <v>Online</v>
      </c>
    </row>
    <row r="180" spans="2:9" x14ac:dyDescent="0.25">
      <c r="B180" s="12">
        <f>Ventas!F180</f>
        <v>138</v>
      </c>
      <c r="C180" s="10">
        <f>VLOOKUP(Ventas!$D180,Productos!$A$1:$D$16,4,FALSE)*Ventas!F180</f>
        <v>897</v>
      </c>
      <c r="D180" s="10">
        <f>VLOOKUP(Ventas!$D180,Productos!$A$1:$D$16,3,FALSE)*Ventas!F180</f>
        <v>483</v>
      </c>
      <c r="E180" s="10">
        <f t="shared" si="2"/>
        <v>414</v>
      </c>
      <c r="F180" s="9">
        <f>YEAR(Ventas!G180)</f>
        <v>2016</v>
      </c>
      <c r="G180" s="9">
        <f>MONTH(Ventas!G180)</f>
        <v>8</v>
      </c>
      <c r="H180" s="9" t="str">
        <f>VLOOKUP(Ventas!C180,Países!$A$2:$B$186,2,FALSE)</f>
        <v>Europe</v>
      </c>
      <c r="I180" s="9" t="str">
        <f>Ventas!E180</f>
        <v>Online</v>
      </c>
    </row>
    <row r="181" spans="2:9" x14ac:dyDescent="0.25">
      <c r="B181" s="12">
        <f>Ventas!F181</f>
        <v>129</v>
      </c>
      <c r="C181" s="10">
        <f>VLOOKUP(Ventas!$D181,Productos!$A$1:$D$16,4,FALSE)*Ventas!F181</f>
        <v>580.5</v>
      </c>
      <c r="D181" s="10">
        <f>VLOOKUP(Ventas!$D181,Productos!$A$1:$D$16,3,FALSE)*Ventas!F181</f>
        <v>322.5</v>
      </c>
      <c r="E181" s="10">
        <f t="shared" si="2"/>
        <v>258</v>
      </c>
      <c r="F181" s="9">
        <f>YEAR(Ventas!G181)</f>
        <v>2016</v>
      </c>
      <c r="G181" s="9">
        <f>MONTH(Ventas!G181)</f>
        <v>6</v>
      </c>
      <c r="H181" s="9" t="str">
        <f>VLOOKUP(Ventas!C181,Países!$A$2:$B$186,2,FALSE)</f>
        <v>Middle East and North Africa</v>
      </c>
      <c r="I181" s="9" t="str">
        <f>Ventas!E181</f>
        <v>Direct</v>
      </c>
    </row>
    <row r="182" spans="2:9" x14ac:dyDescent="0.25">
      <c r="B182" s="12">
        <f>Ventas!F182</f>
        <v>95</v>
      </c>
      <c r="C182" s="10">
        <f>VLOOKUP(Ventas!$D182,Productos!$A$1:$D$16,4,FALSE)*Ventas!F182</f>
        <v>617.5</v>
      </c>
      <c r="D182" s="10">
        <f>VLOOKUP(Ventas!$D182,Productos!$A$1:$D$16,3,FALSE)*Ventas!F182</f>
        <v>332.5</v>
      </c>
      <c r="E182" s="10">
        <f t="shared" si="2"/>
        <v>285</v>
      </c>
      <c r="F182" s="9">
        <f>YEAR(Ventas!G182)</f>
        <v>2016</v>
      </c>
      <c r="G182" s="9">
        <f>MONTH(Ventas!G182)</f>
        <v>8</v>
      </c>
      <c r="H182" s="9" t="str">
        <f>VLOOKUP(Ventas!C182,Países!$A$2:$B$186,2,FALSE)</f>
        <v>Europe</v>
      </c>
      <c r="I182" s="9" t="str">
        <f>Ventas!E182</f>
        <v>Online</v>
      </c>
    </row>
    <row r="183" spans="2:9" x14ac:dyDescent="0.25">
      <c r="B183" s="12">
        <f>Ventas!F183</f>
        <v>58</v>
      </c>
      <c r="C183" s="10">
        <f>VLOOKUP(Ventas!$D183,Productos!$A$1:$D$16,4,FALSE)*Ventas!F183</f>
        <v>174</v>
      </c>
      <c r="D183" s="10">
        <f>VLOOKUP(Ventas!$D183,Productos!$A$1:$D$16,3,FALSE)*Ventas!F183</f>
        <v>87</v>
      </c>
      <c r="E183" s="10">
        <f t="shared" si="2"/>
        <v>87</v>
      </c>
      <c r="F183" s="9">
        <f>YEAR(Ventas!G183)</f>
        <v>2016</v>
      </c>
      <c r="G183" s="9">
        <f>MONTH(Ventas!G183)</f>
        <v>8</v>
      </c>
      <c r="H183" s="9" t="str">
        <f>VLOOKUP(Ventas!C183,Países!$A$2:$B$186,2,FALSE)</f>
        <v>Europe</v>
      </c>
      <c r="I183" s="9" t="str">
        <f>Ventas!E183</f>
        <v>Online</v>
      </c>
    </row>
    <row r="184" spans="2:9" x14ac:dyDescent="0.25">
      <c r="B184" s="12">
        <f>Ventas!F184</f>
        <v>160</v>
      </c>
      <c r="C184" s="10">
        <f>VLOOKUP(Ventas!$D184,Productos!$A$1:$D$16,4,FALSE)*Ventas!F184</f>
        <v>638.40000000000009</v>
      </c>
      <c r="D184" s="10">
        <f>VLOOKUP(Ventas!$D184,Productos!$A$1:$D$16,3,FALSE)*Ventas!F184</f>
        <v>320</v>
      </c>
      <c r="E184" s="10">
        <f t="shared" si="2"/>
        <v>318.40000000000009</v>
      </c>
      <c r="F184" s="9">
        <f>YEAR(Ventas!G184)</f>
        <v>2016</v>
      </c>
      <c r="G184" s="9">
        <f>MONTH(Ventas!G184)</f>
        <v>6</v>
      </c>
      <c r="H184" s="9" t="str">
        <f>VLOOKUP(Ventas!C184,Países!$A$2:$B$186,2,FALSE)</f>
        <v>Middle East and North Africa</v>
      </c>
      <c r="I184" s="9" t="str">
        <f>Ventas!E184</f>
        <v>Online</v>
      </c>
    </row>
    <row r="185" spans="2:9" x14ac:dyDescent="0.25">
      <c r="B185" s="12">
        <f>Ventas!F185</f>
        <v>163</v>
      </c>
      <c r="C185" s="10">
        <f>VLOOKUP(Ventas!$D185,Productos!$A$1:$D$16,4,FALSE)*Ventas!F185</f>
        <v>733.5</v>
      </c>
      <c r="D185" s="10">
        <f>VLOOKUP(Ventas!$D185,Productos!$A$1:$D$16,3,FALSE)*Ventas!F185</f>
        <v>407.5</v>
      </c>
      <c r="E185" s="10">
        <f t="shared" si="2"/>
        <v>326</v>
      </c>
      <c r="F185" s="9">
        <f>YEAR(Ventas!G185)</f>
        <v>2016</v>
      </c>
      <c r="G185" s="9">
        <f>MONTH(Ventas!G185)</f>
        <v>8</v>
      </c>
      <c r="H185" s="9" t="str">
        <f>VLOOKUP(Ventas!C185,Países!$A$2:$B$186,2,FALSE)</f>
        <v>Middle East and North Africa</v>
      </c>
      <c r="I185" s="9" t="str">
        <f>Ventas!E185</f>
        <v>Retail</v>
      </c>
    </row>
    <row r="186" spans="2:9" x14ac:dyDescent="0.25">
      <c r="B186" s="12">
        <f>Ventas!F186</f>
        <v>33</v>
      </c>
      <c r="C186" s="10">
        <f>VLOOKUP(Ventas!$D186,Productos!$A$1:$D$16,4,FALSE)*Ventas!F186</f>
        <v>198</v>
      </c>
      <c r="D186" s="10">
        <f>VLOOKUP(Ventas!$D186,Productos!$A$1:$D$16,3,FALSE)*Ventas!F186</f>
        <v>99</v>
      </c>
      <c r="E186" s="10">
        <f t="shared" si="2"/>
        <v>99</v>
      </c>
      <c r="F186" s="9">
        <f>YEAR(Ventas!G186)</f>
        <v>2016</v>
      </c>
      <c r="G186" s="9">
        <f>MONTH(Ventas!G186)</f>
        <v>6</v>
      </c>
      <c r="H186" s="9" t="str">
        <f>VLOOKUP(Ventas!C186,Países!$A$2:$B$186,2,FALSE)</f>
        <v>Europe</v>
      </c>
      <c r="I186" s="9" t="str">
        <f>Ventas!E186</f>
        <v>Retail</v>
      </c>
    </row>
    <row r="187" spans="2:9" x14ac:dyDescent="0.25">
      <c r="B187" s="12">
        <f>Ventas!F187</f>
        <v>147</v>
      </c>
      <c r="C187" s="10">
        <f>VLOOKUP(Ventas!$D187,Productos!$A$1:$D$16,4,FALSE)*Ventas!F187</f>
        <v>1027.53</v>
      </c>
      <c r="D187" s="10">
        <f>VLOOKUP(Ventas!$D187,Productos!$A$1:$D$16,3,FALSE)*Ventas!F187</f>
        <v>514.5</v>
      </c>
      <c r="E187" s="10">
        <f t="shared" si="2"/>
        <v>513.03</v>
      </c>
      <c r="F187" s="9">
        <f>YEAR(Ventas!G187)</f>
        <v>2016</v>
      </c>
      <c r="G187" s="9">
        <f>MONTH(Ventas!G187)</f>
        <v>6</v>
      </c>
      <c r="H187" s="9" t="str">
        <f>VLOOKUP(Ventas!C187,Países!$A$2:$B$186,2,FALSE)</f>
        <v>Europe</v>
      </c>
      <c r="I187" s="9" t="str">
        <f>Ventas!E187</f>
        <v>Retail</v>
      </c>
    </row>
    <row r="188" spans="2:9" x14ac:dyDescent="0.25">
      <c r="B188" s="12">
        <f>Ventas!F188</f>
        <v>211</v>
      </c>
      <c r="C188" s="10">
        <f>VLOOKUP(Ventas!$D188,Productos!$A$1:$D$16,4,FALSE)*Ventas!F188</f>
        <v>1474.89</v>
      </c>
      <c r="D188" s="10">
        <f>VLOOKUP(Ventas!$D188,Productos!$A$1:$D$16,3,FALSE)*Ventas!F188</f>
        <v>738.5</v>
      </c>
      <c r="E188" s="10">
        <f t="shared" si="2"/>
        <v>736.3900000000001</v>
      </c>
      <c r="F188" s="9">
        <f>YEAR(Ventas!G188)</f>
        <v>2016</v>
      </c>
      <c r="G188" s="9">
        <f>MONTH(Ventas!G188)</f>
        <v>8</v>
      </c>
      <c r="H188" s="9" t="str">
        <f>VLOOKUP(Ventas!C188,Países!$A$2:$B$186,2,FALSE)</f>
        <v>Australia and Oceania</v>
      </c>
      <c r="I188" s="9" t="str">
        <f>Ventas!E188</f>
        <v>Retail</v>
      </c>
    </row>
    <row r="189" spans="2:9" x14ac:dyDescent="0.25">
      <c r="B189" s="12">
        <f>Ventas!F189</f>
        <v>49</v>
      </c>
      <c r="C189" s="10">
        <f>VLOOKUP(Ventas!$D189,Productos!$A$1:$D$16,4,FALSE)*Ventas!F189</f>
        <v>318.5</v>
      </c>
      <c r="D189" s="10">
        <f>VLOOKUP(Ventas!$D189,Productos!$A$1:$D$16,3,FALSE)*Ventas!F189</f>
        <v>171.5</v>
      </c>
      <c r="E189" s="10">
        <f t="shared" si="2"/>
        <v>147</v>
      </c>
      <c r="F189" s="9">
        <f>YEAR(Ventas!G189)</f>
        <v>2016</v>
      </c>
      <c r="G189" s="9">
        <f>MONTH(Ventas!G189)</f>
        <v>6</v>
      </c>
      <c r="H189" s="9" t="str">
        <f>VLOOKUP(Ventas!C189,Países!$A$2:$B$186,2,FALSE)</f>
        <v>Sub-Saharan Africa</v>
      </c>
      <c r="I189" s="9" t="str">
        <f>Ventas!E189</f>
        <v>Retail</v>
      </c>
    </row>
    <row r="190" spans="2:9" x14ac:dyDescent="0.25">
      <c r="B190" s="12">
        <f>Ventas!F190</f>
        <v>100</v>
      </c>
      <c r="C190" s="10">
        <f>VLOOKUP(Ventas!$D190,Productos!$A$1:$D$16,4,FALSE)*Ventas!F190</f>
        <v>200</v>
      </c>
      <c r="D190" s="10">
        <f>VLOOKUP(Ventas!$D190,Productos!$A$1:$D$16,3,FALSE)*Ventas!F190</f>
        <v>100</v>
      </c>
      <c r="E190" s="10">
        <f t="shared" si="2"/>
        <v>100</v>
      </c>
      <c r="F190" s="9">
        <f>YEAR(Ventas!G190)</f>
        <v>2016</v>
      </c>
      <c r="G190" s="9">
        <f>MONTH(Ventas!G190)</f>
        <v>7</v>
      </c>
      <c r="H190" s="9" t="str">
        <f>VLOOKUP(Ventas!C190,Países!$A$2:$B$186,2,FALSE)</f>
        <v>Europe</v>
      </c>
      <c r="I190" s="9" t="str">
        <f>Ventas!E190</f>
        <v>Direct</v>
      </c>
    </row>
    <row r="191" spans="2:9" x14ac:dyDescent="0.25">
      <c r="B191" s="12">
        <f>Ventas!F191</f>
        <v>123</v>
      </c>
      <c r="C191" s="10">
        <f>VLOOKUP(Ventas!$D191,Productos!$A$1:$D$16,4,FALSE)*Ventas!F191</f>
        <v>553.5</v>
      </c>
      <c r="D191" s="10">
        <f>VLOOKUP(Ventas!$D191,Productos!$A$1:$D$16,3,FALSE)*Ventas!F191</f>
        <v>307.5</v>
      </c>
      <c r="E191" s="10">
        <f t="shared" si="2"/>
        <v>246</v>
      </c>
      <c r="F191" s="9">
        <f>YEAR(Ventas!G191)</f>
        <v>2016</v>
      </c>
      <c r="G191" s="9">
        <f>MONTH(Ventas!G191)</f>
        <v>6</v>
      </c>
      <c r="H191" s="9" t="str">
        <f>VLOOKUP(Ventas!C191,Países!$A$2:$B$186,2,FALSE)</f>
        <v>Europe</v>
      </c>
      <c r="I191" s="9" t="str">
        <f>Ventas!E191</f>
        <v>Online</v>
      </c>
    </row>
    <row r="192" spans="2:9" x14ac:dyDescent="0.25">
      <c r="B192" s="12">
        <f>Ventas!F192</f>
        <v>176</v>
      </c>
      <c r="C192" s="10">
        <f>VLOOKUP(Ventas!$D192,Productos!$A$1:$D$16,4,FALSE)*Ventas!F192</f>
        <v>702.24</v>
      </c>
      <c r="D192" s="10">
        <f>VLOOKUP(Ventas!$D192,Productos!$A$1:$D$16,3,FALSE)*Ventas!F192</f>
        <v>352</v>
      </c>
      <c r="E192" s="10">
        <f t="shared" si="2"/>
        <v>350.24</v>
      </c>
      <c r="F192" s="9">
        <f>YEAR(Ventas!G192)</f>
        <v>2016</v>
      </c>
      <c r="G192" s="9">
        <f>MONTH(Ventas!G192)</f>
        <v>6</v>
      </c>
      <c r="H192" s="9" t="str">
        <f>VLOOKUP(Ventas!C192,Países!$A$2:$B$186,2,FALSE)</f>
        <v>Asia</v>
      </c>
      <c r="I192" s="9" t="str">
        <f>Ventas!E192</f>
        <v>Retail</v>
      </c>
    </row>
    <row r="193" spans="2:9" x14ac:dyDescent="0.25">
      <c r="B193" s="12">
        <f>Ventas!F193</f>
        <v>44</v>
      </c>
      <c r="C193" s="10">
        <f>VLOOKUP(Ventas!$D193,Productos!$A$1:$D$16,4,FALSE)*Ventas!F193</f>
        <v>286</v>
      </c>
      <c r="D193" s="10">
        <f>VLOOKUP(Ventas!$D193,Productos!$A$1:$D$16,3,FALSE)*Ventas!F193</f>
        <v>154</v>
      </c>
      <c r="E193" s="10">
        <f t="shared" si="2"/>
        <v>132</v>
      </c>
      <c r="F193" s="9">
        <f>YEAR(Ventas!G193)</f>
        <v>2016</v>
      </c>
      <c r="G193" s="9">
        <f>MONTH(Ventas!G193)</f>
        <v>8</v>
      </c>
      <c r="H193" s="9" t="str">
        <f>VLOOKUP(Ventas!C193,Países!$A$2:$B$186,2,FALSE)</f>
        <v>Europe</v>
      </c>
      <c r="I193" s="9" t="str">
        <f>Ventas!E193</f>
        <v>Online</v>
      </c>
    </row>
    <row r="194" spans="2:9" x14ac:dyDescent="0.25">
      <c r="B194" s="12">
        <f>Ventas!F194</f>
        <v>179</v>
      </c>
      <c r="C194" s="10">
        <f>VLOOKUP(Ventas!$D194,Productos!$A$1:$D$16,4,FALSE)*Ventas!F194</f>
        <v>1163.5</v>
      </c>
      <c r="D194" s="10">
        <f>VLOOKUP(Ventas!$D194,Productos!$A$1:$D$16,3,FALSE)*Ventas!F194</f>
        <v>626.5</v>
      </c>
      <c r="E194" s="10">
        <f t="shared" si="2"/>
        <v>537</v>
      </c>
      <c r="F194" s="9">
        <f>YEAR(Ventas!G194)</f>
        <v>2016</v>
      </c>
      <c r="G194" s="9">
        <f>MONTH(Ventas!G194)</f>
        <v>8</v>
      </c>
      <c r="H194" s="9" t="str">
        <f>VLOOKUP(Ventas!C194,Países!$A$2:$B$186,2,FALSE)</f>
        <v>Central America and the Caribbean</v>
      </c>
      <c r="I194" s="9" t="str">
        <f>Ventas!E194</f>
        <v>Online</v>
      </c>
    </row>
    <row r="195" spans="2:9" x14ac:dyDescent="0.25">
      <c r="B195" s="12">
        <f>Ventas!F195</f>
        <v>62</v>
      </c>
      <c r="C195" s="10">
        <f>VLOOKUP(Ventas!$D195,Productos!$A$1:$D$16,4,FALSE)*Ventas!F195</f>
        <v>247.38000000000002</v>
      </c>
      <c r="D195" s="10">
        <f>VLOOKUP(Ventas!$D195,Productos!$A$1:$D$16,3,FALSE)*Ventas!F195</f>
        <v>124</v>
      </c>
      <c r="E195" s="10">
        <f t="shared" ref="E195:E258" si="3">C195-D195</f>
        <v>123.38000000000002</v>
      </c>
      <c r="F195" s="9">
        <f>YEAR(Ventas!G195)</f>
        <v>2016</v>
      </c>
      <c r="G195" s="9">
        <f>MONTH(Ventas!G195)</f>
        <v>6</v>
      </c>
      <c r="H195" s="9" t="str">
        <f>VLOOKUP(Ventas!C195,Países!$A$2:$B$186,2,FALSE)</f>
        <v>Asia</v>
      </c>
      <c r="I195" s="9" t="str">
        <f>Ventas!E195</f>
        <v>Online</v>
      </c>
    </row>
    <row r="196" spans="2:9" x14ac:dyDescent="0.25">
      <c r="B196" s="12">
        <f>Ventas!F196</f>
        <v>33</v>
      </c>
      <c r="C196" s="10">
        <f>VLOOKUP(Ventas!$D196,Productos!$A$1:$D$16,4,FALSE)*Ventas!F196</f>
        <v>99</v>
      </c>
      <c r="D196" s="10">
        <f>VLOOKUP(Ventas!$D196,Productos!$A$1:$D$16,3,FALSE)*Ventas!F196</f>
        <v>49.5</v>
      </c>
      <c r="E196" s="10">
        <f t="shared" si="3"/>
        <v>49.5</v>
      </c>
      <c r="F196" s="9">
        <f>YEAR(Ventas!G196)</f>
        <v>2016</v>
      </c>
      <c r="G196" s="9">
        <f>MONTH(Ventas!G196)</f>
        <v>6</v>
      </c>
      <c r="H196" s="9" t="str">
        <f>VLOOKUP(Ventas!C196,Países!$A$2:$B$186,2,FALSE)</f>
        <v>Central America and the Caribbean</v>
      </c>
      <c r="I196" s="9" t="str">
        <f>Ventas!E196</f>
        <v>Retail</v>
      </c>
    </row>
    <row r="197" spans="2:9" x14ac:dyDescent="0.25">
      <c r="B197" s="12">
        <f>Ventas!F197</f>
        <v>21</v>
      </c>
      <c r="C197" s="10">
        <f>VLOOKUP(Ventas!$D197,Productos!$A$1:$D$16,4,FALSE)*Ventas!F197</f>
        <v>126</v>
      </c>
      <c r="D197" s="10">
        <f>VLOOKUP(Ventas!$D197,Productos!$A$1:$D$16,3,FALSE)*Ventas!F197</f>
        <v>63</v>
      </c>
      <c r="E197" s="10">
        <f t="shared" si="3"/>
        <v>63</v>
      </c>
      <c r="F197" s="9">
        <f>YEAR(Ventas!G197)</f>
        <v>2016</v>
      </c>
      <c r="G197" s="9">
        <f>MONTH(Ventas!G197)</f>
        <v>7</v>
      </c>
      <c r="H197" s="9" t="str">
        <f>VLOOKUP(Ventas!C197,Países!$A$2:$B$186,2,FALSE)</f>
        <v>Central America and the Caribbean</v>
      </c>
      <c r="I197" s="9" t="str">
        <f>Ventas!E197</f>
        <v>Retail</v>
      </c>
    </row>
    <row r="198" spans="2:9" x14ac:dyDescent="0.25">
      <c r="B198" s="12">
        <f>Ventas!F198</f>
        <v>69</v>
      </c>
      <c r="C198" s="10">
        <f>VLOOKUP(Ventas!$D198,Productos!$A$1:$D$16,4,FALSE)*Ventas!F198</f>
        <v>138</v>
      </c>
      <c r="D198" s="10">
        <f>VLOOKUP(Ventas!$D198,Productos!$A$1:$D$16,3,FALSE)*Ventas!F198</f>
        <v>69</v>
      </c>
      <c r="E198" s="10">
        <f t="shared" si="3"/>
        <v>69</v>
      </c>
      <c r="F198" s="9">
        <f>YEAR(Ventas!G198)</f>
        <v>2016</v>
      </c>
      <c r="G198" s="9">
        <f>MONTH(Ventas!G198)</f>
        <v>7</v>
      </c>
      <c r="H198" s="9" t="str">
        <f>VLOOKUP(Ventas!C198,Países!$A$2:$B$186,2,FALSE)</f>
        <v>Middle East and North Africa</v>
      </c>
      <c r="I198" s="9" t="str">
        <f>Ventas!E198</f>
        <v>Online</v>
      </c>
    </row>
    <row r="199" spans="2:9" x14ac:dyDescent="0.25">
      <c r="B199" s="12">
        <f>Ventas!F199</f>
        <v>121</v>
      </c>
      <c r="C199" s="10">
        <f>VLOOKUP(Ventas!$D199,Productos!$A$1:$D$16,4,FALSE)*Ventas!F199</f>
        <v>482.79</v>
      </c>
      <c r="D199" s="10">
        <f>VLOOKUP(Ventas!$D199,Productos!$A$1:$D$16,3,FALSE)*Ventas!F199</f>
        <v>242</v>
      </c>
      <c r="E199" s="10">
        <f t="shared" si="3"/>
        <v>240.79000000000002</v>
      </c>
      <c r="F199" s="9">
        <f>YEAR(Ventas!G199)</f>
        <v>2016</v>
      </c>
      <c r="G199" s="9">
        <f>MONTH(Ventas!G199)</f>
        <v>7</v>
      </c>
      <c r="H199" s="9" t="str">
        <f>VLOOKUP(Ventas!C199,Países!$A$2:$B$186,2,FALSE)</f>
        <v>Asia</v>
      </c>
      <c r="I199" s="9" t="str">
        <f>Ventas!E199</f>
        <v>Retail</v>
      </c>
    </row>
    <row r="200" spans="2:9" x14ac:dyDescent="0.25">
      <c r="B200" s="12">
        <f>Ventas!F200</f>
        <v>112</v>
      </c>
      <c r="C200" s="10">
        <f>VLOOKUP(Ventas!$D200,Productos!$A$1:$D$16,4,FALSE)*Ventas!F200</f>
        <v>504</v>
      </c>
      <c r="D200" s="10">
        <f>VLOOKUP(Ventas!$D200,Productos!$A$1:$D$16,3,FALSE)*Ventas!F200</f>
        <v>280</v>
      </c>
      <c r="E200" s="10">
        <f t="shared" si="3"/>
        <v>224</v>
      </c>
      <c r="F200" s="9">
        <f>YEAR(Ventas!G200)</f>
        <v>2016</v>
      </c>
      <c r="G200" s="9">
        <f>MONTH(Ventas!G200)</f>
        <v>8</v>
      </c>
      <c r="H200" s="9" t="str">
        <f>VLOOKUP(Ventas!C200,Países!$A$2:$B$186,2,FALSE)</f>
        <v>Middle East and North Africa</v>
      </c>
      <c r="I200" s="9" t="str">
        <f>Ventas!E200</f>
        <v>Online</v>
      </c>
    </row>
    <row r="201" spans="2:9" x14ac:dyDescent="0.25">
      <c r="B201" s="12">
        <f>Ventas!F201</f>
        <v>42</v>
      </c>
      <c r="C201" s="10">
        <f>VLOOKUP(Ventas!$D201,Productos!$A$1:$D$16,4,FALSE)*Ventas!F201</f>
        <v>252</v>
      </c>
      <c r="D201" s="10">
        <f>VLOOKUP(Ventas!$D201,Productos!$A$1:$D$16,3,FALSE)*Ventas!F201</f>
        <v>126</v>
      </c>
      <c r="E201" s="10">
        <f t="shared" si="3"/>
        <v>126</v>
      </c>
      <c r="F201" s="9">
        <f>YEAR(Ventas!G201)</f>
        <v>2016</v>
      </c>
      <c r="G201" s="9">
        <f>MONTH(Ventas!G201)</f>
        <v>6</v>
      </c>
      <c r="H201" s="9" t="str">
        <f>VLOOKUP(Ventas!C201,Países!$A$2:$B$186,2,FALSE)</f>
        <v>Asia</v>
      </c>
      <c r="I201" s="9" t="str">
        <f>Ventas!E201</f>
        <v>Retail</v>
      </c>
    </row>
    <row r="202" spans="2:9" x14ac:dyDescent="0.25">
      <c r="B202" s="12">
        <f>Ventas!F202</f>
        <v>60</v>
      </c>
      <c r="C202" s="10">
        <f>VLOOKUP(Ventas!$D202,Productos!$A$1:$D$16,4,FALSE)*Ventas!F202</f>
        <v>870</v>
      </c>
      <c r="D202" s="10">
        <f>VLOOKUP(Ventas!$D202,Productos!$A$1:$D$16,3,FALSE)*Ventas!F202</f>
        <v>480</v>
      </c>
      <c r="E202" s="10">
        <f t="shared" si="3"/>
        <v>390</v>
      </c>
      <c r="F202" s="9">
        <f>YEAR(Ventas!G202)</f>
        <v>2016</v>
      </c>
      <c r="G202" s="9">
        <f>MONTH(Ventas!G202)</f>
        <v>4</v>
      </c>
      <c r="H202" s="9" t="str">
        <f>VLOOKUP(Ventas!C202,Países!$A$2:$B$186,2,FALSE)</f>
        <v>Sub-Saharan Africa</v>
      </c>
      <c r="I202" s="9" t="str">
        <f>Ventas!E202</f>
        <v>Retail</v>
      </c>
    </row>
    <row r="203" spans="2:9" x14ac:dyDescent="0.25">
      <c r="B203" s="12">
        <f>Ventas!F203</f>
        <v>202</v>
      </c>
      <c r="C203" s="10">
        <f>VLOOKUP(Ventas!$D203,Productos!$A$1:$D$16,4,FALSE)*Ventas!F203</f>
        <v>1313</v>
      </c>
      <c r="D203" s="10">
        <f>VLOOKUP(Ventas!$D203,Productos!$A$1:$D$16,3,FALSE)*Ventas!F203</f>
        <v>707</v>
      </c>
      <c r="E203" s="10">
        <f t="shared" si="3"/>
        <v>606</v>
      </c>
      <c r="F203" s="9">
        <f>YEAR(Ventas!G203)</f>
        <v>2016</v>
      </c>
      <c r="G203" s="9">
        <f>MONTH(Ventas!G203)</f>
        <v>5</v>
      </c>
      <c r="H203" s="9" t="str">
        <f>VLOOKUP(Ventas!C203,Países!$A$2:$B$186,2,FALSE)</f>
        <v>Australia and Oceania</v>
      </c>
      <c r="I203" s="9" t="str">
        <f>Ventas!E203</f>
        <v>Online</v>
      </c>
    </row>
    <row r="204" spans="2:9" x14ac:dyDescent="0.25">
      <c r="B204" s="12">
        <f>Ventas!F204</f>
        <v>181</v>
      </c>
      <c r="C204" s="10">
        <f>VLOOKUP(Ventas!$D204,Productos!$A$1:$D$16,4,FALSE)*Ventas!F204</f>
        <v>2624.5</v>
      </c>
      <c r="D204" s="10">
        <f>VLOOKUP(Ventas!$D204,Productos!$A$1:$D$16,3,FALSE)*Ventas!F204</f>
        <v>1448</v>
      </c>
      <c r="E204" s="10">
        <f t="shared" si="3"/>
        <v>1176.5</v>
      </c>
      <c r="F204" s="9">
        <f>YEAR(Ventas!G204)</f>
        <v>2016</v>
      </c>
      <c r="G204" s="9">
        <f>MONTH(Ventas!G204)</f>
        <v>4</v>
      </c>
      <c r="H204" s="9" t="str">
        <f>VLOOKUP(Ventas!C204,Países!$A$2:$B$186,2,FALSE)</f>
        <v>Sub-Saharan Africa</v>
      </c>
      <c r="I204" s="9" t="str">
        <f>Ventas!E204</f>
        <v>Retail</v>
      </c>
    </row>
    <row r="205" spans="2:9" x14ac:dyDescent="0.25">
      <c r="B205" s="12">
        <f>Ventas!F205</f>
        <v>28</v>
      </c>
      <c r="C205" s="10">
        <f>VLOOKUP(Ventas!$D205,Productos!$A$1:$D$16,4,FALSE)*Ventas!F205</f>
        <v>168</v>
      </c>
      <c r="D205" s="10">
        <f>VLOOKUP(Ventas!$D205,Productos!$A$1:$D$16,3,FALSE)*Ventas!F205</f>
        <v>84</v>
      </c>
      <c r="E205" s="10">
        <f t="shared" si="3"/>
        <v>84</v>
      </c>
      <c r="F205" s="9">
        <f>YEAR(Ventas!G205)</f>
        <v>2016</v>
      </c>
      <c r="G205" s="9">
        <f>MONTH(Ventas!G205)</f>
        <v>4</v>
      </c>
      <c r="H205" s="9" t="str">
        <f>VLOOKUP(Ventas!C205,Países!$A$2:$B$186,2,FALSE)</f>
        <v>Central America and the Caribbean</v>
      </c>
      <c r="I205" s="9" t="str">
        <f>Ventas!E205</f>
        <v>Online</v>
      </c>
    </row>
    <row r="206" spans="2:9" x14ac:dyDescent="0.25">
      <c r="B206" s="12">
        <f>Ventas!F206</f>
        <v>79</v>
      </c>
      <c r="C206" s="10">
        <f>VLOOKUP(Ventas!$D206,Productos!$A$1:$D$16,4,FALSE)*Ventas!F206</f>
        <v>711</v>
      </c>
      <c r="D206" s="10">
        <f>VLOOKUP(Ventas!$D206,Productos!$A$1:$D$16,3,FALSE)*Ventas!F206</f>
        <v>474</v>
      </c>
      <c r="E206" s="10">
        <f t="shared" si="3"/>
        <v>237</v>
      </c>
      <c r="F206" s="9">
        <f>YEAR(Ventas!G206)</f>
        <v>2016</v>
      </c>
      <c r="G206" s="9">
        <f>MONTH(Ventas!G206)</f>
        <v>5</v>
      </c>
      <c r="H206" s="9" t="str">
        <f>VLOOKUP(Ventas!C206,Países!$A$2:$B$186,2,FALSE)</f>
        <v>Sub-Saharan Africa</v>
      </c>
      <c r="I206" s="9" t="str">
        <f>Ventas!E206</f>
        <v>Online</v>
      </c>
    </row>
    <row r="207" spans="2:9" x14ac:dyDescent="0.25">
      <c r="B207" s="12">
        <f>Ventas!F207</f>
        <v>10</v>
      </c>
      <c r="C207" s="10">
        <f>VLOOKUP(Ventas!$D207,Productos!$A$1:$D$16,4,FALSE)*Ventas!F207</f>
        <v>90</v>
      </c>
      <c r="D207" s="10">
        <f>VLOOKUP(Ventas!$D207,Productos!$A$1:$D$16,3,FALSE)*Ventas!F207</f>
        <v>60</v>
      </c>
      <c r="E207" s="10">
        <f t="shared" si="3"/>
        <v>30</v>
      </c>
      <c r="F207" s="9">
        <f>YEAR(Ventas!G207)</f>
        <v>2016</v>
      </c>
      <c r="G207" s="9">
        <f>MONTH(Ventas!G207)</f>
        <v>5</v>
      </c>
      <c r="H207" s="9" t="str">
        <f>VLOOKUP(Ventas!C207,Países!$A$2:$B$186,2,FALSE)</f>
        <v>Sub-Saharan Africa</v>
      </c>
      <c r="I207" s="9" t="str">
        <f>Ventas!E207</f>
        <v>Online</v>
      </c>
    </row>
    <row r="208" spans="2:9" x14ac:dyDescent="0.25">
      <c r="B208" s="12">
        <f>Ventas!F208</f>
        <v>41</v>
      </c>
      <c r="C208" s="10">
        <f>VLOOKUP(Ventas!$D208,Productos!$A$1:$D$16,4,FALSE)*Ventas!F208</f>
        <v>594.5</v>
      </c>
      <c r="D208" s="10">
        <f>VLOOKUP(Ventas!$D208,Productos!$A$1:$D$16,3,FALSE)*Ventas!F208</f>
        <v>328</v>
      </c>
      <c r="E208" s="10">
        <f t="shared" si="3"/>
        <v>266.5</v>
      </c>
      <c r="F208" s="9">
        <f>YEAR(Ventas!G208)</f>
        <v>2016</v>
      </c>
      <c r="G208" s="9">
        <f>MONTH(Ventas!G208)</f>
        <v>5</v>
      </c>
      <c r="H208" s="9" t="str">
        <f>VLOOKUP(Ventas!C208,Países!$A$2:$B$186,2,FALSE)</f>
        <v>Asia</v>
      </c>
      <c r="I208" s="9" t="str">
        <f>Ventas!E208</f>
        <v>Online</v>
      </c>
    </row>
    <row r="209" spans="2:9" x14ac:dyDescent="0.25">
      <c r="B209" s="12">
        <f>Ventas!F209</f>
        <v>5</v>
      </c>
      <c r="C209" s="10">
        <f>VLOOKUP(Ventas!$D209,Productos!$A$1:$D$16,4,FALSE)*Ventas!F209</f>
        <v>19.950000000000003</v>
      </c>
      <c r="D209" s="10">
        <f>VLOOKUP(Ventas!$D209,Productos!$A$1:$D$16,3,FALSE)*Ventas!F209</f>
        <v>10</v>
      </c>
      <c r="E209" s="10">
        <f t="shared" si="3"/>
        <v>9.9500000000000028</v>
      </c>
      <c r="F209" s="9">
        <f>YEAR(Ventas!G209)</f>
        <v>2016</v>
      </c>
      <c r="G209" s="9">
        <f>MONTH(Ventas!G209)</f>
        <v>4</v>
      </c>
      <c r="H209" s="9" t="str">
        <f>VLOOKUP(Ventas!C209,Países!$A$2:$B$186,2,FALSE)</f>
        <v>Australia and Oceania</v>
      </c>
      <c r="I209" s="9" t="str">
        <f>Ventas!E209</f>
        <v>Online</v>
      </c>
    </row>
    <row r="210" spans="2:9" x14ac:dyDescent="0.25">
      <c r="B210" s="12">
        <f>Ventas!F210</f>
        <v>129</v>
      </c>
      <c r="C210" s="10">
        <f>VLOOKUP(Ventas!$D210,Productos!$A$1:$D$16,4,FALSE)*Ventas!F210</f>
        <v>514.71</v>
      </c>
      <c r="D210" s="10">
        <f>VLOOKUP(Ventas!$D210,Productos!$A$1:$D$16,3,FALSE)*Ventas!F210</f>
        <v>258</v>
      </c>
      <c r="E210" s="10">
        <f t="shared" si="3"/>
        <v>256.71000000000004</v>
      </c>
      <c r="F210" s="9">
        <f>YEAR(Ventas!G210)</f>
        <v>2016</v>
      </c>
      <c r="G210" s="9">
        <f>MONTH(Ventas!G210)</f>
        <v>5</v>
      </c>
      <c r="H210" s="9" t="str">
        <f>VLOOKUP(Ventas!C210,Países!$A$2:$B$186,2,FALSE)</f>
        <v>Middle East and North Africa</v>
      </c>
      <c r="I210" s="9" t="str">
        <f>Ventas!E210</f>
        <v>Online</v>
      </c>
    </row>
    <row r="211" spans="2:9" x14ac:dyDescent="0.25">
      <c r="B211" s="12">
        <f>Ventas!F211</f>
        <v>210</v>
      </c>
      <c r="C211" s="10">
        <f>VLOOKUP(Ventas!$D211,Productos!$A$1:$D$16,4,FALSE)*Ventas!F211</f>
        <v>630</v>
      </c>
      <c r="D211" s="10">
        <f>VLOOKUP(Ventas!$D211,Productos!$A$1:$D$16,3,FALSE)*Ventas!F211</f>
        <v>315</v>
      </c>
      <c r="E211" s="10">
        <f t="shared" si="3"/>
        <v>315</v>
      </c>
      <c r="F211" s="9">
        <f>YEAR(Ventas!G211)</f>
        <v>2016</v>
      </c>
      <c r="G211" s="9">
        <f>MONTH(Ventas!G211)</f>
        <v>4</v>
      </c>
      <c r="H211" s="9" t="str">
        <f>VLOOKUP(Ventas!C211,Países!$A$2:$B$186,2,FALSE)</f>
        <v>Sub-Saharan Africa</v>
      </c>
      <c r="I211" s="9" t="str">
        <f>Ventas!E211</f>
        <v>Retail</v>
      </c>
    </row>
    <row r="212" spans="2:9" x14ac:dyDescent="0.25">
      <c r="B212" s="12">
        <f>Ventas!F212</f>
        <v>209</v>
      </c>
      <c r="C212" s="10">
        <f>VLOOKUP(Ventas!$D212,Productos!$A$1:$D$16,4,FALSE)*Ventas!F212</f>
        <v>2087.91</v>
      </c>
      <c r="D212" s="10">
        <f>VLOOKUP(Ventas!$D212,Productos!$A$1:$D$16,3,FALSE)*Ventas!F212</f>
        <v>1045</v>
      </c>
      <c r="E212" s="10">
        <f t="shared" si="3"/>
        <v>1042.9099999999999</v>
      </c>
      <c r="F212" s="9">
        <f>YEAR(Ventas!G212)</f>
        <v>2016</v>
      </c>
      <c r="G212" s="9">
        <f>MONTH(Ventas!G212)</f>
        <v>5</v>
      </c>
      <c r="H212" s="9" t="str">
        <f>VLOOKUP(Ventas!C212,Países!$A$2:$B$186,2,FALSE)</f>
        <v>Europe</v>
      </c>
      <c r="I212" s="9" t="str">
        <f>Ventas!E212</f>
        <v>Direct</v>
      </c>
    </row>
    <row r="213" spans="2:9" x14ac:dyDescent="0.25">
      <c r="B213" s="12">
        <f>Ventas!F213</f>
        <v>55</v>
      </c>
      <c r="C213" s="10">
        <f>VLOOKUP(Ventas!$D213,Productos!$A$1:$D$16,4,FALSE)*Ventas!F213</f>
        <v>357.5</v>
      </c>
      <c r="D213" s="10">
        <f>VLOOKUP(Ventas!$D213,Productos!$A$1:$D$16,3,FALSE)*Ventas!F213</f>
        <v>192.5</v>
      </c>
      <c r="E213" s="10">
        <f t="shared" si="3"/>
        <v>165</v>
      </c>
      <c r="F213" s="9">
        <f>YEAR(Ventas!G213)</f>
        <v>2016</v>
      </c>
      <c r="G213" s="9">
        <f>MONTH(Ventas!G213)</f>
        <v>4</v>
      </c>
      <c r="H213" s="9" t="str">
        <f>VLOOKUP(Ventas!C213,Países!$A$2:$B$186,2,FALSE)</f>
        <v>Middle East and North Africa</v>
      </c>
      <c r="I213" s="9" t="str">
        <f>Ventas!E213</f>
        <v>Online</v>
      </c>
    </row>
    <row r="214" spans="2:9" x14ac:dyDescent="0.25">
      <c r="B214" s="12">
        <f>Ventas!F214</f>
        <v>49</v>
      </c>
      <c r="C214" s="10">
        <f>VLOOKUP(Ventas!$D214,Productos!$A$1:$D$16,4,FALSE)*Ventas!F214</f>
        <v>318.5</v>
      </c>
      <c r="D214" s="10">
        <f>VLOOKUP(Ventas!$D214,Productos!$A$1:$D$16,3,FALSE)*Ventas!F214</f>
        <v>171.5</v>
      </c>
      <c r="E214" s="10">
        <f t="shared" si="3"/>
        <v>147</v>
      </c>
      <c r="F214" s="9">
        <f>YEAR(Ventas!G214)</f>
        <v>2016</v>
      </c>
      <c r="G214" s="9">
        <f>MONTH(Ventas!G214)</f>
        <v>4</v>
      </c>
      <c r="H214" s="9" t="str">
        <f>VLOOKUP(Ventas!C214,Países!$A$2:$B$186,2,FALSE)</f>
        <v>Sub-Saharan Africa</v>
      </c>
      <c r="I214" s="9" t="str">
        <f>Ventas!E214</f>
        <v>Retail</v>
      </c>
    </row>
    <row r="215" spans="2:9" x14ac:dyDescent="0.25">
      <c r="B215" s="12">
        <f>Ventas!F215</f>
        <v>16</v>
      </c>
      <c r="C215" s="10">
        <f>VLOOKUP(Ventas!$D215,Productos!$A$1:$D$16,4,FALSE)*Ventas!F215</f>
        <v>72</v>
      </c>
      <c r="D215" s="10">
        <f>VLOOKUP(Ventas!$D215,Productos!$A$1:$D$16,3,FALSE)*Ventas!F215</f>
        <v>40</v>
      </c>
      <c r="E215" s="10">
        <f t="shared" si="3"/>
        <v>32</v>
      </c>
      <c r="F215" s="9">
        <f>YEAR(Ventas!G215)</f>
        <v>2016</v>
      </c>
      <c r="G215" s="9">
        <f>MONTH(Ventas!G215)</f>
        <v>5</v>
      </c>
      <c r="H215" s="9" t="str">
        <f>VLOOKUP(Ventas!C215,Países!$A$2:$B$186,2,FALSE)</f>
        <v>Central America and the Caribbean</v>
      </c>
      <c r="I215" s="9" t="str">
        <f>Ventas!E215</f>
        <v>Retail</v>
      </c>
    </row>
    <row r="216" spans="2:9" x14ac:dyDescent="0.25">
      <c r="B216" s="12">
        <f>Ventas!F216</f>
        <v>29</v>
      </c>
      <c r="C216" s="10">
        <f>VLOOKUP(Ventas!$D216,Productos!$A$1:$D$16,4,FALSE)*Ventas!F216</f>
        <v>202.71</v>
      </c>
      <c r="D216" s="10">
        <f>VLOOKUP(Ventas!$D216,Productos!$A$1:$D$16,3,FALSE)*Ventas!F216</f>
        <v>101.5</v>
      </c>
      <c r="E216" s="10">
        <f t="shared" si="3"/>
        <v>101.21000000000001</v>
      </c>
      <c r="F216" s="9">
        <f>YEAR(Ventas!G216)</f>
        <v>2016</v>
      </c>
      <c r="G216" s="9">
        <f>MONTH(Ventas!G216)</f>
        <v>4</v>
      </c>
      <c r="H216" s="9" t="str">
        <f>VLOOKUP(Ventas!C216,Países!$A$2:$B$186,2,FALSE)</f>
        <v>Asia</v>
      </c>
      <c r="I216" s="9" t="str">
        <f>Ventas!E216</f>
        <v>Direct</v>
      </c>
    </row>
    <row r="217" spans="2:9" x14ac:dyDescent="0.25">
      <c r="B217" s="12">
        <f>Ventas!F217</f>
        <v>164</v>
      </c>
      <c r="C217" s="10">
        <f>VLOOKUP(Ventas!$D217,Productos!$A$1:$D$16,4,FALSE)*Ventas!F217</f>
        <v>1638.3600000000001</v>
      </c>
      <c r="D217" s="10">
        <f>VLOOKUP(Ventas!$D217,Productos!$A$1:$D$16,3,FALSE)*Ventas!F217</f>
        <v>820</v>
      </c>
      <c r="E217" s="10">
        <f t="shared" si="3"/>
        <v>818.36000000000013</v>
      </c>
      <c r="F217" s="9">
        <f>YEAR(Ventas!G217)</f>
        <v>2016</v>
      </c>
      <c r="G217" s="9">
        <f>MONTH(Ventas!G217)</f>
        <v>5</v>
      </c>
      <c r="H217" s="9" t="str">
        <f>VLOOKUP(Ventas!C217,Países!$A$2:$B$186,2,FALSE)</f>
        <v>Asia</v>
      </c>
      <c r="I217" s="9" t="str">
        <f>Ventas!E217</f>
        <v>Retail</v>
      </c>
    </row>
    <row r="218" spans="2:9" x14ac:dyDescent="0.25">
      <c r="B218" s="12">
        <f>Ventas!F218</f>
        <v>173</v>
      </c>
      <c r="C218" s="10">
        <f>VLOOKUP(Ventas!$D218,Productos!$A$1:$D$16,4,FALSE)*Ventas!F218</f>
        <v>778.5</v>
      </c>
      <c r="D218" s="10">
        <f>VLOOKUP(Ventas!$D218,Productos!$A$1:$D$16,3,FALSE)*Ventas!F218</f>
        <v>432.5</v>
      </c>
      <c r="E218" s="10">
        <f t="shared" si="3"/>
        <v>346</v>
      </c>
      <c r="F218" s="9">
        <f>YEAR(Ventas!G218)</f>
        <v>2016</v>
      </c>
      <c r="G218" s="9">
        <f>MONTH(Ventas!G218)</f>
        <v>4</v>
      </c>
      <c r="H218" s="9" t="str">
        <f>VLOOKUP(Ventas!C218,Países!$A$2:$B$186,2,FALSE)</f>
        <v>Sub-Saharan Africa</v>
      </c>
      <c r="I218" s="9" t="str">
        <f>Ventas!E218</f>
        <v>Direct</v>
      </c>
    </row>
    <row r="219" spans="2:9" x14ac:dyDescent="0.25">
      <c r="B219" s="12">
        <f>Ventas!F219</f>
        <v>119</v>
      </c>
      <c r="C219" s="10">
        <f>VLOOKUP(Ventas!$D219,Productos!$A$1:$D$16,4,FALSE)*Ventas!F219</f>
        <v>474.81</v>
      </c>
      <c r="D219" s="10">
        <f>VLOOKUP(Ventas!$D219,Productos!$A$1:$D$16,3,FALSE)*Ventas!F219</f>
        <v>238</v>
      </c>
      <c r="E219" s="10">
        <f t="shared" si="3"/>
        <v>236.81</v>
      </c>
      <c r="F219" s="9">
        <f>YEAR(Ventas!G219)</f>
        <v>2016</v>
      </c>
      <c r="G219" s="9">
        <f>MONTH(Ventas!G219)</f>
        <v>4</v>
      </c>
      <c r="H219" s="9" t="str">
        <f>VLOOKUP(Ventas!C219,Países!$A$2:$B$186,2,FALSE)</f>
        <v>Europe</v>
      </c>
      <c r="I219" s="9" t="str">
        <f>Ventas!E219</f>
        <v>Online</v>
      </c>
    </row>
    <row r="220" spans="2:9" x14ac:dyDescent="0.25">
      <c r="B220" s="12">
        <f>Ventas!F220</f>
        <v>111</v>
      </c>
      <c r="C220" s="10">
        <f>VLOOKUP(Ventas!$D220,Productos!$A$1:$D$16,4,FALSE)*Ventas!F220</f>
        <v>333</v>
      </c>
      <c r="D220" s="10">
        <f>VLOOKUP(Ventas!$D220,Productos!$A$1:$D$16,3,FALSE)*Ventas!F220</f>
        <v>166.5</v>
      </c>
      <c r="E220" s="10">
        <f t="shared" si="3"/>
        <v>166.5</v>
      </c>
      <c r="F220" s="9">
        <f>YEAR(Ventas!G220)</f>
        <v>2016</v>
      </c>
      <c r="G220" s="9">
        <f>MONTH(Ventas!G220)</f>
        <v>5</v>
      </c>
      <c r="H220" s="9" t="str">
        <f>VLOOKUP(Ventas!C220,Países!$A$2:$B$186,2,FALSE)</f>
        <v>Central America and the Caribbean</v>
      </c>
      <c r="I220" s="9" t="str">
        <f>Ventas!E220</f>
        <v>Online</v>
      </c>
    </row>
    <row r="221" spans="2:9" x14ac:dyDescent="0.25">
      <c r="B221" s="12">
        <f>Ventas!F221</f>
        <v>20</v>
      </c>
      <c r="C221" s="10">
        <f>VLOOKUP(Ventas!$D221,Productos!$A$1:$D$16,4,FALSE)*Ventas!F221</f>
        <v>139.80000000000001</v>
      </c>
      <c r="D221" s="10">
        <f>VLOOKUP(Ventas!$D221,Productos!$A$1:$D$16,3,FALSE)*Ventas!F221</f>
        <v>70</v>
      </c>
      <c r="E221" s="10">
        <f t="shared" si="3"/>
        <v>69.800000000000011</v>
      </c>
      <c r="F221" s="9">
        <f>YEAR(Ventas!G221)</f>
        <v>2016</v>
      </c>
      <c r="G221" s="9">
        <f>MONTH(Ventas!G221)</f>
        <v>5</v>
      </c>
      <c r="H221" s="9" t="str">
        <f>VLOOKUP(Ventas!C221,Países!$A$2:$B$186,2,FALSE)</f>
        <v>Asia</v>
      </c>
      <c r="I221" s="9" t="str">
        <f>Ventas!E221</f>
        <v>Retail</v>
      </c>
    </row>
    <row r="222" spans="2:9" x14ac:dyDescent="0.25">
      <c r="B222" s="12">
        <f>Ventas!F222</f>
        <v>197</v>
      </c>
      <c r="C222" s="10">
        <f>VLOOKUP(Ventas!$D222,Productos!$A$1:$D$16,4,FALSE)*Ventas!F222</f>
        <v>786.03000000000009</v>
      </c>
      <c r="D222" s="10">
        <f>VLOOKUP(Ventas!$D222,Productos!$A$1:$D$16,3,FALSE)*Ventas!F222</f>
        <v>394</v>
      </c>
      <c r="E222" s="10">
        <f t="shared" si="3"/>
        <v>392.03000000000009</v>
      </c>
      <c r="F222" s="9">
        <f>YEAR(Ventas!G222)</f>
        <v>2016</v>
      </c>
      <c r="G222" s="9">
        <f>MONTH(Ventas!G222)</f>
        <v>4</v>
      </c>
      <c r="H222" s="9" t="str">
        <f>VLOOKUP(Ventas!C222,Países!$A$2:$B$186,2,FALSE)</f>
        <v>Sub-Saharan Africa</v>
      </c>
      <c r="I222" s="9" t="str">
        <f>Ventas!E222</f>
        <v>Online</v>
      </c>
    </row>
    <row r="223" spans="2:9" x14ac:dyDescent="0.25">
      <c r="B223" s="12">
        <f>Ventas!F223</f>
        <v>122</v>
      </c>
      <c r="C223" s="10">
        <f>VLOOKUP(Ventas!$D223,Productos!$A$1:$D$16,4,FALSE)*Ventas!F223</f>
        <v>244</v>
      </c>
      <c r="D223" s="10">
        <f>VLOOKUP(Ventas!$D223,Productos!$A$1:$D$16,3,FALSE)*Ventas!F223</f>
        <v>122</v>
      </c>
      <c r="E223" s="10">
        <f t="shared" si="3"/>
        <v>122</v>
      </c>
      <c r="F223" s="9">
        <f>YEAR(Ventas!G223)</f>
        <v>2016</v>
      </c>
      <c r="G223" s="9">
        <f>MONTH(Ventas!G223)</f>
        <v>5</v>
      </c>
      <c r="H223" s="9" t="str">
        <f>VLOOKUP(Ventas!C223,Países!$A$2:$B$186,2,FALSE)</f>
        <v>Asia</v>
      </c>
      <c r="I223" s="9" t="str">
        <f>Ventas!E223</f>
        <v>Retail</v>
      </c>
    </row>
    <row r="224" spans="2:9" x14ac:dyDescent="0.25">
      <c r="B224" s="12">
        <f>Ventas!F224</f>
        <v>51</v>
      </c>
      <c r="C224" s="10">
        <f>VLOOKUP(Ventas!$D224,Productos!$A$1:$D$16,4,FALSE)*Ventas!F224</f>
        <v>229.5</v>
      </c>
      <c r="D224" s="10">
        <f>VLOOKUP(Ventas!$D224,Productos!$A$1:$D$16,3,FALSE)*Ventas!F224</f>
        <v>127.5</v>
      </c>
      <c r="E224" s="10">
        <f t="shared" si="3"/>
        <v>102</v>
      </c>
      <c r="F224" s="9">
        <f>YEAR(Ventas!G224)</f>
        <v>2016</v>
      </c>
      <c r="G224" s="9">
        <f>MONTH(Ventas!G224)</f>
        <v>5</v>
      </c>
      <c r="H224" s="9" t="str">
        <f>VLOOKUP(Ventas!C224,Países!$A$2:$B$186,2,FALSE)</f>
        <v>Central America and the Caribbean</v>
      </c>
      <c r="I224" s="9" t="str">
        <f>Ventas!E224</f>
        <v>Direct</v>
      </c>
    </row>
    <row r="225" spans="2:9" x14ac:dyDescent="0.25">
      <c r="B225" s="12">
        <f>Ventas!F225</f>
        <v>38</v>
      </c>
      <c r="C225" s="10">
        <f>VLOOKUP(Ventas!$D225,Productos!$A$1:$D$16,4,FALSE)*Ventas!F225</f>
        <v>551</v>
      </c>
      <c r="D225" s="10">
        <f>VLOOKUP(Ventas!$D225,Productos!$A$1:$D$16,3,FALSE)*Ventas!F225</f>
        <v>304</v>
      </c>
      <c r="E225" s="10">
        <f t="shared" si="3"/>
        <v>247</v>
      </c>
      <c r="F225" s="9">
        <f>YEAR(Ventas!G225)</f>
        <v>2016</v>
      </c>
      <c r="G225" s="9">
        <f>MONTH(Ventas!G225)</f>
        <v>5</v>
      </c>
      <c r="H225" s="9" t="str">
        <f>VLOOKUP(Ventas!C225,Países!$A$2:$B$186,2,FALSE)</f>
        <v>Middle East and North Africa</v>
      </c>
      <c r="I225" s="9" t="str">
        <f>Ventas!E225</f>
        <v>Online</v>
      </c>
    </row>
    <row r="226" spans="2:9" x14ac:dyDescent="0.25">
      <c r="B226" s="12">
        <f>Ventas!F226</f>
        <v>206</v>
      </c>
      <c r="C226" s="10">
        <f>VLOOKUP(Ventas!$D226,Productos!$A$1:$D$16,4,FALSE)*Ventas!F226</f>
        <v>2987</v>
      </c>
      <c r="D226" s="10">
        <f>VLOOKUP(Ventas!$D226,Productos!$A$1:$D$16,3,FALSE)*Ventas!F226</f>
        <v>1648</v>
      </c>
      <c r="E226" s="10">
        <f t="shared" si="3"/>
        <v>1339</v>
      </c>
      <c r="F226" s="9">
        <f>YEAR(Ventas!G226)</f>
        <v>2016</v>
      </c>
      <c r="G226" s="9">
        <f>MONTH(Ventas!G226)</f>
        <v>5</v>
      </c>
      <c r="H226" s="9" t="str">
        <f>VLOOKUP(Ventas!C226,Países!$A$2:$B$186,2,FALSE)</f>
        <v>Europe</v>
      </c>
      <c r="I226" s="9" t="str">
        <f>Ventas!E226</f>
        <v>Retail</v>
      </c>
    </row>
    <row r="227" spans="2:9" x14ac:dyDescent="0.25">
      <c r="B227" s="12">
        <f>Ventas!F227</f>
        <v>143</v>
      </c>
      <c r="C227" s="10">
        <f>VLOOKUP(Ventas!$D227,Productos!$A$1:$D$16,4,FALSE)*Ventas!F227</f>
        <v>929.5</v>
      </c>
      <c r="D227" s="10">
        <f>VLOOKUP(Ventas!$D227,Productos!$A$1:$D$16,3,FALSE)*Ventas!F227</f>
        <v>500.5</v>
      </c>
      <c r="E227" s="10">
        <f t="shared" si="3"/>
        <v>429</v>
      </c>
      <c r="F227" s="9">
        <f>YEAR(Ventas!G227)</f>
        <v>2016</v>
      </c>
      <c r="G227" s="9">
        <f>MONTH(Ventas!G227)</f>
        <v>5</v>
      </c>
      <c r="H227" s="9" t="str">
        <f>VLOOKUP(Ventas!C227,Países!$A$2:$B$186,2,FALSE)</f>
        <v>Middle East and North Africa</v>
      </c>
      <c r="I227" s="9" t="str">
        <f>Ventas!E227</f>
        <v>Online</v>
      </c>
    </row>
    <row r="228" spans="2:9" x14ac:dyDescent="0.25">
      <c r="B228" s="12">
        <f>Ventas!F228</f>
        <v>134</v>
      </c>
      <c r="C228" s="10">
        <f>VLOOKUP(Ventas!$D228,Productos!$A$1:$D$16,4,FALSE)*Ventas!F228</f>
        <v>603</v>
      </c>
      <c r="D228" s="10">
        <f>VLOOKUP(Ventas!$D228,Productos!$A$1:$D$16,3,FALSE)*Ventas!F228</f>
        <v>335</v>
      </c>
      <c r="E228" s="10">
        <f t="shared" si="3"/>
        <v>268</v>
      </c>
      <c r="F228" s="9">
        <f>YEAR(Ventas!G228)</f>
        <v>2016</v>
      </c>
      <c r="G228" s="9">
        <f>MONTH(Ventas!G228)</f>
        <v>4</v>
      </c>
      <c r="H228" s="9" t="str">
        <f>VLOOKUP(Ventas!C228,Países!$A$2:$B$186,2,FALSE)</f>
        <v>Asia</v>
      </c>
      <c r="I228" s="9" t="str">
        <f>Ventas!E228</f>
        <v>Retail</v>
      </c>
    </row>
    <row r="229" spans="2:9" x14ac:dyDescent="0.25">
      <c r="B229" s="12">
        <f>Ventas!F229</f>
        <v>101</v>
      </c>
      <c r="C229" s="10">
        <f>VLOOKUP(Ventas!$D229,Productos!$A$1:$D$16,4,FALSE)*Ventas!F229</f>
        <v>1464.5</v>
      </c>
      <c r="D229" s="10">
        <f>VLOOKUP(Ventas!$D229,Productos!$A$1:$D$16,3,FALSE)*Ventas!F229</f>
        <v>808</v>
      </c>
      <c r="E229" s="10">
        <f t="shared" si="3"/>
        <v>656.5</v>
      </c>
      <c r="F229" s="9">
        <f>YEAR(Ventas!G229)</f>
        <v>2016</v>
      </c>
      <c r="G229" s="9">
        <f>MONTH(Ventas!G229)</f>
        <v>4</v>
      </c>
      <c r="H229" s="9" t="str">
        <f>VLOOKUP(Ventas!C229,Países!$A$2:$B$186,2,FALSE)</f>
        <v>Australia and Oceania</v>
      </c>
      <c r="I229" s="9" t="str">
        <f>Ventas!E229</f>
        <v>Retail</v>
      </c>
    </row>
    <row r="230" spans="2:9" x14ac:dyDescent="0.25">
      <c r="B230" s="12">
        <f>Ventas!F230</f>
        <v>173</v>
      </c>
      <c r="C230" s="10">
        <f>VLOOKUP(Ventas!$D230,Productos!$A$1:$D$16,4,FALSE)*Ventas!F230</f>
        <v>778.5</v>
      </c>
      <c r="D230" s="10">
        <f>VLOOKUP(Ventas!$D230,Productos!$A$1:$D$16,3,FALSE)*Ventas!F230</f>
        <v>432.5</v>
      </c>
      <c r="E230" s="10">
        <f t="shared" si="3"/>
        <v>346</v>
      </c>
      <c r="F230" s="9">
        <f>YEAR(Ventas!G230)</f>
        <v>2016</v>
      </c>
      <c r="G230" s="9">
        <f>MONTH(Ventas!G230)</f>
        <v>4</v>
      </c>
      <c r="H230" s="9" t="str">
        <f>VLOOKUP(Ventas!C230,Países!$A$2:$B$186,2,FALSE)</f>
        <v>Europe</v>
      </c>
      <c r="I230" s="9" t="str">
        <f>Ventas!E230</f>
        <v>Direct</v>
      </c>
    </row>
    <row r="231" spans="2:9" x14ac:dyDescent="0.25">
      <c r="B231" s="12">
        <f>Ventas!F231</f>
        <v>87</v>
      </c>
      <c r="C231" s="10">
        <f>VLOOKUP(Ventas!$D231,Productos!$A$1:$D$16,4,FALSE)*Ventas!F231</f>
        <v>608.13</v>
      </c>
      <c r="D231" s="10">
        <f>VLOOKUP(Ventas!$D231,Productos!$A$1:$D$16,3,FALSE)*Ventas!F231</f>
        <v>304.5</v>
      </c>
      <c r="E231" s="10">
        <f t="shared" si="3"/>
        <v>303.63</v>
      </c>
      <c r="F231" s="9">
        <f>YEAR(Ventas!G231)</f>
        <v>2016</v>
      </c>
      <c r="G231" s="9">
        <f>MONTH(Ventas!G231)</f>
        <v>4</v>
      </c>
      <c r="H231" s="9" t="str">
        <f>VLOOKUP(Ventas!C231,Países!$A$2:$B$186,2,FALSE)</f>
        <v>Sub-Saharan Africa</v>
      </c>
      <c r="I231" s="9" t="str">
        <f>Ventas!E231</f>
        <v>Online</v>
      </c>
    </row>
    <row r="232" spans="2:9" x14ac:dyDescent="0.25">
      <c r="B232" s="12">
        <f>Ventas!F232</f>
        <v>6</v>
      </c>
      <c r="C232" s="10">
        <f>VLOOKUP(Ventas!$D232,Productos!$A$1:$D$16,4,FALSE)*Ventas!F232</f>
        <v>18</v>
      </c>
      <c r="D232" s="10">
        <f>VLOOKUP(Ventas!$D232,Productos!$A$1:$D$16,3,FALSE)*Ventas!F232</f>
        <v>9</v>
      </c>
      <c r="E232" s="10">
        <f t="shared" si="3"/>
        <v>9</v>
      </c>
      <c r="F232" s="9">
        <f>YEAR(Ventas!G232)</f>
        <v>2016</v>
      </c>
      <c r="G232" s="9">
        <f>MONTH(Ventas!G232)</f>
        <v>5</v>
      </c>
      <c r="H232" s="9" t="str">
        <f>VLOOKUP(Ventas!C232,Países!$A$2:$B$186,2,FALSE)</f>
        <v>Sub-Saharan Africa</v>
      </c>
      <c r="I232" s="9" t="str">
        <f>Ventas!E232</f>
        <v>Online</v>
      </c>
    </row>
    <row r="233" spans="2:9" x14ac:dyDescent="0.25">
      <c r="B233" s="12">
        <f>Ventas!F233</f>
        <v>176</v>
      </c>
      <c r="C233" s="10">
        <f>VLOOKUP(Ventas!$D233,Productos!$A$1:$D$16,4,FALSE)*Ventas!F233</f>
        <v>352</v>
      </c>
      <c r="D233" s="10">
        <f>VLOOKUP(Ventas!$D233,Productos!$A$1:$D$16,3,FALSE)*Ventas!F233</f>
        <v>176</v>
      </c>
      <c r="E233" s="10">
        <f t="shared" si="3"/>
        <v>176</v>
      </c>
      <c r="F233" s="9">
        <f>YEAR(Ventas!G233)</f>
        <v>2016</v>
      </c>
      <c r="G233" s="9">
        <f>MONTH(Ventas!G233)</f>
        <v>5</v>
      </c>
      <c r="H233" s="9" t="str">
        <f>VLOOKUP(Ventas!C233,Países!$A$2:$B$186,2,FALSE)</f>
        <v>Sub-Saharan Africa</v>
      </c>
      <c r="I233" s="9" t="str">
        <f>Ventas!E233</f>
        <v>Online</v>
      </c>
    </row>
    <row r="234" spans="2:9" x14ac:dyDescent="0.25">
      <c r="B234" s="12">
        <f>Ventas!F234</f>
        <v>77</v>
      </c>
      <c r="C234" s="10">
        <f>VLOOKUP(Ventas!$D234,Productos!$A$1:$D$16,4,FALSE)*Ventas!F234</f>
        <v>307.23</v>
      </c>
      <c r="D234" s="10">
        <f>VLOOKUP(Ventas!$D234,Productos!$A$1:$D$16,3,FALSE)*Ventas!F234</f>
        <v>154</v>
      </c>
      <c r="E234" s="10">
        <f t="shared" si="3"/>
        <v>153.23000000000002</v>
      </c>
      <c r="F234" s="9">
        <f>YEAR(Ventas!G234)</f>
        <v>2016</v>
      </c>
      <c r="G234" s="9">
        <f>MONTH(Ventas!G234)</f>
        <v>4</v>
      </c>
      <c r="H234" s="9" t="str">
        <f>VLOOKUP(Ventas!C234,Países!$A$2:$B$186,2,FALSE)</f>
        <v>Europe</v>
      </c>
      <c r="I234" s="9" t="str">
        <f>Ventas!E234</f>
        <v>Online</v>
      </c>
    </row>
    <row r="235" spans="2:9" x14ac:dyDescent="0.25">
      <c r="B235" s="12">
        <f>Ventas!F235</f>
        <v>192</v>
      </c>
      <c r="C235" s="10">
        <f>VLOOKUP(Ventas!$D235,Productos!$A$1:$D$16,4,FALSE)*Ventas!F235</f>
        <v>384</v>
      </c>
      <c r="D235" s="10">
        <f>VLOOKUP(Ventas!$D235,Productos!$A$1:$D$16,3,FALSE)*Ventas!F235</f>
        <v>192</v>
      </c>
      <c r="E235" s="10">
        <f t="shared" si="3"/>
        <v>192</v>
      </c>
      <c r="F235" s="9">
        <f>YEAR(Ventas!G235)</f>
        <v>2016</v>
      </c>
      <c r="G235" s="9">
        <f>MONTH(Ventas!G235)</f>
        <v>5</v>
      </c>
      <c r="H235" s="9" t="str">
        <f>VLOOKUP(Ventas!C235,Países!$A$2:$B$186,2,FALSE)</f>
        <v>Middle East and North Africa</v>
      </c>
      <c r="I235" s="9" t="str">
        <f>Ventas!E235</f>
        <v>Online</v>
      </c>
    </row>
    <row r="236" spans="2:9" x14ac:dyDescent="0.25">
      <c r="B236" s="12">
        <f>Ventas!F236</f>
        <v>143</v>
      </c>
      <c r="C236" s="10">
        <f>VLOOKUP(Ventas!$D236,Productos!$A$1:$D$16,4,FALSE)*Ventas!F236</f>
        <v>999.57</v>
      </c>
      <c r="D236" s="10">
        <f>VLOOKUP(Ventas!$D236,Productos!$A$1:$D$16,3,FALSE)*Ventas!F236</f>
        <v>500.5</v>
      </c>
      <c r="E236" s="10">
        <f t="shared" si="3"/>
        <v>499.07000000000005</v>
      </c>
      <c r="F236" s="9">
        <f>YEAR(Ventas!G236)</f>
        <v>2016</v>
      </c>
      <c r="G236" s="9">
        <f>MONTH(Ventas!G236)</f>
        <v>4</v>
      </c>
      <c r="H236" s="9" t="str">
        <f>VLOOKUP(Ventas!C236,Países!$A$2:$B$186,2,FALSE)</f>
        <v>Sub-Saharan Africa</v>
      </c>
      <c r="I236" s="9" t="str">
        <f>Ventas!E236</f>
        <v>Online</v>
      </c>
    </row>
    <row r="237" spans="2:9" x14ac:dyDescent="0.25">
      <c r="B237" s="12">
        <f>Ventas!F237</f>
        <v>126</v>
      </c>
      <c r="C237" s="10">
        <f>VLOOKUP(Ventas!$D237,Productos!$A$1:$D$16,4,FALSE)*Ventas!F237</f>
        <v>756</v>
      </c>
      <c r="D237" s="10">
        <f>VLOOKUP(Ventas!$D237,Productos!$A$1:$D$16,3,FALSE)*Ventas!F237</f>
        <v>378</v>
      </c>
      <c r="E237" s="10">
        <f t="shared" si="3"/>
        <v>378</v>
      </c>
      <c r="F237" s="9">
        <f>YEAR(Ventas!G237)</f>
        <v>2016</v>
      </c>
      <c r="G237" s="9">
        <f>MONTH(Ventas!G237)</f>
        <v>5</v>
      </c>
      <c r="H237" s="9" t="str">
        <f>VLOOKUP(Ventas!C237,Países!$A$2:$B$186,2,FALSE)</f>
        <v>Asia</v>
      </c>
      <c r="I237" s="9" t="str">
        <f>Ventas!E237</f>
        <v>Retail</v>
      </c>
    </row>
    <row r="238" spans="2:9" x14ac:dyDescent="0.25">
      <c r="B238" s="12">
        <f>Ventas!F238</f>
        <v>178</v>
      </c>
      <c r="C238" s="10">
        <f>VLOOKUP(Ventas!$D238,Productos!$A$1:$D$16,4,FALSE)*Ventas!F238</f>
        <v>2581</v>
      </c>
      <c r="D238" s="10">
        <f>VLOOKUP(Ventas!$D238,Productos!$A$1:$D$16,3,FALSE)*Ventas!F238</f>
        <v>1424</v>
      </c>
      <c r="E238" s="10">
        <f t="shared" si="3"/>
        <v>1157</v>
      </c>
      <c r="F238" s="9">
        <f>YEAR(Ventas!G238)</f>
        <v>2016</v>
      </c>
      <c r="G238" s="9">
        <f>MONTH(Ventas!G238)</f>
        <v>5</v>
      </c>
      <c r="H238" s="9" t="str">
        <f>VLOOKUP(Ventas!C238,Países!$A$2:$B$186,2,FALSE)</f>
        <v>Europe</v>
      </c>
      <c r="I238" s="9" t="str">
        <f>Ventas!E238</f>
        <v>Retail</v>
      </c>
    </row>
    <row r="239" spans="2:9" x14ac:dyDescent="0.25">
      <c r="B239" s="12">
        <f>Ventas!F239</f>
        <v>116</v>
      </c>
      <c r="C239" s="10">
        <f>VLOOKUP(Ventas!$D239,Productos!$A$1:$D$16,4,FALSE)*Ventas!F239</f>
        <v>348</v>
      </c>
      <c r="D239" s="10">
        <f>VLOOKUP(Ventas!$D239,Productos!$A$1:$D$16,3,FALSE)*Ventas!F239</f>
        <v>174</v>
      </c>
      <c r="E239" s="10">
        <f t="shared" si="3"/>
        <v>174</v>
      </c>
      <c r="F239" s="9">
        <f>YEAR(Ventas!G239)</f>
        <v>2016</v>
      </c>
      <c r="G239" s="9">
        <f>MONTH(Ventas!G239)</f>
        <v>5</v>
      </c>
      <c r="H239" s="9" t="str">
        <f>VLOOKUP(Ventas!C239,Países!$A$2:$B$186,2,FALSE)</f>
        <v>Sub-Saharan Africa</v>
      </c>
      <c r="I239" s="9" t="str">
        <f>Ventas!E239</f>
        <v>Retail</v>
      </c>
    </row>
    <row r="240" spans="2:9" x14ac:dyDescent="0.25">
      <c r="B240" s="12">
        <f>Ventas!F240</f>
        <v>8</v>
      </c>
      <c r="C240" s="10">
        <f>VLOOKUP(Ventas!$D240,Productos!$A$1:$D$16,4,FALSE)*Ventas!F240</f>
        <v>116</v>
      </c>
      <c r="D240" s="10">
        <f>VLOOKUP(Ventas!$D240,Productos!$A$1:$D$16,3,FALSE)*Ventas!F240</f>
        <v>64</v>
      </c>
      <c r="E240" s="10">
        <f t="shared" si="3"/>
        <v>52</v>
      </c>
      <c r="F240" s="9">
        <f>YEAR(Ventas!G240)</f>
        <v>2016</v>
      </c>
      <c r="G240" s="9">
        <f>MONTH(Ventas!G240)</f>
        <v>5</v>
      </c>
      <c r="H240" s="9" t="str">
        <f>VLOOKUP(Ventas!C240,Países!$A$2:$B$186,2,FALSE)</f>
        <v>North America</v>
      </c>
      <c r="I240" s="9" t="str">
        <f>Ventas!E240</f>
        <v>Retail</v>
      </c>
    </row>
    <row r="241" spans="2:9" x14ac:dyDescent="0.25">
      <c r="B241" s="12">
        <f>Ventas!F241</f>
        <v>204</v>
      </c>
      <c r="C241" s="10">
        <f>VLOOKUP(Ventas!$D241,Productos!$A$1:$D$16,4,FALSE)*Ventas!F241</f>
        <v>612</v>
      </c>
      <c r="D241" s="10">
        <f>VLOOKUP(Ventas!$D241,Productos!$A$1:$D$16,3,FALSE)*Ventas!F241</f>
        <v>306</v>
      </c>
      <c r="E241" s="10">
        <f t="shared" si="3"/>
        <v>306</v>
      </c>
      <c r="F241" s="9">
        <f>YEAR(Ventas!G241)</f>
        <v>2016</v>
      </c>
      <c r="G241" s="9">
        <f>MONTH(Ventas!G241)</f>
        <v>5</v>
      </c>
      <c r="H241" s="9" t="str">
        <f>VLOOKUP(Ventas!C241,Países!$A$2:$B$186,2,FALSE)</f>
        <v>Central America and the Caribbean</v>
      </c>
      <c r="I241" s="9" t="str">
        <f>Ventas!E241</f>
        <v>Online</v>
      </c>
    </row>
    <row r="242" spans="2:9" x14ac:dyDescent="0.25">
      <c r="B242" s="12">
        <f>Ventas!F242</f>
        <v>123</v>
      </c>
      <c r="C242" s="10">
        <f>VLOOKUP(Ventas!$D242,Productos!$A$1:$D$16,4,FALSE)*Ventas!F242</f>
        <v>369</v>
      </c>
      <c r="D242" s="10">
        <f>VLOOKUP(Ventas!$D242,Productos!$A$1:$D$16,3,FALSE)*Ventas!F242</f>
        <v>184.5</v>
      </c>
      <c r="E242" s="10">
        <f t="shared" si="3"/>
        <v>184.5</v>
      </c>
      <c r="F242" s="9">
        <f>YEAR(Ventas!G242)</f>
        <v>2016</v>
      </c>
      <c r="G242" s="9">
        <f>MONTH(Ventas!G242)</f>
        <v>5</v>
      </c>
      <c r="H242" s="9" t="str">
        <f>VLOOKUP(Ventas!C242,Países!$A$2:$B$186,2,FALSE)</f>
        <v>Sub-Saharan Africa</v>
      </c>
      <c r="I242" s="9" t="str">
        <f>Ventas!E242</f>
        <v>Retail</v>
      </c>
    </row>
    <row r="243" spans="2:9" x14ac:dyDescent="0.25">
      <c r="B243" s="12">
        <f>Ventas!F243</f>
        <v>111</v>
      </c>
      <c r="C243" s="10">
        <f>VLOOKUP(Ventas!$D243,Productos!$A$1:$D$16,4,FALSE)*Ventas!F243</f>
        <v>333</v>
      </c>
      <c r="D243" s="10">
        <f>VLOOKUP(Ventas!$D243,Productos!$A$1:$D$16,3,FALSE)*Ventas!F243</f>
        <v>166.5</v>
      </c>
      <c r="E243" s="10">
        <f t="shared" si="3"/>
        <v>166.5</v>
      </c>
      <c r="F243" s="9">
        <f>YEAR(Ventas!G243)</f>
        <v>2016</v>
      </c>
      <c r="G243" s="9">
        <f>MONTH(Ventas!G243)</f>
        <v>4</v>
      </c>
      <c r="H243" s="9" t="str">
        <f>VLOOKUP(Ventas!C243,Países!$A$2:$B$186,2,FALSE)</f>
        <v>Sub-Saharan Africa</v>
      </c>
      <c r="I243" s="9" t="str">
        <f>Ventas!E243</f>
        <v>Online</v>
      </c>
    </row>
    <row r="244" spans="2:9" x14ac:dyDescent="0.25">
      <c r="B244" s="12">
        <f>Ventas!F244</f>
        <v>88</v>
      </c>
      <c r="C244" s="10">
        <f>VLOOKUP(Ventas!$D244,Productos!$A$1:$D$16,4,FALSE)*Ventas!F244</f>
        <v>572</v>
      </c>
      <c r="D244" s="10">
        <f>VLOOKUP(Ventas!$D244,Productos!$A$1:$D$16,3,FALSE)*Ventas!F244</f>
        <v>308</v>
      </c>
      <c r="E244" s="10">
        <f t="shared" si="3"/>
        <v>264</v>
      </c>
      <c r="F244" s="9">
        <f>YEAR(Ventas!G244)</f>
        <v>2016</v>
      </c>
      <c r="G244" s="9">
        <f>MONTH(Ventas!G244)</f>
        <v>5</v>
      </c>
      <c r="H244" s="9" t="str">
        <f>VLOOKUP(Ventas!C244,Países!$A$2:$B$186,2,FALSE)</f>
        <v>Australia and Oceania</v>
      </c>
      <c r="I244" s="9" t="str">
        <f>Ventas!E244</f>
        <v>Online</v>
      </c>
    </row>
    <row r="245" spans="2:9" x14ac:dyDescent="0.25">
      <c r="B245" s="12">
        <f>Ventas!F245</f>
        <v>189</v>
      </c>
      <c r="C245" s="10">
        <f>VLOOKUP(Ventas!$D245,Productos!$A$1:$D$16,4,FALSE)*Ventas!F245</f>
        <v>1888.1100000000001</v>
      </c>
      <c r="D245" s="10">
        <f>VLOOKUP(Ventas!$D245,Productos!$A$1:$D$16,3,FALSE)*Ventas!F245</f>
        <v>945</v>
      </c>
      <c r="E245" s="10">
        <f t="shared" si="3"/>
        <v>943.11000000000013</v>
      </c>
      <c r="F245" s="9">
        <f>YEAR(Ventas!G245)</f>
        <v>2016</v>
      </c>
      <c r="G245" s="9">
        <f>MONTH(Ventas!G245)</f>
        <v>4</v>
      </c>
      <c r="H245" s="9" t="str">
        <f>VLOOKUP(Ventas!C245,Países!$A$2:$B$186,2,FALSE)</f>
        <v>Australia and Oceania</v>
      </c>
      <c r="I245" s="9" t="str">
        <f>Ventas!E245</f>
        <v>Online</v>
      </c>
    </row>
    <row r="246" spans="2:9" x14ac:dyDescent="0.25">
      <c r="B246" s="12">
        <f>Ventas!F246</f>
        <v>83</v>
      </c>
      <c r="C246" s="10">
        <f>VLOOKUP(Ventas!$D246,Productos!$A$1:$D$16,4,FALSE)*Ventas!F246</f>
        <v>373.5</v>
      </c>
      <c r="D246" s="10">
        <f>VLOOKUP(Ventas!$D246,Productos!$A$1:$D$16,3,FALSE)*Ventas!F246</f>
        <v>207.5</v>
      </c>
      <c r="E246" s="10">
        <f t="shared" si="3"/>
        <v>166</v>
      </c>
      <c r="F246" s="9">
        <f>YEAR(Ventas!G246)</f>
        <v>2016</v>
      </c>
      <c r="G246" s="9">
        <f>MONTH(Ventas!G246)</f>
        <v>4</v>
      </c>
      <c r="H246" s="9" t="str">
        <f>VLOOKUP(Ventas!C246,Países!$A$2:$B$186,2,FALSE)</f>
        <v>Sub-Saharan Africa</v>
      </c>
      <c r="I246" s="9" t="str">
        <f>Ventas!E246</f>
        <v>Online</v>
      </c>
    </row>
    <row r="247" spans="2:9" x14ac:dyDescent="0.25">
      <c r="B247" s="12">
        <f>Ventas!F247</f>
        <v>211</v>
      </c>
      <c r="C247" s="10">
        <f>VLOOKUP(Ventas!$D247,Productos!$A$1:$D$16,4,FALSE)*Ventas!F247</f>
        <v>1474.89</v>
      </c>
      <c r="D247" s="10">
        <f>VLOOKUP(Ventas!$D247,Productos!$A$1:$D$16,3,FALSE)*Ventas!F247</f>
        <v>738.5</v>
      </c>
      <c r="E247" s="10">
        <f t="shared" si="3"/>
        <v>736.3900000000001</v>
      </c>
      <c r="F247" s="9">
        <f>YEAR(Ventas!G247)</f>
        <v>2016</v>
      </c>
      <c r="G247" s="9">
        <f>MONTH(Ventas!G247)</f>
        <v>5</v>
      </c>
      <c r="H247" s="9" t="str">
        <f>VLOOKUP(Ventas!C247,Países!$A$2:$B$186,2,FALSE)</f>
        <v>Europe</v>
      </c>
      <c r="I247" s="9" t="str">
        <f>Ventas!E247</f>
        <v>Direct</v>
      </c>
    </row>
    <row r="248" spans="2:9" x14ac:dyDescent="0.25">
      <c r="B248" s="12">
        <f>Ventas!F248</f>
        <v>34</v>
      </c>
      <c r="C248" s="10">
        <f>VLOOKUP(Ventas!$D248,Productos!$A$1:$D$16,4,FALSE)*Ventas!F248</f>
        <v>102</v>
      </c>
      <c r="D248" s="10">
        <f>VLOOKUP(Ventas!$D248,Productos!$A$1:$D$16,3,FALSE)*Ventas!F248</f>
        <v>51</v>
      </c>
      <c r="E248" s="10">
        <f t="shared" si="3"/>
        <v>51</v>
      </c>
      <c r="F248" s="9">
        <f>YEAR(Ventas!G248)</f>
        <v>2016</v>
      </c>
      <c r="G248" s="9">
        <f>MONTH(Ventas!G248)</f>
        <v>4</v>
      </c>
      <c r="H248" s="9" t="str">
        <f>VLOOKUP(Ventas!C248,Países!$A$2:$B$186,2,FALSE)</f>
        <v>Middle East and North Africa</v>
      </c>
      <c r="I248" s="9" t="str">
        <f>Ventas!E248</f>
        <v>Online</v>
      </c>
    </row>
    <row r="249" spans="2:9" x14ac:dyDescent="0.25">
      <c r="B249" s="12">
        <f>Ventas!F249</f>
        <v>195</v>
      </c>
      <c r="C249" s="10">
        <f>VLOOKUP(Ventas!$D249,Productos!$A$1:$D$16,4,FALSE)*Ventas!F249</f>
        <v>2827.5</v>
      </c>
      <c r="D249" s="10">
        <f>VLOOKUP(Ventas!$D249,Productos!$A$1:$D$16,3,FALSE)*Ventas!F249</f>
        <v>1560</v>
      </c>
      <c r="E249" s="10">
        <f t="shared" si="3"/>
        <v>1267.5</v>
      </c>
      <c r="F249" s="9">
        <f>YEAR(Ventas!G249)</f>
        <v>2016</v>
      </c>
      <c r="G249" s="9">
        <f>MONTH(Ventas!G249)</f>
        <v>4</v>
      </c>
      <c r="H249" s="9" t="str">
        <f>VLOOKUP(Ventas!C249,Países!$A$2:$B$186,2,FALSE)</f>
        <v>Asia</v>
      </c>
      <c r="I249" s="9" t="str">
        <f>Ventas!E249</f>
        <v>Online</v>
      </c>
    </row>
    <row r="250" spans="2:9" x14ac:dyDescent="0.25">
      <c r="B250" s="12">
        <f>Ventas!F250</f>
        <v>127</v>
      </c>
      <c r="C250" s="10">
        <f>VLOOKUP(Ventas!$D250,Productos!$A$1:$D$16,4,FALSE)*Ventas!F250</f>
        <v>1143</v>
      </c>
      <c r="D250" s="10">
        <f>VLOOKUP(Ventas!$D250,Productos!$A$1:$D$16,3,FALSE)*Ventas!F250</f>
        <v>762</v>
      </c>
      <c r="E250" s="10">
        <f t="shared" si="3"/>
        <v>381</v>
      </c>
      <c r="F250" s="9">
        <f>YEAR(Ventas!G250)</f>
        <v>2016</v>
      </c>
      <c r="G250" s="9">
        <f>MONTH(Ventas!G250)</f>
        <v>5</v>
      </c>
      <c r="H250" s="9" t="str">
        <f>VLOOKUP(Ventas!C250,Países!$A$2:$B$186,2,FALSE)</f>
        <v>Europe</v>
      </c>
      <c r="I250" s="9" t="str">
        <f>Ventas!E250</f>
        <v>Online</v>
      </c>
    </row>
    <row r="251" spans="2:9" x14ac:dyDescent="0.25">
      <c r="B251" s="12">
        <f>Ventas!F251</f>
        <v>158</v>
      </c>
      <c r="C251" s="10">
        <f>VLOOKUP(Ventas!$D251,Productos!$A$1:$D$16,4,FALSE)*Ventas!F251</f>
        <v>948</v>
      </c>
      <c r="D251" s="10">
        <f>VLOOKUP(Ventas!$D251,Productos!$A$1:$D$16,3,FALSE)*Ventas!F251</f>
        <v>474</v>
      </c>
      <c r="E251" s="10">
        <f t="shared" si="3"/>
        <v>474</v>
      </c>
      <c r="F251" s="9">
        <f>YEAR(Ventas!G251)</f>
        <v>2016</v>
      </c>
      <c r="G251" s="9">
        <f>MONTH(Ventas!G251)</f>
        <v>5</v>
      </c>
      <c r="H251" s="9" t="str">
        <f>VLOOKUP(Ventas!C251,Países!$A$2:$B$186,2,FALSE)</f>
        <v>Sub-Saharan Africa</v>
      </c>
      <c r="I251" s="9" t="str">
        <f>Ventas!E251</f>
        <v>Online</v>
      </c>
    </row>
    <row r="252" spans="2:9" x14ac:dyDescent="0.25">
      <c r="B252" s="12">
        <f>Ventas!F252</f>
        <v>154</v>
      </c>
      <c r="C252" s="10">
        <f>VLOOKUP(Ventas!$D252,Productos!$A$1:$D$16,4,FALSE)*Ventas!F252</f>
        <v>462</v>
      </c>
      <c r="D252" s="10">
        <f>VLOOKUP(Ventas!$D252,Productos!$A$1:$D$16,3,FALSE)*Ventas!F252</f>
        <v>231</v>
      </c>
      <c r="E252" s="10">
        <f t="shared" si="3"/>
        <v>231</v>
      </c>
      <c r="F252" s="9">
        <f>YEAR(Ventas!G252)</f>
        <v>2016</v>
      </c>
      <c r="G252" s="9">
        <f>MONTH(Ventas!G252)</f>
        <v>5</v>
      </c>
      <c r="H252" s="9" t="str">
        <f>VLOOKUP(Ventas!C252,Países!$A$2:$B$186,2,FALSE)</f>
        <v>Middle East and North Africa</v>
      </c>
      <c r="I252" s="9" t="str">
        <f>Ventas!E252</f>
        <v>Retail</v>
      </c>
    </row>
    <row r="253" spans="2:9" x14ac:dyDescent="0.25">
      <c r="B253" s="12">
        <f>Ventas!F253</f>
        <v>78</v>
      </c>
      <c r="C253" s="10">
        <f>VLOOKUP(Ventas!$D253,Productos!$A$1:$D$16,4,FALSE)*Ventas!F253</f>
        <v>507</v>
      </c>
      <c r="D253" s="10">
        <f>VLOOKUP(Ventas!$D253,Productos!$A$1:$D$16,3,FALSE)*Ventas!F253</f>
        <v>273</v>
      </c>
      <c r="E253" s="10">
        <f t="shared" si="3"/>
        <v>234</v>
      </c>
      <c r="F253" s="9">
        <f>YEAR(Ventas!G253)</f>
        <v>2016</v>
      </c>
      <c r="G253" s="9">
        <f>MONTH(Ventas!G253)</f>
        <v>5</v>
      </c>
      <c r="H253" s="9" t="str">
        <f>VLOOKUP(Ventas!C253,Países!$A$2:$B$186,2,FALSE)</f>
        <v>Sub-Saharan Africa</v>
      </c>
      <c r="I253" s="9" t="str">
        <f>Ventas!E253</f>
        <v>Direct</v>
      </c>
    </row>
    <row r="254" spans="2:9" x14ac:dyDescent="0.25">
      <c r="B254" s="12">
        <f>Ventas!F254</f>
        <v>130</v>
      </c>
      <c r="C254" s="10">
        <f>VLOOKUP(Ventas!$D254,Productos!$A$1:$D$16,4,FALSE)*Ventas!F254</f>
        <v>1170</v>
      </c>
      <c r="D254" s="10">
        <f>VLOOKUP(Ventas!$D254,Productos!$A$1:$D$16,3,FALSE)*Ventas!F254</f>
        <v>780</v>
      </c>
      <c r="E254" s="10">
        <f t="shared" si="3"/>
        <v>390</v>
      </c>
      <c r="F254" s="9">
        <f>YEAR(Ventas!G254)</f>
        <v>2016</v>
      </c>
      <c r="G254" s="9">
        <f>MONTH(Ventas!G254)</f>
        <v>4</v>
      </c>
      <c r="H254" s="9" t="str">
        <f>VLOOKUP(Ventas!C254,Países!$A$2:$B$186,2,FALSE)</f>
        <v>Sub-Saharan Africa</v>
      </c>
      <c r="I254" s="9" t="str">
        <f>Ventas!E254</f>
        <v>Online</v>
      </c>
    </row>
    <row r="255" spans="2:9" x14ac:dyDescent="0.25">
      <c r="B255" s="12">
        <f>Ventas!F255</f>
        <v>191</v>
      </c>
      <c r="C255" s="10">
        <f>VLOOKUP(Ventas!$D255,Productos!$A$1:$D$16,4,FALSE)*Ventas!F255</f>
        <v>859.5</v>
      </c>
      <c r="D255" s="10">
        <f>VLOOKUP(Ventas!$D255,Productos!$A$1:$D$16,3,FALSE)*Ventas!F255</f>
        <v>477.5</v>
      </c>
      <c r="E255" s="10">
        <f t="shared" si="3"/>
        <v>382</v>
      </c>
      <c r="F255" s="9">
        <f>YEAR(Ventas!G255)</f>
        <v>2016</v>
      </c>
      <c r="G255" s="9">
        <f>MONTH(Ventas!G255)</f>
        <v>4</v>
      </c>
      <c r="H255" s="9" t="str">
        <f>VLOOKUP(Ventas!C255,Países!$A$2:$B$186,2,FALSE)</f>
        <v>Central America and the Caribbean</v>
      </c>
      <c r="I255" s="9" t="str">
        <f>Ventas!E255</f>
        <v>Retail</v>
      </c>
    </row>
    <row r="256" spans="2:9" x14ac:dyDescent="0.25">
      <c r="B256" s="12">
        <f>Ventas!F256</f>
        <v>4</v>
      </c>
      <c r="C256" s="10">
        <f>VLOOKUP(Ventas!$D256,Productos!$A$1:$D$16,4,FALSE)*Ventas!F256</f>
        <v>58</v>
      </c>
      <c r="D256" s="10">
        <f>VLOOKUP(Ventas!$D256,Productos!$A$1:$D$16,3,FALSE)*Ventas!F256</f>
        <v>32</v>
      </c>
      <c r="E256" s="10">
        <f t="shared" si="3"/>
        <v>26</v>
      </c>
      <c r="F256" s="9">
        <f>YEAR(Ventas!G256)</f>
        <v>2016</v>
      </c>
      <c r="G256" s="9">
        <f>MONTH(Ventas!G256)</f>
        <v>5</v>
      </c>
      <c r="H256" s="9" t="str">
        <f>VLOOKUP(Ventas!C256,Países!$A$2:$B$186,2,FALSE)</f>
        <v>Middle East and North Africa</v>
      </c>
      <c r="I256" s="9" t="str">
        <f>Ventas!E256</f>
        <v>Online</v>
      </c>
    </row>
    <row r="257" spans="2:9" x14ac:dyDescent="0.25">
      <c r="B257" s="12">
        <f>Ventas!F257</f>
        <v>144</v>
      </c>
      <c r="C257" s="10">
        <f>VLOOKUP(Ventas!$D257,Productos!$A$1:$D$16,4,FALSE)*Ventas!F257</f>
        <v>432</v>
      </c>
      <c r="D257" s="10">
        <f>VLOOKUP(Ventas!$D257,Productos!$A$1:$D$16,3,FALSE)*Ventas!F257</f>
        <v>216</v>
      </c>
      <c r="E257" s="10">
        <f t="shared" si="3"/>
        <v>216</v>
      </c>
      <c r="F257" s="9">
        <f>YEAR(Ventas!G257)</f>
        <v>2016</v>
      </c>
      <c r="G257" s="9">
        <f>MONTH(Ventas!G257)</f>
        <v>5</v>
      </c>
      <c r="H257" s="9" t="str">
        <f>VLOOKUP(Ventas!C257,Países!$A$2:$B$186,2,FALSE)</f>
        <v>Sub-Saharan Africa</v>
      </c>
      <c r="I257" s="9" t="str">
        <f>Ventas!E257</f>
        <v>Retail</v>
      </c>
    </row>
    <row r="258" spans="2:9" x14ac:dyDescent="0.25">
      <c r="B258" s="12">
        <f>Ventas!F258</f>
        <v>2</v>
      </c>
      <c r="C258" s="10">
        <f>VLOOKUP(Ventas!$D258,Productos!$A$1:$D$16,4,FALSE)*Ventas!F258</f>
        <v>13.98</v>
      </c>
      <c r="D258" s="10">
        <f>VLOOKUP(Ventas!$D258,Productos!$A$1:$D$16,3,FALSE)*Ventas!F258</f>
        <v>7</v>
      </c>
      <c r="E258" s="10">
        <f t="shared" si="3"/>
        <v>6.98</v>
      </c>
      <c r="F258" s="9">
        <f>YEAR(Ventas!G258)</f>
        <v>2016</v>
      </c>
      <c r="G258" s="9">
        <f>MONTH(Ventas!G258)</f>
        <v>5</v>
      </c>
      <c r="H258" s="9" t="str">
        <f>VLOOKUP(Ventas!C258,Países!$A$2:$B$186,2,FALSE)</f>
        <v>Europe</v>
      </c>
      <c r="I258" s="9" t="str">
        <f>Ventas!E258</f>
        <v>Direct</v>
      </c>
    </row>
    <row r="259" spans="2:9" x14ac:dyDescent="0.25">
      <c r="B259" s="12">
        <f>Ventas!F259</f>
        <v>20</v>
      </c>
      <c r="C259" s="10">
        <f>VLOOKUP(Ventas!$D259,Productos!$A$1:$D$16,4,FALSE)*Ventas!F259</f>
        <v>180</v>
      </c>
      <c r="D259" s="10">
        <f>VLOOKUP(Ventas!$D259,Productos!$A$1:$D$16,3,FALSE)*Ventas!F259</f>
        <v>120</v>
      </c>
      <c r="E259" s="10">
        <f t="shared" ref="E259:E322" si="4">C259-D259</f>
        <v>60</v>
      </c>
      <c r="F259" s="9">
        <f>YEAR(Ventas!G259)</f>
        <v>2016</v>
      </c>
      <c r="G259" s="9">
        <f>MONTH(Ventas!G259)</f>
        <v>4</v>
      </c>
      <c r="H259" s="9" t="str">
        <f>VLOOKUP(Ventas!C259,Países!$A$2:$B$186,2,FALSE)</f>
        <v>Middle East and North Africa</v>
      </c>
      <c r="I259" s="9" t="str">
        <f>Ventas!E259</f>
        <v>Online</v>
      </c>
    </row>
    <row r="260" spans="2:9" x14ac:dyDescent="0.25">
      <c r="B260" s="12">
        <f>Ventas!F260</f>
        <v>133</v>
      </c>
      <c r="C260" s="10">
        <f>VLOOKUP(Ventas!$D260,Productos!$A$1:$D$16,4,FALSE)*Ventas!F260</f>
        <v>530.67000000000007</v>
      </c>
      <c r="D260" s="10">
        <f>VLOOKUP(Ventas!$D260,Productos!$A$1:$D$16,3,FALSE)*Ventas!F260</f>
        <v>266</v>
      </c>
      <c r="E260" s="10">
        <f t="shared" si="4"/>
        <v>264.67000000000007</v>
      </c>
      <c r="F260" s="9">
        <f>YEAR(Ventas!G260)</f>
        <v>2016</v>
      </c>
      <c r="G260" s="9">
        <f>MONTH(Ventas!G260)</f>
        <v>4</v>
      </c>
      <c r="H260" s="9" t="str">
        <f>VLOOKUP(Ventas!C260,Países!$A$2:$B$186,2,FALSE)</f>
        <v>Sub-Saharan Africa</v>
      </c>
      <c r="I260" s="9" t="str">
        <f>Ventas!E260</f>
        <v>Online</v>
      </c>
    </row>
    <row r="261" spans="2:9" x14ac:dyDescent="0.25">
      <c r="B261" s="12">
        <f>Ventas!F261</f>
        <v>188</v>
      </c>
      <c r="C261" s="10">
        <f>VLOOKUP(Ventas!$D261,Productos!$A$1:$D$16,4,FALSE)*Ventas!F261</f>
        <v>1128</v>
      </c>
      <c r="D261" s="10">
        <f>VLOOKUP(Ventas!$D261,Productos!$A$1:$D$16,3,FALSE)*Ventas!F261</f>
        <v>564</v>
      </c>
      <c r="E261" s="10">
        <f t="shared" si="4"/>
        <v>564</v>
      </c>
      <c r="F261" s="9">
        <f>YEAR(Ventas!G261)</f>
        <v>2016</v>
      </c>
      <c r="G261" s="9">
        <f>MONTH(Ventas!G261)</f>
        <v>4</v>
      </c>
      <c r="H261" s="9" t="str">
        <f>VLOOKUP(Ventas!C261,Países!$A$2:$B$186,2,FALSE)</f>
        <v>Central America and the Caribbean</v>
      </c>
      <c r="I261" s="9" t="str">
        <f>Ventas!E261</f>
        <v>Retail</v>
      </c>
    </row>
    <row r="262" spans="2:9" x14ac:dyDescent="0.25">
      <c r="B262" s="12">
        <f>Ventas!F262</f>
        <v>105</v>
      </c>
      <c r="C262" s="10">
        <f>VLOOKUP(Ventas!$D262,Productos!$A$1:$D$16,4,FALSE)*Ventas!F262</f>
        <v>472.5</v>
      </c>
      <c r="D262" s="10">
        <f>VLOOKUP(Ventas!$D262,Productos!$A$1:$D$16,3,FALSE)*Ventas!F262</f>
        <v>262.5</v>
      </c>
      <c r="E262" s="10">
        <f t="shared" si="4"/>
        <v>210</v>
      </c>
      <c r="F262" s="9">
        <f>YEAR(Ventas!G262)</f>
        <v>2016</v>
      </c>
      <c r="G262" s="9">
        <f>MONTH(Ventas!G262)</f>
        <v>5</v>
      </c>
      <c r="H262" s="9" t="str">
        <f>VLOOKUP(Ventas!C262,Países!$A$2:$B$186,2,FALSE)</f>
        <v>Europe</v>
      </c>
      <c r="I262" s="9" t="str">
        <f>Ventas!E262</f>
        <v>Retail</v>
      </c>
    </row>
    <row r="263" spans="2:9" x14ac:dyDescent="0.25">
      <c r="B263" s="12">
        <f>Ventas!F263</f>
        <v>181</v>
      </c>
      <c r="C263" s="10">
        <f>VLOOKUP(Ventas!$D263,Productos!$A$1:$D$16,4,FALSE)*Ventas!F263</f>
        <v>1176.5</v>
      </c>
      <c r="D263" s="10">
        <f>VLOOKUP(Ventas!$D263,Productos!$A$1:$D$16,3,FALSE)*Ventas!F263</f>
        <v>633.5</v>
      </c>
      <c r="E263" s="10">
        <f t="shared" si="4"/>
        <v>543</v>
      </c>
      <c r="F263" s="9">
        <f>YEAR(Ventas!G263)</f>
        <v>2016</v>
      </c>
      <c r="G263" s="9">
        <f>MONTH(Ventas!G263)</f>
        <v>4</v>
      </c>
      <c r="H263" s="9" t="str">
        <f>VLOOKUP(Ventas!C263,Países!$A$2:$B$186,2,FALSE)</f>
        <v>Sub-Saharan Africa</v>
      </c>
      <c r="I263" s="9" t="str">
        <f>Ventas!E263</f>
        <v>Retail</v>
      </c>
    </row>
    <row r="264" spans="2:9" x14ac:dyDescent="0.25">
      <c r="B264" s="12">
        <f>Ventas!F264</f>
        <v>115</v>
      </c>
      <c r="C264" s="10">
        <f>VLOOKUP(Ventas!$D264,Productos!$A$1:$D$16,4,FALSE)*Ventas!F264</f>
        <v>458.85</v>
      </c>
      <c r="D264" s="10">
        <f>VLOOKUP(Ventas!$D264,Productos!$A$1:$D$16,3,FALSE)*Ventas!F264</f>
        <v>230</v>
      </c>
      <c r="E264" s="10">
        <f t="shared" si="4"/>
        <v>228.85000000000002</v>
      </c>
      <c r="F264" s="9">
        <f>YEAR(Ventas!G264)</f>
        <v>2016</v>
      </c>
      <c r="G264" s="9">
        <f>MONTH(Ventas!G264)</f>
        <v>5</v>
      </c>
      <c r="H264" s="9" t="str">
        <f>VLOOKUP(Ventas!C264,Países!$A$2:$B$186,2,FALSE)</f>
        <v>Australia and Oceania</v>
      </c>
      <c r="I264" s="9" t="str">
        <f>Ventas!E264</f>
        <v>Online</v>
      </c>
    </row>
    <row r="265" spans="2:9" x14ac:dyDescent="0.25">
      <c r="B265" s="12">
        <f>Ventas!F265</f>
        <v>167</v>
      </c>
      <c r="C265" s="10">
        <f>VLOOKUP(Ventas!$D265,Productos!$A$1:$D$16,4,FALSE)*Ventas!F265</f>
        <v>1085.5</v>
      </c>
      <c r="D265" s="10">
        <f>VLOOKUP(Ventas!$D265,Productos!$A$1:$D$16,3,FALSE)*Ventas!F265</f>
        <v>584.5</v>
      </c>
      <c r="E265" s="10">
        <f t="shared" si="4"/>
        <v>501</v>
      </c>
      <c r="F265" s="9">
        <f>YEAR(Ventas!G265)</f>
        <v>2016</v>
      </c>
      <c r="G265" s="9">
        <f>MONTH(Ventas!G265)</f>
        <v>5</v>
      </c>
      <c r="H265" s="9" t="str">
        <f>VLOOKUP(Ventas!C265,Países!$A$2:$B$186,2,FALSE)</f>
        <v>Sub-Saharan Africa</v>
      </c>
      <c r="I265" s="9" t="str">
        <f>Ventas!E265</f>
        <v>Online</v>
      </c>
    </row>
    <row r="266" spans="2:9" x14ac:dyDescent="0.25">
      <c r="B266" s="12">
        <f>Ventas!F266</f>
        <v>44</v>
      </c>
      <c r="C266" s="10">
        <f>VLOOKUP(Ventas!$D266,Productos!$A$1:$D$16,4,FALSE)*Ventas!F266</f>
        <v>307.56</v>
      </c>
      <c r="D266" s="10">
        <f>VLOOKUP(Ventas!$D266,Productos!$A$1:$D$16,3,FALSE)*Ventas!F266</f>
        <v>154</v>
      </c>
      <c r="E266" s="10">
        <f t="shared" si="4"/>
        <v>153.56</v>
      </c>
      <c r="F266" s="9">
        <f>YEAR(Ventas!G266)</f>
        <v>2016</v>
      </c>
      <c r="G266" s="9">
        <f>MONTH(Ventas!G266)</f>
        <v>5</v>
      </c>
      <c r="H266" s="9" t="str">
        <f>VLOOKUP(Ventas!C266,Países!$A$2:$B$186,2,FALSE)</f>
        <v>Australia and Oceania</v>
      </c>
      <c r="I266" s="9" t="str">
        <f>Ventas!E266</f>
        <v>Online</v>
      </c>
    </row>
    <row r="267" spans="2:9" x14ac:dyDescent="0.25">
      <c r="B267" s="12">
        <f>Ventas!F267</f>
        <v>124</v>
      </c>
      <c r="C267" s="10">
        <f>VLOOKUP(Ventas!$D267,Productos!$A$1:$D$16,4,FALSE)*Ventas!F267</f>
        <v>1238.76</v>
      </c>
      <c r="D267" s="10">
        <f>VLOOKUP(Ventas!$D267,Productos!$A$1:$D$16,3,FALSE)*Ventas!F267</f>
        <v>620</v>
      </c>
      <c r="E267" s="10">
        <f t="shared" si="4"/>
        <v>618.76</v>
      </c>
      <c r="F267" s="9">
        <f>YEAR(Ventas!G267)</f>
        <v>2016</v>
      </c>
      <c r="G267" s="9">
        <f>MONTH(Ventas!G267)</f>
        <v>5</v>
      </c>
      <c r="H267" s="9" t="str">
        <f>VLOOKUP(Ventas!C267,Países!$A$2:$B$186,2,FALSE)</f>
        <v>Central America and the Caribbean</v>
      </c>
      <c r="I267" s="9" t="str">
        <f>Ventas!E267</f>
        <v>Online</v>
      </c>
    </row>
    <row r="268" spans="2:9" x14ac:dyDescent="0.25">
      <c r="B268" s="12">
        <f>Ventas!F268</f>
        <v>41</v>
      </c>
      <c r="C268" s="10">
        <f>VLOOKUP(Ventas!$D268,Productos!$A$1:$D$16,4,FALSE)*Ventas!F268</f>
        <v>163.59</v>
      </c>
      <c r="D268" s="10">
        <f>VLOOKUP(Ventas!$D268,Productos!$A$1:$D$16,3,FALSE)*Ventas!F268</f>
        <v>82</v>
      </c>
      <c r="E268" s="10">
        <f t="shared" si="4"/>
        <v>81.59</v>
      </c>
      <c r="F268" s="9">
        <f>YEAR(Ventas!G268)</f>
        <v>2016</v>
      </c>
      <c r="G268" s="9">
        <f>MONTH(Ventas!G268)</f>
        <v>4</v>
      </c>
      <c r="H268" s="9" t="str">
        <f>VLOOKUP(Ventas!C268,Países!$A$2:$B$186,2,FALSE)</f>
        <v>Middle East and North Africa</v>
      </c>
      <c r="I268" s="9" t="str">
        <f>Ventas!E268</f>
        <v>Online</v>
      </c>
    </row>
    <row r="269" spans="2:9" x14ac:dyDescent="0.25">
      <c r="B269" s="12">
        <f>Ventas!F269</f>
        <v>160</v>
      </c>
      <c r="C269" s="10">
        <f>VLOOKUP(Ventas!$D269,Productos!$A$1:$D$16,4,FALSE)*Ventas!F269</f>
        <v>1598.4</v>
      </c>
      <c r="D269" s="10">
        <f>VLOOKUP(Ventas!$D269,Productos!$A$1:$D$16,3,FALSE)*Ventas!F269</f>
        <v>800</v>
      </c>
      <c r="E269" s="10">
        <f t="shared" si="4"/>
        <v>798.40000000000009</v>
      </c>
      <c r="F269" s="9">
        <f>YEAR(Ventas!G269)</f>
        <v>2016</v>
      </c>
      <c r="G269" s="9">
        <f>MONTH(Ventas!G269)</f>
        <v>5</v>
      </c>
      <c r="H269" s="9" t="str">
        <f>VLOOKUP(Ventas!C269,Países!$A$2:$B$186,2,FALSE)</f>
        <v>Europe</v>
      </c>
      <c r="I269" s="9" t="str">
        <f>Ventas!E269</f>
        <v>Online</v>
      </c>
    </row>
    <row r="270" spans="2:9" x14ac:dyDescent="0.25">
      <c r="B270" s="12">
        <f>Ventas!F270</f>
        <v>160</v>
      </c>
      <c r="C270" s="10">
        <f>VLOOKUP(Ventas!$D270,Productos!$A$1:$D$16,4,FALSE)*Ventas!F270</f>
        <v>1040</v>
      </c>
      <c r="D270" s="10">
        <f>VLOOKUP(Ventas!$D270,Productos!$A$1:$D$16,3,FALSE)*Ventas!F270</f>
        <v>560</v>
      </c>
      <c r="E270" s="10">
        <f t="shared" si="4"/>
        <v>480</v>
      </c>
      <c r="F270" s="9">
        <f>YEAR(Ventas!G270)</f>
        <v>2016</v>
      </c>
      <c r="G270" s="9">
        <f>MONTH(Ventas!G270)</f>
        <v>5</v>
      </c>
      <c r="H270" s="9" t="str">
        <f>VLOOKUP(Ventas!C270,Países!$A$2:$B$186,2,FALSE)</f>
        <v>Asia</v>
      </c>
      <c r="I270" s="9" t="str">
        <f>Ventas!E270</f>
        <v>Retail</v>
      </c>
    </row>
    <row r="271" spans="2:9" x14ac:dyDescent="0.25">
      <c r="B271" s="12">
        <f>Ventas!F271</f>
        <v>7</v>
      </c>
      <c r="C271" s="10">
        <f>VLOOKUP(Ventas!$D271,Productos!$A$1:$D$16,4,FALSE)*Ventas!F271</f>
        <v>21</v>
      </c>
      <c r="D271" s="10">
        <f>VLOOKUP(Ventas!$D271,Productos!$A$1:$D$16,3,FALSE)*Ventas!F271</f>
        <v>10.5</v>
      </c>
      <c r="E271" s="10">
        <f t="shared" si="4"/>
        <v>10.5</v>
      </c>
      <c r="F271" s="9">
        <f>YEAR(Ventas!G271)</f>
        <v>2016</v>
      </c>
      <c r="G271" s="9">
        <f>MONTH(Ventas!G271)</f>
        <v>4</v>
      </c>
      <c r="H271" s="9" t="str">
        <f>VLOOKUP(Ventas!C271,Países!$A$2:$B$186,2,FALSE)</f>
        <v>Sub-Saharan Africa</v>
      </c>
      <c r="I271" s="9" t="str">
        <f>Ventas!E271</f>
        <v>Online</v>
      </c>
    </row>
    <row r="272" spans="2:9" x14ac:dyDescent="0.25">
      <c r="B272" s="12">
        <f>Ventas!F272</f>
        <v>151</v>
      </c>
      <c r="C272" s="10">
        <f>VLOOKUP(Ventas!$D272,Productos!$A$1:$D$16,4,FALSE)*Ventas!F272</f>
        <v>2189.5</v>
      </c>
      <c r="D272" s="10">
        <f>VLOOKUP(Ventas!$D272,Productos!$A$1:$D$16,3,FALSE)*Ventas!F272</f>
        <v>1208</v>
      </c>
      <c r="E272" s="10">
        <f t="shared" si="4"/>
        <v>981.5</v>
      </c>
      <c r="F272" s="9">
        <f>YEAR(Ventas!G272)</f>
        <v>2016</v>
      </c>
      <c r="G272" s="9">
        <f>MONTH(Ventas!G272)</f>
        <v>4</v>
      </c>
      <c r="H272" s="9" t="str">
        <f>VLOOKUP(Ventas!C272,Países!$A$2:$B$186,2,FALSE)</f>
        <v>Asia</v>
      </c>
      <c r="I272" s="9" t="str">
        <f>Ventas!E272</f>
        <v>Direct</v>
      </c>
    </row>
    <row r="273" spans="2:9" x14ac:dyDescent="0.25">
      <c r="B273" s="12">
        <f>Ventas!F273</f>
        <v>155</v>
      </c>
      <c r="C273" s="10">
        <f>VLOOKUP(Ventas!$D273,Productos!$A$1:$D$16,4,FALSE)*Ventas!F273</f>
        <v>1083.45</v>
      </c>
      <c r="D273" s="10">
        <f>VLOOKUP(Ventas!$D273,Productos!$A$1:$D$16,3,FALSE)*Ventas!F273</f>
        <v>542.5</v>
      </c>
      <c r="E273" s="10">
        <f t="shared" si="4"/>
        <v>540.95000000000005</v>
      </c>
      <c r="F273" s="9">
        <f>YEAR(Ventas!G273)</f>
        <v>2016</v>
      </c>
      <c r="G273" s="9">
        <f>MONTH(Ventas!G273)</f>
        <v>4</v>
      </c>
      <c r="H273" s="9" t="str">
        <f>VLOOKUP(Ventas!C273,Países!$A$2:$B$186,2,FALSE)</f>
        <v>Sub-Saharan Africa</v>
      </c>
      <c r="I273" s="9" t="str">
        <f>Ventas!E273</f>
        <v>Online</v>
      </c>
    </row>
    <row r="274" spans="2:9" x14ac:dyDescent="0.25">
      <c r="B274" s="12">
        <f>Ventas!F274</f>
        <v>4</v>
      </c>
      <c r="C274" s="10">
        <f>VLOOKUP(Ventas!$D274,Productos!$A$1:$D$16,4,FALSE)*Ventas!F274</f>
        <v>24</v>
      </c>
      <c r="D274" s="10">
        <f>VLOOKUP(Ventas!$D274,Productos!$A$1:$D$16,3,FALSE)*Ventas!F274</f>
        <v>12</v>
      </c>
      <c r="E274" s="10">
        <f t="shared" si="4"/>
        <v>12</v>
      </c>
      <c r="F274" s="9">
        <f>YEAR(Ventas!G274)</f>
        <v>2016</v>
      </c>
      <c r="G274" s="9">
        <f>MONTH(Ventas!G274)</f>
        <v>4</v>
      </c>
      <c r="H274" s="9" t="str">
        <f>VLOOKUP(Ventas!C274,Países!$A$2:$B$186,2,FALSE)</f>
        <v>Asia</v>
      </c>
      <c r="I274" s="9" t="str">
        <f>Ventas!E274</f>
        <v>Online</v>
      </c>
    </row>
    <row r="275" spans="2:9" x14ac:dyDescent="0.25">
      <c r="B275" s="12">
        <f>Ventas!F275</f>
        <v>159</v>
      </c>
      <c r="C275" s="10">
        <f>VLOOKUP(Ventas!$D275,Productos!$A$1:$D$16,4,FALSE)*Ventas!F275</f>
        <v>1588.41</v>
      </c>
      <c r="D275" s="10">
        <f>VLOOKUP(Ventas!$D275,Productos!$A$1:$D$16,3,FALSE)*Ventas!F275</f>
        <v>795</v>
      </c>
      <c r="E275" s="10">
        <f t="shared" si="4"/>
        <v>793.41000000000008</v>
      </c>
      <c r="F275" s="9">
        <f>YEAR(Ventas!G275)</f>
        <v>2016</v>
      </c>
      <c r="G275" s="9">
        <f>MONTH(Ventas!G275)</f>
        <v>5</v>
      </c>
      <c r="H275" s="9" t="str">
        <f>VLOOKUP(Ventas!C275,Países!$A$2:$B$186,2,FALSE)</f>
        <v>Sub-Saharan Africa</v>
      </c>
      <c r="I275" s="9" t="str">
        <f>Ventas!E275</f>
        <v>Online</v>
      </c>
    </row>
    <row r="276" spans="2:9" x14ac:dyDescent="0.25">
      <c r="B276" s="12">
        <f>Ventas!F276</f>
        <v>86</v>
      </c>
      <c r="C276" s="10">
        <f>VLOOKUP(Ventas!$D276,Productos!$A$1:$D$16,4,FALSE)*Ventas!F276</f>
        <v>387</v>
      </c>
      <c r="D276" s="10">
        <f>VLOOKUP(Ventas!$D276,Productos!$A$1:$D$16,3,FALSE)*Ventas!F276</f>
        <v>215</v>
      </c>
      <c r="E276" s="10">
        <f t="shared" si="4"/>
        <v>172</v>
      </c>
      <c r="F276" s="9">
        <f>YEAR(Ventas!G276)</f>
        <v>2016</v>
      </c>
      <c r="G276" s="9">
        <f>MONTH(Ventas!G276)</f>
        <v>4</v>
      </c>
      <c r="H276" s="9" t="str">
        <f>VLOOKUP(Ventas!C276,Países!$A$2:$B$186,2,FALSE)</f>
        <v>Europe</v>
      </c>
      <c r="I276" s="9" t="str">
        <f>Ventas!E276</f>
        <v>Online</v>
      </c>
    </row>
    <row r="277" spans="2:9" x14ac:dyDescent="0.25">
      <c r="B277" s="12">
        <f>Ventas!F277</f>
        <v>73</v>
      </c>
      <c r="C277" s="10">
        <f>VLOOKUP(Ventas!$D277,Productos!$A$1:$D$16,4,FALSE)*Ventas!F277</f>
        <v>657</v>
      </c>
      <c r="D277" s="10">
        <f>VLOOKUP(Ventas!$D277,Productos!$A$1:$D$16,3,FALSE)*Ventas!F277</f>
        <v>438</v>
      </c>
      <c r="E277" s="10">
        <f t="shared" si="4"/>
        <v>219</v>
      </c>
      <c r="F277" s="9">
        <f>YEAR(Ventas!G277)</f>
        <v>2016</v>
      </c>
      <c r="G277" s="9">
        <f>MONTH(Ventas!G277)</f>
        <v>4</v>
      </c>
      <c r="H277" s="9" t="str">
        <f>VLOOKUP(Ventas!C277,Países!$A$2:$B$186,2,FALSE)</f>
        <v>Central America and the Caribbean</v>
      </c>
      <c r="I277" s="9" t="str">
        <f>Ventas!E277</f>
        <v>Retail</v>
      </c>
    </row>
    <row r="278" spans="2:9" x14ac:dyDescent="0.25">
      <c r="B278" s="12">
        <f>Ventas!F278</f>
        <v>13</v>
      </c>
      <c r="C278" s="10">
        <f>VLOOKUP(Ventas!$D278,Productos!$A$1:$D$16,4,FALSE)*Ventas!F278</f>
        <v>78</v>
      </c>
      <c r="D278" s="10">
        <f>VLOOKUP(Ventas!$D278,Productos!$A$1:$D$16,3,FALSE)*Ventas!F278</f>
        <v>39</v>
      </c>
      <c r="E278" s="10">
        <f t="shared" si="4"/>
        <v>39</v>
      </c>
      <c r="F278" s="9">
        <f>YEAR(Ventas!G278)</f>
        <v>2016</v>
      </c>
      <c r="G278" s="9">
        <f>MONTH(Ventas!G278)</f>
        <v>5</v>
      </c>
      <c r="H278" s="9" t="str">
        <f>VLOOKUP(Ventas!C278,Países!$A$2:$B$186,2,FALSE)</f>
        <v>Middle East and North Africa</v>
      </c>
      <c r="I278" s="9" t="str">
        <f>Ventas!E278</f>
        <v>Direct</v>
      </c>
    </row>
    <row r="279" spans="2:9" x14ac:dyDescent="0.25">
      <c r="B279" s="12">
        <f>Ventas!F279</f>
        <v>172</v>
      </c>
      <c r="C279" s="10">
        <f>VLOOKUP(Ventas!$D279,Productos!$A$1:$D$16,4,FALSE)*Ventas!F279</f>
        <v>686.28000000000009</v>
      </c>
      <c r="D279" s="10">
        <f>VLOOKUP(Ventas!$D279,Productos!$A$1:$D$16,3,FALSE)*Ventas!F279</f>
        <v>344</v>
      </c>
      <c r="E279" s="10">
        <f t="shared" si="4"/>
        <v>342.28000000000009</v>
      </c>
      <c r="F279" s="9">
        <f>YEAR(Ventas!G279)</f>
        <v>2016</v>
      </c>
      <c r="G279" s="9">
        <f>MONTH(Ventas!G279)</f>
        <v>4</v>
      </c>
      <c r="H279" s="9" t="str">
        <f>VLOOKUP(Ventas!C279,Países!$A$2:$B$186,2,FALSE)</f>
        <v>Sub-Saharan Africa</v>
      </c>
      <c r="I279" s="9" t="str">
        <f>Ventas!E279</f>
        <v>Online</v>
      </c>
    </row>
    <row r="280" spans="2:9" x14ac:dyDescent="0.25">
      <c r="B280" s="12">
        <f>Ventas!F280</f>
        <v>7</v>
      </c>
      <c r="C280" s="10">
        <f>VLOOKUP(Ventas!$D280,Productos!$A$1:$D$16,4,FALSE)*Ventas!F280</f>
        <v>63</v>
      </c>
      <c r="D280" s="10">
        <f>VLOOKUP(Ventas!$D280,Productos!$A$1:$D$16,3,FALSE)*Ventas!F280</f>
        <v>42</v>
      </c>
      <c r="E280" s="10">
        <f t="shared" si="4"/>
        <v>21</v>
      </c>
      <c r="F280" s="9">
        <f>YEAR(Ventas!G280)</f>
        <v>2016</v>
      </c>
      <c r="G280" s="9">
        <f>MONTH(Ventas!G280)</f>
        <v>5</v>
      </c>
      <c r="H280" s="9" t="str">
        <f>VLOOKUP(Ventas!C280,Países!$A$2:$B$186,2,FALSE)</f>
        <v>Europe</v>
      </c>
      <c r="I280" s="9" t="str">
        <f>Ventas!E280</f>
        <v>Online</v>
      </c>
    </row>
    <row r="281" spans="2:9" x14ac:dyDescent="0.25">
      <c r="B281" s="12">
        <f>Ventas!F281</f>
        <v>127</v>
      </c>
      <c r="C281" s="10">
        <f>VLOOKUP(Ventas!$D281,Productos!$A$1:$D$16,4,FALSE)*Ventas!F281</f>
        <v>506.73</v>
      </c>
      <c r="D281" s="10">
        <f>VLOOKUP(Ventas!$D281,Productos!$A$1:$D$16,3,FALSE)*Ventas!F281</f>
        <v>254</v>
      </c>
      <c r="E281" s="10">
        <f t="shared" si="4"/>
        <v>252.73000000000002</v>
      </c>
      <c r="F281" s="9">
        <f>YEAR(Ventas!G281)</f>
        <v>2016</v>
      </c>
      <c r="G281" s="9">
        <f>MONTH(Ventas!G281)</f>
        <v>5</v>
      </c>
      <c r="H281" s="9" t="str">
        <f>VLOOKUP(Ventas!C281,Países!$A$2:$B$186,2,FALSE)</f>
        <v>Middle East and North Africa</v>
      </c>
      <c r="I281" s="9" t="str">
        <f>Ventas!E281</f>
        <v>Retail</v>
      </c>
    </row>
    <row r="282" spans="2:9" x14ac:dyDescent="0.25">
      <c r="B282" s="12">
        <f>Ventas!F282</f>
        <v>123</v>
      </c>
      <c r="C282" s="10">
        <f>VLOOKUP(Ventas!$D282,Productos!$A$1:$D$16,4,FALSE)*Ventas!F282</f>
        <v>553.5</v>
      </c>
      <c r="D282" s="10">
        <f>VLOOKUP(Ventas!$D282,Productos!$A$1:$D$16,3,FALSE)*Ventas!F282</f>
        <v>307.5</v>
      </c>
      <c r="E282" s="10">
        <f t="shared" si="4"/>
        <v>246</v>
      </c>
      <c r="F282" s="9">
        <f>YEAR(Ventas!G282)</f>
        <v>2016</v>
      </c>
      <c r="G282" s="9">
        <f>MONTH(Ventas!G282)</f>
        <v>4</v>
      </c>
      <c r="H282" s="9" t="str">
        <f>VLOOKUP(Ventas!C282,Países!$A$2:$B$186,2,FALSE)</f>
        <v>Sub-Saharan Africa</v>
      </c>
      <c r="I282" s="9" t="str">
        <f>Ventas!E282</f>
        <v>Online</v>
      </c>
    </row>
    <row r="283" spans="2:9" x14ac:dyDescent="0.25">
      <c r="B283" s="12">
        <f>Ventas!F283</f>
        <v>137</v>
      </c>
      <c r="C283" s="10">
        <f>VLOOKUP(Ventas!$D283,Productos!$A$1:$D$16,4,FALSE)*Ventas!F283</f>
        <v>274</v>
      </c>
      <c r="D283" s="10">
        <f>VLOOKUP(Ventas!$D283,Productos!$A$1:$D$16,3,FALSE)*Ventas!F283</f>
        <v>137</v>
      </c>
      <c r="E283" s="10">
        <f t="shared" si="4"/>
        <v>137</v>
      </c>
      <c r="F283" s="9">
        <f>YEAR(Ventas!G283)</f>
        <v>2016</v>
      </c>
      <c r="G283" s="9">
        <f>MONTH(Ventas!G283)</f>
        <v>5</v>
      </c>
      <c r="H283" s="9" t="str">
        <f>VLOOKUP(Ventas!C283,Países!$A$2:$B$186,2,FALSE)</f>
        <v>Middle East and North Africa</v>
      </c>
      <c r="I283" s="9" t="str">
        <f>Ventas!E283</f>
        <v>Online</v>
      </c>
    </row>
    <row r="284" spans="2:9" x14ac:dyDescent="0.25">
      <c r="B284" s="12">
        <f>Ventas!F284</f>
        <v>58</v>
      </c>
      <c r="C284" s="10">
        <f>VLOOKUP(Ventas!$D284,Productos!$A$1:$D$16,4,FALSE)*Ventas!F284</f>
        <v>522</v>
      </c>
      <c r="D284" s="10">
        <f>VLOOKUP(Ventas!$D284,Productos!$A$1:$D$16,3,FALSE)*Ventas!F284</f>
        <v>348</v>
      </c>
      <c r="E284" s="10">
        <f t="shared" si="4"/>
        <v>174</v>
      </c>
      <c r="F284" s="9">
        <f>YEAR(Ventas!G284)</f>
        <v>2016</v>
      </c>
      <c r="G284" s="9">
        <f>MONTH(Ventas!G284)</f>
        <v>5</v>
      </c>
      <c r="H284" s="9" t="str">
        <f>VLOOKUP(Ventas!C284,Países!$A$2:$B$186,2,FALSE)</f>
        <v>Sub-Saharan Africa</v>
      </c>
      <c r="I284" s="9" t="str">
        <f>Ventas!E284</f>
        <v>Online</v>
      </c>
    </row>
    <row r="285" spans="2:9" x14ac:dyDescent="0.25">
      <c r="B285" s="12">
        <f>Ventas!F285</f>
        <v>134</v>
      </c>
      <c r="C285" s="10">
        <f>VLOOKUP(Ventas!$D285,Productos!$A$1:$D$16,4,FALSE)*Ventas!F285</f>
        <v>1206</v>
      </c>
      <c r="D285" s="10">
        <f>VLOOKUP(Ventas!$D285,Productos!$A$1:$D$16,3,FALSE)*Ventas!F285</f>
        <v>804</v>
      </c>
      <c r="E285" s="10">
        <f t="shared" si="4"/>
        <v>402</v>
      </c>
      <c r="F285" s="9">
        <f>YEAR(Ventas!G285)</f>
        <v>2016</v>
      </c>
      <c r="G285" s="9">
        <f>MONTH(Ventas!G285)</f>
        <v>5</v>
      </c>
      <c r="H285" s="9" t="str">
        <f>VLOOKUP(Ventas!C285,Países!$A$2:$B$186,2,FALSE)</f>
        <v>North America</v>
      </c>
      <c r="I285" s="9" t="str">
        <f>Ventas!E285</f>
        <v>Online</v>
      </c>
    </row>
    <row r="286" spans="2:9" x14ac:dyDescent="0.25">
      <c r="B286" s="12">
        <f>Ventas!F286</f>
        <v>109</v>
      </c>
      <c r="C286" s="10">
        <f>VLOOKUP(Ventas!$D286,Productos!$A$1:$D$16,4,FALSE)*Ventas!F286</f>
        <v>708.5</v>
      </c>
      <c r="D286" s="10">
        <f>VLOOKUP(Ventas!$D286,Productos!$A$1:$D$16,3,FALSE)*Ventas!F286</f>
        <v>381.5</v>
      </c>
      <c r="E286" s="10">
        <f t="shared" si="4"/>
        <v>327</v>
      </c>
      <c r="F286" s="9">
        <f>YEAR(Ventas!G286)</f>
        <v>2016</v>
      </c>
      <c r="G286" s="9">
        <f>MONTH(Ventas!G286)</f>
        <v>5</v>
      </c>
      <c r="H286" s="9" t="str">
        <f>VLOOKUP(Ventas!C286,Países!$A$2:$B$186,2,FALSE)</f>
        <v>Sub-Saharan Africa</v>
      </c>
      <c r="I286" s="9" t="str">
        <f>Ventas!E286</f>
        <v>Online</v>
      </c>
    </row>
    <row r="287" spans="2:9" x14ac:dyDescent="0.25">
      <c r="B287" s="12">
        <f>Ventas!F287</f>
        <v>28</v>
      </c>
      <c r="C287" s="10">
        <f>VLOOKUP(Ventas!$D287,Productos!$A$1:$D$16,4,FALSE)*Ventas!F287</f>
        <v>84</v>
      </c>
      <c r="D287" s="10">
        <f>VLOOKUP(Ventas!$D287,Productos!$A$1:$D$16,3,FALSE)*Ventas!F287</f>
        <v>42</v>
      </c>
      <c r="E287" s="10">
        <f t="shared" si="4"/>
        <v>42</v>
      </c>
      <c r="F287" s="9">
        <f>YEAR(Ventas!G287)</f>
        <v>2016</v>
      </c>
      <c r="G287" s="9">
        <f>MONTH(Ventas!G287)</f>
        <v>5</v>
      </c>
      <c r="H287" s="9" t="str">
        <f>VLOOKUP(Ventas!C287,Países!$A$2:$B$186,2,FALSE)</f>
        <v>Asia</v>
      </c>
      <c r="I287" s="9" t="str">
        <f>Ventas!E287</f>
        <v>Online</v>
      </c>
    </row>
    <row r="288" spans="2:9" x14ac:dyDescent="0.25">
      <c r="B288" s="12">
        <f>Ventas!F288</f>
        <v>6</v>
      </c>
      <c r="C288" s="10">
        <f>VLOOKUP(Ventas!$D288,Productos!$A$1:$D$16,4,FALSE)*Ventas!F288</f>
        <v>39</v>
      </c>
      <c r="D288" s="10">
        <f>VLOOKUP(Ventas!$D288,Productos!$A$1:$D$16,3,FALSE)*Ventas!F288</f>
        <v>21</v>
      </c>
      <c r="E288" s="10">
        <f t="shared" si="4"/>
        <v>18</v>
      </c>
      <c r="F288" s="9">
        <f>YEAR(Ventas!G288)</f>
        <v>2016</v>
      </c>
      <c r="G288" s="9">
        <f>MONTH(Ventas!G288)</f>
        <v>4</v>
      </c>
      <c r="H288" s="9" t="str">
        <f>VLOOKUP(Ventas!C288,Países!$A$2:$B$186,2,FALSE)</f>
        <v>Europe</v>
      </c>
      <c r="I288" s="9" t="str">
        <f>Ventas!E288</f>
        <v>Online</v>
      </c>
    </row>
    <row r="289" spans="2:9" x14ac:dyDescent="0.25">
      <c r="B289" s="12">
        <f>Ventas!F289</f>
        <v>184</v>
      </c>
      <c r="C289" s="10">
        <f>VLOOKUP(Ventas!$D289,Productos!$A$1:$D$16,4,FALSE)*Ventas!F289</f>
        <v>1656</v>
      </c>
      <c r="D289" s="10">
        <f>VLOOKUP(Ventas!$D289,Productos!$A$1:$D$16,3,FALSE)*Ventas!F289</f>
        <v>1104</v>
      </c>
      <c r="E289" s="10">
        <f t="shared" si="4"/>
        <v>552</v>
      </c>
      <c r="F289" s="9">
        <f>YEAR(Ventas!G289)</f>
        <v>2016</v>
      </c>
      <c r="G289" s="9">
        <f>MONTH(Ventas!G289)</f>
        <v>5</v>
      </c>
      <c r="H289" s="9" t="str">
        <f>VLOOKUP(Ventas!C289,Países!$A$2:$B$186,2,FALSE)</f>
        <v>Asia</v>
      </c>
      <c r="I289" s="9" t="str">
        <f>Ventas!E289</f>
        <v>Online</v>
      </c>
    </row>
    <row r="290" spans="2:9" x14ac:dyDescent="0.25">
      <c r="B290" s="12">
        <f>Ventas!F290</f>
        <v>128</v>
      </c>
      <c r="C290" s="10">
        <f>VLOOKUP(Ventas!$D290,Productos!$A$1:$D$16,4,FALSE)*Ventas!F290</f>
        <v>894.72</v>
      </c>
      <c r="D290" s="10">
        <f>VLOOKUP(Ventas!$D290,Productos!$A$1:$D$16,3,FALSE)*Ventas!F290</f>
        <v>448</v>
      </c>
      <c r="E290" s="10">
        <f t="shared" si="4"/>
        <v>446.72</v>
      </c>
      <c r="F290" s="9">
        <f>YEAR(Ventas!G290)</f>
        <v>2016</v>
      </c>
      <c r="G290" s="9">
        <f>MONTH(Ventas!G290)</f>
        <v>4</v>
      </c>
      <c r="H290" s="9" t="str">
        <f>VLOOKUP(Ventas!C290,Países!$A$2:$B$186,2,FALSE)</f>
        <v>Sub-Saharan Africa</v>
      </c>
      <c r="I290" s="9" t="str">
        <f>Ventas!E290</f>
        <v>Retail</v>
      </c>
    </row>
    <row r="291" spans="2:9" x14ac:dyDescent="0.25">
      <c r="B291" s="12">
        <f>Ventas!F291</f>
        <v>17</v>
      </c>
      <c r="C291" s="10">
        <f>VLOOKUP(Ventas!$D291,Productos!$A$1:$D$16,4,FALSE)*Ventas!F291</f>
        <v>76.5</v>
      </c>
      <c r="D291" s="10">
        <f>VLOOKUP(Ventas!$D291,Productos!$A$1:$D$16,3,FALSE)*Ventas!F291</f>
        <v>42.5</v>
      </c>
      <c r="E291" s="10">
        <f t="shared" si="4"/>
        <v>34</v>
      </c>
      <c r="F291" s="9">
        <f>YEAR(Ventas!G291)</f>
        <v>2016</v>
      </c>
      <c r="G291" s="9">
        <f>MONTH(Ventas!G291)</f>
        <v>4</v>
      </c>
      <c r="H291" s="9" t="str">
        <f>VLOOKUP(Ventas!C291,Países!$A$2:$B$186,2,FALSE)</f>
        <v>Sub-Saharan Africa</v>
      </c>
      <c r="I291" s="9" t="str">
        <f>Ventas!E291</f>
        <v>Online</v>
      </c>
    </row>
    <row r="292" spans="2:9" x14ac:dyDescent="0.25">
      <c r="B292" s="12">
        <f>Ventas!F292</f>
        <v>162</v>
      </c>
      <c r="C292" s="10">
        <f>VLOOKUP(Ventas!$D292,Productos!$A$1:$D$16,4,FALSE)*Ventas!F292</f>
        <v>646.38</v>
      </c>
      <c r="D292" s="10">
        <f>VLOOKUP(Ventas!$D292,Productos!$A$1:$D$16,3,FALSE)*Ventas!F292</f>
        <v>324</v>
      </c>
      <c r="E292" s="10">
        <f t="shared" si="4"/>
        <v>322.38</v>
      </c>
      <c r="F292" s="9">
        <f>YEAR(Ventas!G292)</f>
        <v>2016</v>
      </c>
      <c r="G292" s="9">
        <f>MONTH(Ventas!G292)</f>
        <v>4</v>
      </c>
      <c r="H292" s="9" t="str">
        <f>VLOOKUP(Ventas!C292,Países!$A$2:$B$186,2,FALSE)</f>
        <v>Central America and the Caribbean</v>
      </c>
      <c r="I292" s="9" t="str">
        <f>Ventas!E292</f>
        <v>Online</v>
      </c>
    </row>
    <row r="293" spans="2:9" x14ac:dyDescent="0.25">
      <c r="B293" s="12">
        <f>Ventas!F293</f>
        <v>90</v>
      </c>
      <c r="C293" s="10">
        <f>VLOOKUP(Ventas!$D293,Productos!$A$1:$D$16,4,FALSE)*Ventas!F293</f>
        <v>359.1</v>
      </c>
      <c r="D293" s="10">
        <f>VLOOKUP(Ventas!$D293,Productos!$A$1:$D$16,3,FALSE)*Ventas!F293</f>
        <v>180</v>
      </c>
      <c r="E293" s="10">
        <f t="shared" si="4"/>
        <v>179.10000000000002</v>
      </c>
      <c r="F293" s="9">
        <f>YEAR(Ventas!G293)</f>
        <v>2016</v>
      </c>
      <c r="G293" s="9">
        <f>MONTH(Ventas!G293)</f>
        <v>4</v>
      </c>
      <c r="H293" s="9" t="str">
        <f>VLOOKUP(Ventas!C293,Países!$A$2:$B$186,2,FALSE)</f>
        <v>Europe</v>
      </c>
      <c r="I293" s="9" t="str">
        <f>Ventas!E293</f>
        <v>Retail</v>
      </c>
    </row>
    <row r="294" spans="2:9" x14ac:dyDescent="0.25">
      <c r="B294" s="12">
        <f>Ventas!F294</f>
        <v>204</v>
      </c>
      <c r="C294" s="10">
        <f>VLOOKUP(Ventas!$D294,Productos!$A$1:$D$16,4,FALSE)*Ventas!F294</f>
        <v>1224</v>
      </c>
      <c r="D294" s="10">
        <f>VLOOKUP(Ventas!$D294,Productos!$A$1:$D$16,3,FALSE)*Ventas!F294</f>
        <v>612</v>
      </c>
      <c r="E294" s="10">
        <f t="shared" si="4"/>
        <v>612</v>
      </c>
      <c r="F294" s="9">
        <f>YEAR(Ventas!G294)</f>
        <v>2016</v>
      </c>
      <c r="G294" s="9">
        <f>MONTH(Ventas!G294)</f>
        <v>5</v>
      </c>
      <c r="H294" s="9" t="str">
        <f>VLOOKUP(Ventas!C294,Países!$A$2:$B$186,2,FALSE)</f>
        <v>Europe</v>
      </c>
      <c r="I294" s="9" t="str">
        <f>Ventas!E294</f>
        <v>Online</v>
      </c>
    </row>
    <row r="295" spans="2:9" x14ac:dyDescent="0.25">
      <c r="B295" s="12">
        <f>Ventas!F295</f>
        <v>117</v>
      </c>
      <c r="C295" s="10">
        <f>VLOOKUP(Ventas!$D295,Productos!$A$1:$D$16,4,FALSE)*Ventas!F295</f>
        <v>760.5</v>
      </c>
      <c r="D295" s="10">
        <f>VLOOKUP(Ventas!$D295,Productos!$A$1:$D$16,3,FALSE)*Ventas!F295</f>
        <v>409.5</v>
      </c>
      <c r="E295" s="10">
        <f t="shared" si="4"/>
        <v>351</v>
      </c>
      <c r="F295" s="9">
        <f>YEAR(Ventas!G295)</f>
        <v>2016</v>
      </c>
      <c r="G295" s="9">
        <f>MONTH(Ventas!G295)</f>
        <v>5</v>
      </c>
      <c r="H295" s="9" t="str">
        <f>VLOOKUP(Ventas!C295,Países!$A$2:$B$186,2,FALSE)</f>
        <v>Sub-Saharan Africa</v>
      </c>
      <c r="I295" s="9" t="str">
        <f>Ventas!E295</f>
        <v>Retail</v>
      </c>
    </row>
    <row r="296" spans="2:9" x14ac:dyDescent="0.25">
      <c r="B296" s="12">
        <f>Ventas!F296</f>
        <v>121</v>
      </c>
      <c r="C296" s="10">
        <f>VLOOKUP(Ventas!$D296,Productos!$A$1:$D$16,4,FALSE)*Ventas!F296</f>
        <v>482.79</v>
      </c>
      <c r="D296" s="10">
        <f>VLOOKUP(Ventas!$D296,Productos!$A$1:$D$16,3,FALSE)*Ventas!F296</f>
        <v>242</v>
      </c>
      <c r="E296" s="10">
        <f t="shared" si="4"/>
        <v>240.79000000000002</v>
      </c>
      <c r="F296" s="9">
        <f>YEAR(Ventas!G296)</f>
        <v>2016</v>
      </c>
      <c r="G296" s="9">
        <f>MONTH(Ventas!G296)</f>
        <v>5</v>
      </c>
      <c r="H296" s="9" t="str">
        <f>VLOOKUP(Ventas!C296,Países!$A$2:$B$186,2,FALSE)</f>
        <v>Europe</v>
      </c>
      <c r="I296" s="9" t="str">
        <f>Ventas!E296</f>
        <v>Retail</v>
      </c>
    </row>
    <row r="297" spans="2:9" x14ac:dyDescent="0.25">
      <c r="B297" s="12">
        <f>Ventas!F297</f>
        <v>45</v>
      </c>
      <c r="C297" s="10">
        <f>VLOOKUP(Ventas!$D297,Productos!$A$1:$D$16,4,FALSE)*Ventas!F297</f>
        <v>449.55</v>
      </c>
      <c r="D297" s="10">
        <f>VLOOKUP(Ventas!$D297,Productos!$A$1:$D$16,3,FALSE)*Ventas!F297</f>
        <v>225</v>
      </c>
      <c r="E297" s="10">
        <f t="shared" si="4"/>
        <v>224.55</v>
      </c>
      <c r="F297" s="9">
        <f>YEAR(Ventas!G297)</f>
        <v>2016</v>
      </c>
      <c r="G297" s="9">
        <f>MONTH(Ventas!G297)</f>
        <v>5</v>
      </c>
      <c r="H297" s="9" t="str">
        <f>VLOOKUP(Ventas!C297,Países!$A$2:$B$186,2,FALSE)</f>
        <v>Europe</v>
      </c>
      <c r="I297" s="9" t="str">
        <f>Ventas!E297</f>
        <v>Retail</v>
      </c>
    </row>
    <row r="298" spans="2:9" x14ac:dyDescent="0.25">
      <c r="B298" s="12">
        <f>Ventas!F298</f>
        <v>164</v>
      </c>
      <c r="C298" s="10">
        <f>VLOOKUP(Ventas!$D298,Productos!$A$1:$D$16,4,FALSE)*Ventas!F298</f>
        <v>1638.3600000000001</v>
      </c>
      <c r="D298" s="10">
        <f>VLOOKUP(Ventas!$D298,Productos!$A$1:$D$16,3,FALSE)*Ventas!F298</f>
        <v>820</v>
      </c>
      <c r="E298" s="10">
        <f t="shared" si="4"/>
        <v>818.36000000000013</v>
      </c>
      <c r="F298" s="9">
        <f>YEAR(Ventas!G298)</f>
        <v>2016</v>
      </c>
      <c r="G298" s="9">
        <f>MONTH(Ventas!G298)</f>
        <v>5</v>
      </c>
      <c r="H298" s="9" t="str">
        <f>VLOOKUP(Ventas!C298,Países!$A$2:$B$186,2,FALSE)</f>
        <v>Europe</v>
      </c>
      <c r="I298" s="9" t="str">
        <f>Ventas!E298</f>
        <v>Online</v>
      </c>
    </row>
    <row r="299" spans="2:9" x14ac:dyDescent="0.25">
      <c r="B299" s="12">
        <f>Ventas!F299</f>
        <v>76</v>
      </c>
      <c r="C299" s="10">
        <f>VLOOKUP(Ventas!$D299,Productos!$A$1:$D$16,4,FALSE)*Ventas!F299</f>
        <v>531.24</v>
      </c>
      <c r="D299" s="10">
        <f>VLOOKUP(Ventas!$D299,Productos!$A$1:$D$16,3,FALSE)*Ventas!F299</f>
        <v>266</v>
      </c>
      <c r="E299" s="10">
        <f t="shared" si="4"/>
        <v>265.24</v>
      </c>
      <c r="F299" s="9">
        <f>YEAR(Ventas!G299)</f>
        <v>2016</v>
      </c>
      <c r="G299" s="9">
        <f>MONTH(Ventas!G299)</f>
        <v>4</v>
      </c>
      <c r="H299" s="9" t="str">
        <f>VLOOKUP(Ventas!C299,Países!$A$2:$B$186,2,FALSE)</f>
        <v>Europe</v>
      </c>
      <c r="I299" s="9" t="str">
        <f>Ventas!E299</f>
        <v>Online</v>
      </c>
    </row>
    <row r="300" spans="2:9" x14ac:dyDescent="0.25">
      <c r="B300" s="12">
        <f>Ventas!F300</f>
        <v>212</v>
      </c>
      <c r="C300" s="10">
        <f>VLOOKUP(Ventas!$D300,Productos!$A$1:$D$16,4,FALSE)*Ventas!F300</f>
        <v>424</v>
      </c>
      <c r="D300" s="10">
        <f>VLOOKUP(Ventas!$D300,Productos!$A$1:$D$16,3,FALSE)*Ventas!F300</f>
        <v>212</v>
      </c>
      <c r="E300" s="10">
        <f t="shared" si="4"/>
        <v>212</v>
      </c>
      <c r="F300" s="9">
        <f>YEAR(Ventas!G300)</f>
        <v>2016</v>
      </c>
      <c r="G300" s="9">
        <f>MONTH(Ventas!G300)</f>
        <v>5</v>
      </c>
      <c r="H300" s="9" t="str">
        <f>VLOOKUP(Ventas!C300,Países!$A$2:$B$186,2,FALSE)</f>
        <v>Central America and the Caribbean</v>
      </c>
      <c r="I300" s="9" t="str">
        <f>Ventas!E300</f>
        <v>Direct</v>
      </c>
    </row>
    <row r="301" spans="2:9" x14ac:dyDescent="0.25">
      <c r="B301" s="12">
        <f>Ventas!F301</f>
        <v>91</v>
      </c>
      <c r="C301" s="10">
        <f>VLOOKUP(Ventas!$D301,Productos!$A$1:$D$16,4,FALSE)*Ventas!F301</f>
        <v>909.09</v>
      </c>
      <c r="D301" s="10">
        <f>VLOOKUP(Ventas!$D301,Productos!$A$1:$D$16,3,FALSE)*Ventas!F301</f>
        <v>455</v>
      </c>
      <c r="E301" s="10">
        <f t="shared" si="4"/>
        <v>454.09000000000003</v>
      </c>
      <c r="F301" s="9">
        <f>YEAR(Ventas!G301)</f>
        <v>2016</v>
      </c>
      <c r="G301" s="9">
        <f>MONTH(Ventas!G301)</f>
        <v>5</v>
      </c>
      <c r="H301" s="9" t="str">
        <f>VLOOKUP(Ventas!C301,Países!$A$2:$B$186,2,FALSE)</f>
        <v>Sub-Saharan Africa</v>
      </c>
      <c r="I301" s="9" t="str">
        <f>Ventas!E301</f>
        <v>Retail</v>
      </c>
    </row>
    <row r="302" spans="2:9" x14ac:dyDescent="0.25">
      <c r="B302" s="12">
        <f>Ventas!F302</f>
        <v>198</v>
      </c>
      <c r="C302" s="10">
        <f>VLOOKUP(Ventas!$D302,Productos!$A$1:$D$16,4,FALSE)*Ventas!F302</f>
        <v>594</v>
      </c>
      <c r="D302" s="10">
        <f>VLOOKUP(Ventas!$D302,Productos!$A$1:$D$16,3,FALSE)*Ventas!F302</f>
        <v>297</v>
      </c>
      <c r="E302" s="10">
        <f t="shared" si="4"/>
        <v>297</v>
      </c>
      <c r="F302" s="9">
        <f>YEAR(Ventas!G302)</f>
        <v>2016</v>
      </c>
      <c r="G302" s="9">
        <f>MONTH(Ventas!G302)</f>
        <v>4</v>
      </c>
      <c r="H302" s="9" t="str">
        <f>VLOOKUP(Ventas!C302,Países!$A$2:$B$186,2,FALSE)</f>
        <v>Middle East and North Africa</v>
      </c>
      <c r="I302" s="9" t="str">
        <f>Ventas!E302</f>
        <v>Online</v>
      </c>
    </row>
    <row r="303" spans="2:9" x14ac:dyDescent="0.25">
      <c r="B303" s="12">
        <f>Ventas!F303</f>
        <v>202</v>
      </c>
      <c r="C303" s="10">
        <f>VLOOKUP(Ventas!$D303,Productos!$A$1:$D$16,4,FALSE)*Ventas!F303</f>
        <v>606</v>
      </c>
      <c r="D303" s="10">
        <f>VLOOKUP(Ventas!$D303,Productos!$A$1:$D$16,3,FALSE)*Ventas!F303</f>
        <v>303</v>
      </c>
      <c r="E303" s="10">
        <f t="shared" si="4"/>
        <v>303</v>
      </c>
      <c r="F303" s="9">
        <f>YEAR(Ventas!G303)</f>
        <v>2016</v>
      </c>
      <c r="G303" s="9">
        <f>MONTH(Ventas!G303)</f>
        <v>4</v>
      </c>
      <c r="H303" s="9" t="str">
        <f>VLOOKUP(Ventas!C303,Países!$A$2:$B$186,2,FALSE)</f>
        <v>Europe</v>
      </c>
      <c r="I303" s="9" t="str">
        <f>Ventas!E303</f>
        <v>Online</v>
      </c>
    </row>
    <row r="304" spans="2:9" x14ac:dyDescent="0.25">
      <c r="B304" s="12">
        <f>Ventas!F304</f>
        <v>136</v>
      </c>
      <c r="C304" s="10">
        <f>VLOOKUP(Ventas!$D304,Productos!$A$1:$D$16,4,FALSE)*Ventas!F304</f>
        <v>408</v>
      </c>
      <c r="D304" s="10">
        <f>VLOOKUP(Ventas!$D304,Productos!$A$1:$D$16,3,FALSE)*Ventas!F304</f>
        <v>204</v>
      </c>
      <c r="E304" s="10">
        <f t="shared" si="4"/>
        <v>204</v>
      </c>
      <c r="F304" s="9">
        <f>YEAR(Ventas!G304)</f>
        <v>2016</v>
      </c>
      <c r="G304" s="9">
        <f>MONTH(Ventas!G304)</f>
        <v>4</v>
      </c>
      <c r="H304" s="9" t="str">
        <f>VLOOKUP(Ventas!C304,Países!$A$2:$B$186,2,FALSE)</f>
        <v>Sub-Saharan Africa</v>
      </c>
      <c r="I304" s="9" t="str">
        <f>Ventas!E304</f>
        <v>Online</v>
      </c>
    </row>
    <row r="305" spans="2:9" x14ac:dyDescent="0.25">
      <c r="B305" s="12">
        <f>Ventas!F305</f>
        <v>70</v>
      </c>
      <c r="C305" s="10">
        <f>VLOOKUP(Ventas!$D305,Productos!$A$1:$D$16,4,FALSE)*Ventas!F305</f>
        <v>630</v>
      </c>
      <c r="D305" s="10">
        <f>VLOOKUP(Ventas!$D305,Productos!$A$1:$D$16,3,FALSE)*Ventas!F305</f>
        <v>420</v>
      </c>
      <c r="E305" s="10">
        <f t="shared" si="4"/>
        <v>210</v>
      </c>
      <c r="F305" s="9">
        <f>YEAR(Ventas!G305)</f>
        <v>2016</v>
      </c>
      <c r="G305" s="9">
        <f>MONTH(Ventas!G305)</f>
        <v>5</v>
      </c>
      <c r="H305" s="9" t="str">
        <f>VLOOKUP(Ventas!C305,Países!$A$2:$B$186,2,FALSE)</f>
        <v>Asia</v>
      </c>
      <c r="I305" s="9" t="str">
        <f>Ventas!E305</f>
        <v>Online</v>
      </c>
    </row>
    <row r="306" spans="2:9" x14ac:dyDescent="0.25">
      <c r="B306" s="12">
        <f>Ventas!F306</f>
        <v>95</v>
      </c>
      <c r="C306" s="10">
        <f>VLOOKUP(Ventas!$D306,Productos!$A$1:$D$16,4,FALSE)*Ventas!F306</f>
        <v>617.5</v>
      </c>
      <c r="D306" s="10">
        <f>VLOOKUP(Ventas!$D306,Productos!$A$1:$D$16,3,FALSE)*Ventas!F306</f>
        <v>332.5</v>
      </c>
      <c r="E306" s="10">
        <f t="shared" si="4"/>
        <v>285</v>
      </c>
      <c r="F306" s="9">
        <f>YEAR(Ventas!G306)</f>
        <v>2016</v>
      </c>
      <c r="G306" s="9">
        <f>MONTH(Ventas!G306)</f>
        <v>5</v>
      </c>
      <c r="H306" s="9" t="str">
        <f>VLOOKUP(Ventas!C306,Países!$A$2:$B$186,2,FALSE)</f>
        <v>Central America and the Caribbean</v>
      </c>
      <c r="I306" s="9" t="str">
        <f>Ventas!E306</f>
        <v>Retail</v>
      </c>
    </row>
    <row r="307" spans="2:9" x14ac:dyDescent="0.25">
      <c r="B307" s="12">
        <f>Ventas!F307</f>
        <v>150</v>
      </c>
      <c r="C307" s="10">
        <f>VLOOKUP(Ventas!$D307,Productos!$A$1:$D$16,4,FALSE)*Ventas!F307</f>
        <v>1048.5</v>
      </c>
      <c r="D307" s="10">
        <f>VLOOKUP(Ventas!$D307,Productos!$A$1:$D$16,3,FALSE)*Ventas!F307</f>
        <v>525</v>
      </c>
      <c r="E307" s="10">
        <f t="shared" si="4"/>
        <v>523.5</v>
      </c>
      <c r="F307" s="9">
        <f>YEAR(Ventas!G307)</f>
        <v>2016</v>
      </c>
      <c r="G307" s="9">
        <f>MONTH(Ventas!G307)</f>
        <v>4</v>
      </c>
      <c r="H307" s="9" t="str">
        <f>VLOOKUP(Ventas!C307,Países!$A$2:$B$186,2,FALSE)</f>
        <v>Sub-Saharan Africa</v>
      </c>
      <c r="I307" s="9" t="str">
        <f>Ventas!E307</f>
        <v>Retail</v>
      </c>
    </row>
    <row r="308" spans="2:9" x14ac:dyDescent="0.25">
      <c r="B308" s="12">
        <f>Ventas!F308</f>
        <v>146</v>
      </c>
      <c r="C308" s="10">
        <f>VLOOKUP(Ventas!$D308,Productos!$A$1:$D$16,4,FALSE)*Ventas!F308</f>
        <v>1458.54</v>
      </c>
      <c r="D308" s="10">
        <f>VLOOKUP(Ventas!$D308,Productos!$A$1:$D$16,3,FALSE)*Ventas!F308</f>
        <v>730</v>
      </c>
      <c r="E308" s="10">
        <f t="shared" si="4"/>
        <v>728.54</v>
      </c>
      <c r="F308" s="9">
        <f>YEAR(Ventas!G308)</f>
        <v>2016</v>
      </c>
      <c r="G308" s="9">
        <f>MONTH(Ventas!G308)</f>
        <v>4</v>
      </c>
      <c r="H308" s="9" t="str">
        <f>VLOOKUP(Ventas!C308,Países!$A$2:$B$186,2,FALSE)</f>
        <v>Australia and Oceania</v>
      </c>
      <c r="I308" s="9" t="str">
        <f>Ventas!E308</f>
        <v>Online</v>
      </c>
    </row>
    <row r="309" spans="2:9" x14ac:dyDescent="0.25">
      <c r="B309" s="12">
        <f>Ventas!F309</f>
        <v>9</v>
      </c>
      <c r="C309" s="10">
        <f>VLOOKUP(Ventas!$D309,Productos!$A$1:$D$16,4,FALSE)*Ventas!F309</f>
        <v>35.910000000000004</v>
      </c>
      <c r="D309" s="10">
        <f>VLOOKUP(Ventas!$D309,Productos!$A$1:$D$16,3,FALSE)*Ventas!F309</f>
        <v>18</v>
      </c>
      <c r="E309" s="10">
        <f t="shared" si="4"/>
        <v>17.910000000000004</v>
      </c>
      <c r="F309" s="9">
        <f>YEAR(Ventas!G309)</f>
        <v>2016</v>
      </c>
      <c r="G309" s="9">
        <f>MONTH(Ventas!G309)</f>
        <v>4</v>
      </c>
      <c r="H309" s="9" t="str">
        <f>VLOOKUP(Ventas!C309,Países!$A$2:$B$186,2,FALSE)</f>
        <v>Asia</v>
      </c>
      <c r="I309" s="9" t="str">
        <f>Ventas!E309</f>
        <v>Direct</v>
      </c>
    </row>
    <row r="310" spans="2:9" x14ac:dyDescent="0.25">
      <c r="B310" s="12">
        <f>Ventas!F310</f>
        <v>68</v>
      </c>
      <c r="C310" s="10">
        <f>VLOOKUP(Ventas!$D310,Productos!$A$1:$D$16,4,FALSE)*Ventas!F310</f>
        <v>204</v>
      </c>
      <c r="D310" s="10">
        <f>VLOOKUP(Ventas!$D310,Productos!$A$1:$D$16,3,FALSE)*Ventas!F310</f>
        <v>102</v>
      </c>
      <c r="E310" s="10">
        <f t="shared" si="4"/>
        <v>102</v>
      </c>
      <c r="F310" s="9">
        <f>YEAR(Ventas!G310)</f>
        <v>2016</v>
      </c>
      <c r="G310" s="9">
        <f>MONTH(Ventas!G310)</f>
        <v>4</v>
      </c>
      <c r="H310" s="9" t="str">
        <f>VLOOKUP(Ventas!C310,Países!$A$2:$B$186,2,FALSE)</f>
        <v>Sub-Saharan Africa</v>
      </c>
      <c r="I310" s="9" t="str">
        <f>Ventas!E310</f>
        <v>Online</v>
      </c>
    </row>
    <row r="311" spans="2:9" x14ac:dyDescent="0.25">
      <c r="B311" s="12">
        <f>Ventas!F311</f>
        <v>71</v>
      </c>
      <c r="C311" s="10">
        <f>VLOOKUP(Ventas!$D311,Productos!$A$1:$D$16,4,FALSE)*Ventas!F311</f>
        <v>709.29</v>
      </c>
      <c r="D311" s="10">
        <f>VLOOKUP(Ventas!$D311,Productos!$A$1:$D$16,3,FALSE)*Ventas!F311</f>
        <v>355</v>
      </c>
      <c r="E311" s="10">
        <f t="shared" si="4"/>
        <v>354.28999999999996</v>
      </c>
      <c r="F311" s="9">
        <f>YEAR(Ventas!G311)</f>
        <v>2016</v>
      </c>
      <c r="G311" s="9">
        <f>MONTH(Ventas!G311)</f>
        <v>5</v>
      </c>
      <c r="H311" s="9" t="str">
        <f>VLOOKUP(Ventas!C311,Países!$A$2:$B$186,2,FALSE)</f>
        <v>Europe</v>
      </c>
      <c r="I311" s="9" t="str">
        <f>Ventas!E311</f>
        <v>Online</v>
      </c>
    </row>
    <row r="312" spans="2:9" x14ac:dyDescent="0.25">
      <c r="B312" s="12">
        <f>Ventas!F312</f>
        <v>72</v>
      </c>
      <c r="C312" s="10">
        <f>VLOOKUP(Ventas!$D312,Productos!$A$1:$D$16,4,FALSE)*Ventas!F312</f>
        <v>468</v>
      </c>
      <c r="D312" s="10">
        <f>VLOOKUP(Ventas!$D312,Productos!$A$1:$D$16,3,FALSE)*Ventas!F312</f>
        <v>252</v>
      </c>
      <c r="E312" s="10">
        <f t="shared" si="4"/>
        <v>216</v>
      </c>
      <c r="F312" s="9">
        <f>YEAR(Ventas!G312)</f>
        <v>2016</v>
      </c>
      <c r="G312" s="9">
        <f>MONTH(Ventas!G312)</f>
        <v>5</v>
      </c>
      <c r="H312" s="9" t="str">
        <f>VLOOKUP(Ventas!C312,Países!$A$2:$B$186,2,FALSE)</f>
        <v>Sub-Saharan Africa</v>
      </c>
      <c r="I312" s="9" t="str">
        <f>Ventas!E312</f>
        <v>Retail</v>
      </c>
    </row>
    <row r="313" spans="2:9" x14ac:dyDescent="0.25">
      <c r="B313" s="12">
        <f>Ventas!F313</f>
        <v>67</v>
      </c>
      <c r="C313" s="10">
        <f>VLOOKUP(Ventas!$D313,Productos!$A$1:$D$16,4,FALSE)*Ventas!F313</f>
        <v>301.5</v>
      </c>
      <c r="D313" s="10">
        <f>VLOOKUP(Ventas!$D313,Productos!$A$1:$D$16,3,FALSE)*Ventas!F313</f>
        <v>167.5</v>
      </c>
      <c r="E313" s="10">
        <f t="shared" si="4"/>
        <v>134</v>
      </c>
      <c r="F313" s="9">
        <f>YEAR(Ventas!G313)</f>
        <v>2016</v>
      </c>
      <c r="G313" s="9">
        <f>MONTH(Ventas!G313)</f>
        <v>5</v>
      </c>
      <c r="H313" s="9" t="str">
        <f>VLOOKUP(Ventas!C313,Países!$A$2:$B$186,2,FALSE)</f>
        <v>Sub-Saharan Africa</v>
      </c>
      <c r="I313" s="9" t="str">
        <f>Ventas!E313</f>
        <v>Online</v>
      </c>
    </row>
    <row r="314" spans="2:9" x14ac:dyDescent="0.25">
      <c r="B314" s="12">
        <f>Ventas!F314</f>
        <v>33</v>
      </c>
      <c r="C314" s="10">
        <f>VLOOKUP(Ventas!$D314,Productos!$A$1:$D$16,4,FALSE)*Ventas!F314</f>
        <v>131.67000000000002</v>
      </c>
      <c r="D314" s="10">
        <f>VLOOKUP(Ventas!$D314,Productos!$A$1:$D$16,3,FALSE)*Ventas!F314</f>
        <v>66</v>
      </c>
      <c r="E314" s="10">
        <f t="shared" si="4"/>
        <v>65.670000000000016</v>
      </c>
      <c r="F314" s="9">
        <f>YEAR(Ventas!G314)</f>
        <v>2016</v>
      </c>
      <c r="G314" s="9">
        <f>MONTH(Ventas!G314)</f>
        <v>5</v>
      </c>
      <c r="H314" s="9" t="str">
        <f>VLOOKUP(Ventas!C314,Países!$A$2:$B$186,2,FALSE)</f>
        <v>Middle East and North Africa</v>
      </c>
      <c r="I314" s="9" t="str">
        <f>Ventas!E314</f>
        <v>Retail</v>
      </c>
    </row>
    <row r="315" spans="2:9" x14ac:dyDescent="0.25">
      <c r="B315" s="12">
        <f>Ventas!F315</f>
        <v>29</v>
      </c>
      <c r="C315" s="10">
        <f>VLOOKUP(Ventas!$D315,Productos!$A$1:$D$16,4,FALSE)*Ventas!F315</f>
        <v>261</v>
      </c>
      <c r="D315" s="10">
        <f>VLOOKUP(Ventas!$D315,Productos!$A$1:$D$16,3,FALSE)*Ventas!F315</f>
        <v>174</v>
      </c>
      <c r="E315" s="10">
        <f t="shared" si="4"/>
        <v>87</v>
      </c>
      <c r="F315" s="9">
        <f>YEAR(Ventas!G315)</f>
        <v>2016</v>
      </c>
      <c r="G315" s="9">
        <f>MONTH(Ventas!G315)</f>
        <v>5</v>
      </c>
      <c r="H315" s="9" t="str">
        <f>VLOOKUP(Ventas!C315,Países!$A$2:$B$186,2,FALSE)</f>
        <v>Europe</v>
      </c>
      <c r="I315" s="9" t="str">
        <f>Ventas!E315</f>
        <v>Retail</v>
      </c>
    </row>
    <row r="316" spans="2:9" x14ac:dyDescent="0.25">
      <c r="B316" s="12">
        <f>Ventas!F316</f>
        <v>199</v>
      </c>
      <c r="C316" s="10">
        <f>VLOOKUP(Ventas!$D316,Productos!$A$1:$D$16,4,FALSE)*Ventas!F316</f>
        <v>794.01</v>
      </c>
      <c r="D316" s="10">
        <f>VLOOKUP(Ventas!$D316,Productos!$A$1:$D$16,3,FALSE)*Ventas!F316</f>
        <v>398</v>
      </c>
      <c r="E316" s="10">
        <f t="shared" si="4"/>
        <v>396.01</v>
      </c>
      <c r="F316" s="9">
        <f>YEAR(Ventas!G316)</f>
        <v>2016</v>
      </c>
      <c r="G316" s="9">
        <f>MONTH(Ventas!G316)</f>
        <v>5</v>
      </c>
      <c r="H316" s="9" t="str">
        <f>VLOOKUP(Ventas!C316,Países!$A$2:$B$186,2,FALSE)</f>
        <v>Sub-Saharan Africa</v>
      </c>
      <c r="I316" s="9" t="str">
        <f>Ventas!E316</f>
        <v>Retail</v>
      </c>
    </row>
    <row r="317" spans="2:9" x14ac:dyDescent="0.25">
      <c r="B317" s="12">
        <f>Ventas!F317</f>
        <v>62</v>
      </c>
      <c r="C317" s="10">
        <f>VLOOKUP(Ventas!$D317,Productos!$A$1:$D$16,4,FALSE)*Ventas!F317</f>
        <v>124</v>
      </c>
      <c r="D317" s="10">
        <f>VLOOKUP(Ventas!$D317,Productos!$A$1:$D$16,3,FALSE)*Ventas!F317</f>
        <v>62</v>
      </c>
      <c r="E317" s="10">
        <f t="shared" si="4"/>
        <v>62</v>
      </c>
      <c r="F317" s="9">
        <f>YEAR(Ventas!G317)</f>
        <v>2016</v>
      </c>
      <c r="G317" s="9">
        <f>MONTH(Ventas!G317)</f>
        <v>4</v>
      </c>
      <c r="H317" s="9" t="str">
        <f>VLOOKUP(Ventas!C317,Países!$A$2:$B$186,2,FALSE)</f>
        <v>Europe</v>
      </c>
      <c r="I317" s="9" t="str">
        <f>Ventas!E317</f>
        <v>Online</v>
      </c>
    </row>
    <row r="318" spans="2:9" x14ac:dyDescent="0.25">
      <c r="B318" s="12">
        <f>Ventas!F318</f>
        <v>119</v>
      </c>
      <c r="C318" s="10">
        <f>VLOOKUP(Ventas!$D318,Productos!$A$1:$D$16,4,FALSE)*Ventas!F318</f>
        <v>238</v>
      </c>
      <c r="D318" s="10">
        <f>VLOOKUP(Ventas!$D318,Productos!$A$1:$D$16,3,FALSE)*Ventas!F318</f>
        <v>119</v>
      </c>
      <c r="E318" s="10">
        <f t="shared" si="4"/>
        <v>119</v>
      </c>
      <c r="F318" s="9">
        <f>YEAR(Ventas!G318)</f>
        <v>2016</v>
      </c>
      <c r="G318" s="9">
        <f>MONTH(Ventas!G318)</f>
        <v>5</v>
      </c>
      <c r="H318" s="9" t="str">
        <f>VLOOKUP(Ventas!C318,Países!$A$2:$B$186,2,FALSE)</f>
        <v>Australia and Oceania</v>
      </c>
      <c r="I318" s="9" t="str">
        <f>Ventas!E318</f>
        <v>Online</v>
      </c>
    </row>
    <row r="319" spans="2:9" x14ac:dyDescent="0.25">
      <c r="B319" s="12">
        <f>Ventas!F319</f>
        <v>50</v>
      </c>
      <c r="C319" s="10">
        <f>VLOOKUP(Ventas!$D319,Productos!$A$1:$D$16,4,FALSE)*Ventas!F319</f>
        <v>199.5</v>
      </c>
      <c r="D319" s="10">
        <f>VLOOKUP(Ventas!$D319,Productos!$A$1:$D$16,3,FALSE)*Ventas!F319</f>
        <v>100</v>
      </c>
      <c r="E319" s="10">
        <f t="shared" si="4"/>
        <v>99.5</v>
      </c>
      <c r="F319" s="9">
        <f>YEAR(Ventas!G319)</f>
        <v>2016</v>
      </c>
      <c r="G319" s="9">
        <f>MONTH(Ventas!G319)</f>
        <v>4</v>
      </c>
      <c r="H319" s="9" t="str">
        <f>VLOOKUP(Ventas!C319,Países!$A$2:$B$186,2,FALSE)</f>
        <v>Sub-Saharan Africa</v>
      </c>
      <c r="I319" s="9" t="str">
        <f>Ventas!E319</f>
        <v>Online</v>
      </c>
    </row>
    <row r="320" spans="2:9" x14ac:dyDescent="0.25">
      <c r="B320" s="12">
        <f>Ventas!F320</f>
        <v>1</v>
      </c>
      <c r="C320" s="10">
        <f>VLOOKUP(Ventas!$D320,Productos!$A$1:$D$16,4,FALSE)*Ventas!F320</f>
        <v>9</v>
      </c>
      <c r="D320" s="10">
        <f>VLOOKUP(Ventas!$D320,Productos!$A$1:$D$16,3,FALSE)*Ventas!F320</f>
        <v>6</v>
      </c>
      <c r="E320" s="10">
        <f t="shared" si="4"/>
        <v>3</v>
      </c>
      <c r="F320" s="9">
        <f>YEAR(Ventas!G320)</f>
        <v>2016</v>
      </c>
      <c r="G320" s="9">
        <f>MONTH(Ventas!G320)</f>
        <v>5</v>
      </c>
      <c r="H320" s="9" t="str">
        <f>VLOOKUP(Ventas!C320,Países!$A$2:$B$186,2,FALSE)</f>
        <v>Middle East and North Africa</v>
      </c>
      <c r="I320" s="9" t="str">
        <f>Ventas!E320</f>
        <v>Online</v>
      </c>
    </row>
    <row r="321" spans="2:9" x14ac:dyDescent="0.25">
      <c r="B321" s="12">
        <f>Ventas!F321</f>
        <v>75</v>
      </c>
      <c r="C321" s="10">
        <f>VLOOKUP(Ventas!$D321,Productos!$A$1:$D$16,4,FALSE)*Ventas!F321</f>
        <v>299.25</v>
      </c>
      <c r="D321" s="10">
        <f>VLOOKUP(Ventas!$D321,Productos!$A$1:$D$16,3,FALSE)*Ventas!F321</f>
        <v>150</v>
      </c>
      <c r="E321" s="10">
        <f t="shared" si="4"/>
        <v>149.25</v>
      </c>
      <c r="F321" s="9">
        <f>YEAR(Ventas!G321)</f>
        <v>2016</v>
      </c>
      <c r="G321" s="9">
        <f>MONTH(Ventas!G321)</f>
        <v>5</v>
      </c>
      <c r="H321" s="9" t="str">
        <f>VLOOKUP(Ventas!C321,Países!$A$2:$B$186,2,FALSE)</f>
        <v>Sub-Saharan Africa</v>
      </c>
      <c r="I321" s="9" t="str">
        <f>Ventas!E321</f>
        <v>Online</v>
      </c>
    </row>
    <row r="322" spans="2:9" x14ac:dyDescent="0.25">
      <c r="B322" s="12">
        <f>Ventas!F322</f>
        <v>146</v>
      </c>
      <c r="C322" s="10">
        <f>VLOOKUP(Ventas!$D322,Productos!$A$1:$D$16,4,FALSE)*Ventas!F322</f>
        <v>438</v>
      </c>
      <c r="D322" s="10">
        <f>VLOOKUP(Ventas!$D322,Productos!$A$1:$D$16,3,FALSE)*Ventas!F322</f>
        <v>219</v>
      </c>
      <c r="E322" s="10">
        <f t="shared" si="4"/>
        <v>219</v>
      </c>
      <c r="F322" s="9">
        <f>YEAR(Ventas!G322)</f>
        <v>2016</v>
      </c>
      <c r="G322" s="9">
        <f>MONTH(Ventas!G322)</f>
        <v>5</v>
      </c>
      <c r="H322" s="9" t="str">
        <f>VLOOKUP(Ventas!C322,Países!$A$2:$B$186,2,FALSE)</f>
        <v>Sub-Saharan Africa</v>
      </c>
      <c r="I322" s="9" t="str">
        <f>Ventas!E322</f>
        <v>Direct</v>
      </c>
    </row>
    <row r="323" spans="2:9" x14ac:dyDescent="0.25">
      <c r="B323" s="12">
        <f>Ventas!F323</f>
        <v>55</v>
      </c>
      <c r="C323" s="10">
        <f>VLOOKUP(Ventas!$D323,Productos!$A$1:$D$16,4,FALSE)*Ventas!F323</f>
        <v>330</v>
      </c>
      <c r="D323" s="10">
        <f>VLOOKUP(Ventas!$D323,Productos!$A$1:$D$16,3,FALSE)*Ventas!F323</f>
        <v>165</v>
      </c>
      <c r="E323" s="10">
        <f t="shared" ref="E323:E386" si="5">C323-D323</f>
        <v>165</v>
      </c>
      <c r="F323" s="9">
        <f>YEAR(Ventas!G323)</f>
        <v>2016</v>
      </c>
      <c r="G323" s="9">
        <f>MONTH(Ventas!G323)</f>
        <v>5</v>
      </c>
      <c r="H323" s="9" t="str">
        <f>VLOOKUP(Ventas!C323,Países!$A$2:$B$186,2,FALSE)</f>
        <v>Middle East and North Africa</v>
      </c>
      <c r="I323" s="9" t="str">
        <f>Ventas!E323</f>
        <v>Retail</v>
      </c>
    </row>
    <row r="324" spans="2:9" x14ac:dyDescent="0.25">
      <c r="B324" s="12">
        <f>Ventas!F324</f>
        <v>11</v>
      </c>
      <c r="C324" s="10">
        <f>VLOOKUP(Ventas!$D324,Productos!$A$1:$D$16,4,FALSE)*Ventas!F324</f>
        <v>49.5</v>
      </c>
      <c r="D324" s="10">
        <f>VLOOKUP(Ventas!$D324,Productos!$A$1:$D$16,3,FALSE)*Ventas!F324</f>
        <v>27.5</v>
      </c>
      <c r="E324" s="10">
        <f t="shared" si="5"/>
        <v>22</v>
      </c>
      <c r="F324" s="9">
        <f>YEAR(Ventas!G324)</f>
        <v>2016</v>
      </c>
      <c r="G324" s="9">
        <f>MONTH(Ventas!G324)</f>
        <v>4</v>
      </c>
      <c r="H324" s="9" t="str">
        <f>VLOOKUP(Ventas!C324,Países!$A$2:$B$186,2,FALSE)</f>
        <v>Europe</v>
      </c>
      <c r="I324" s="9" t="str">
        <f>Ventas!E324</f>
        <v>Retail</v>
      </c>
    </row>
    <row r="325" spans="2:9" x14ac:dyDescent="0.25">
      <c r="B325" s="12">
        <f>Ventas!F325</f>
        <v>164</v>
      </c>
      <c r="C325" s="10">
        <f>VLOOKUP(Ventas!$D325,Productos!$A$1:$D$16,4,FALSE)*Ventas!F325</f>
        <v>984</v>
      </c>
      <c r="D325" s="10">
        <f>VLOOKUP(Ventas!$D325,Productos!$A$1:$D$16,3,FALSE)*Ventas!F325</f>
        <v>492</v>
      </c>
      <c r="E325" s="10">
        <f t="shared" si="5"/>
        <v>492</v>
      </c>
      <c r="F325" s="9">
        <f>YEAR(Ventas!G325)</f>
        <v>2016</v>
      </c>
      <c r="G325" s="9">
        <f>MONTH(Ventas!G325)</f>
        <v>5</v>
      </c>
      <c r="H325" s="9" t="str">
        <f>VLOOKUP(Ventas!C325,Países!$A$2:$B$186,2,FALSE)</f>
        <v>Sub-Saharan Africa</v>
      </c>
      <c r="I325" s="9" t="str">
        <f>Ventas!E325</f>
        <v>Online</v>
      </c>
    </row>
    <row r="326" spans="2:9" x14ac:dyDescent="0.25">
      <c r="B326" s="12">
        <f>Ventas!F326</f>
        <v>175</v>
      </c>
      <c r="C326" s="10">
        <f>VLOOKUP(Ventas!$D326,Productos!$A$1:$D$16,4,FALSE)*Ventas!F326</f>
        <v>1050</v>
      </c>
      <c r="D326" s="10">
        <f>VLOOKUP(Ventas!$D326,Productos!$A$1:$D$16,3,FALSE)*Ventas!F326</f>
        <v>525</v>
      </c>
      <c r="E326" s="10">
        <f t="shared" si="5"/>
        <v>525</v>
      </c>
      <c r="F326" s="9">
        <f>YEAR(Ventas!G326)</f>
        <v>2016</v>
      </c>
      <c r="G326" s="9">
        <f>MONTH(Ventas!G326)</f>
        <v>5</v>
      </c>
      <c r="H326" s="9" t="str">
        <f>VLOOKUP(Ventas!C326,Países!$A$2:$B$186,2,FALSE)</f>
        <v>Middle East and North Africa</v>
      </c>
      <c r="I326" s="9" t="str">
        <f>Ventas!E326</f>
        <v>Online</v>
      </c>
    </row>
    <row r="327" spans="2:9" x14ac:dyDescent="0.25">
      <c r="B327" s="12">
        <f>Ventas!F327</f>
        <v>102</v>
      </c>
      <c r="C327" s="10">
        <f>VLOOKUP(Ventas!$D327,Productos!$A$1:$D$16,4,FALSE)*Ventas!F327</f>
        <v>1018.98</v>
      </c>
      <c r="D327" s="10">
        <f>VLOOKUP(Ventas!$D327,Productos!$A$1:$D$16,3,FALSE)*Ventas!F327</f>
        <v>510</v>
      </c>
      <c r="E327" s="10">
        <f t="shared" si="5"/>
        <v>508.98</v>
      </c>
      <c r="F327" s="9">
        <f>YEAR(Ventas!G327)</f>
        <v>2016</v>
      </c>
      <c r="G327" s="9">
        <f>MONTH(Ventas!G327)</f>
        <v>4</v>
      </c>
      <c r="H327" s="9" t="str">
        <f>VLOOKUP(Ventas!C327,Países!$A$2:$B$186,2,FALSE)</f>
        <v>Sub-Saharan Africa</v>
      </c>
      <c r="I327" s="9" t="str">
        <f>Ventas!E327</f>
        <v>Retail</v>
      </c>
    </row>
    <row r="328" spans="2:9" x14ac:dyDescent="0.25">
      <c r="B328" s="12">
        <f>Ventas!F328</f>
        <v>59</v>
      </c>
      <c r="C328" s="10">
        <f>VLOOKUP(Ventas!$D328,Productos!$A$1:$D$16,4,FALSE)*Ventas!F328</f>
        <v>235.41000000000003</v>
      </c>
      <c r="D328" s="10">
        <f>VLOOKUP(Ventas!$D328,Productos!$A$1:$D$16,3,FALSE)*Ventas!F328</f>
        <v>118</v>
      </c>
      <c r="E328" s="10">
        <f t="shared" si="5"/>
        <v>117.41000000000003</v>
      </c>
      <c r="F328" s="9">
        <f>YEAR(Ventas!G328)</f>
        <v>2016</v>
      </c>
      <c r="G328" s="9">
        <f>MONTH(Ventas!G328)</f>
        <v>5</v>
      </c>
      <c r="H328" s="9" t="str">
        <f>VLOOKUP(Ventas!C328,Países!$A$2:$B$186,2,FALSE)</f>
        <v>Sub-Saharan Africa</v>
      </c>
      <c r="I328" s="9" t="str">
        <f>Ventas!E328</f>
        <v>Retail</v>
      </c>
    </row>
    <row r="329" spans="2:9" x14ac:dyDescent="0.25">
      <c r="B329" s="12">
        <f>Ventas!F329</f>
        <v>111</v>
      </c>
      <c r="C329" s="10">
        <f>VLOOKUP(Ventas!$D329,Productos!$A$1:$D$16,4,FALSE)*Ventas!F329</f>
        <v>999</v>
      </c>
      <c r="D329" s="10">
        <f>VLOOKUP(Ventas!$D329,Productos!$A$1:$D$16,3,FALSE)*Ventas!F329</f>
        <v>666</v>
      </c>
      <c r="E329" s="10">
        <f t="shared" si="5"/>
        <v>333</v>
      </c>
      <c r="F329" s="9">
        <f>YEAR(Ventas!G329)</f>
        <v>2016</v>
      </c>
      <c r="G329" s="9">
        <f>MONTH(Ventas!G329)</f>
        <v>4</v>
      </c>
      <c r="H329" s="9" t="str">
        <f>VLOOKUP(Ventas!C329,Países!$A$2:$B$186,2,FALSE)</f>
        <v>Asia</v>
      </c>
      <c r="I329" s="9" t="str">
        <f>Ventas!E329</f>
        <v>Retail</v>
      </c>
    </row>
    <row r="330" spans="2:9" x14ac:dyDescent="0.25">
      <c r="B330" s="12">
        <f>Ventas!F330</f>
        <v>148</v>
      </c>
      <c r="C330" s="10">
        <f>VLOOKUP(Ventas!$D330,Productos!$A$1:$D$16,4,FALSE)*Ventas!F330</f>
        <v>1478.52</v>
      </c>
      <c r="D330" s="10">
        <f>VLOOKUP(Ventas!$D330,Productos!$A$1:$D$16,3,FALSE)*Ventas!F330</f>
        <v>740</v>
      </c>
      <c r="E330" s="10">
        <f t="shared" si="5"/>
        <v>738.52</v>
      </c>
      <c r="F330" s="9">
        <f>YEAR(Ventas!G330)</f>
        <v>2016</v>
      </c>
      <c r="G330" s="9">
        <f>MONTH(Ventas!G330)</f>
        <v>5</v>
      </c>
      <c r="H330" s="9" t="str">
        <f>VLOOKUP(Ventas!C330,Países!$A$2:$B$186,2,FALSE)</f>
        <v>Middle East and North Africa</v>
      </c>
      <c r="I330" s="9" t="str">
        <f>Ventas!E330</f>
        <v>Retail</v>
      </c>
    </row>
    <row r="331" spans="2:9" x14ac:dyDescent="0.25">
      <c r="B331" s="12">
        <f>Ventas!F331</f>
        <v>44</v>
      </c>
      <c r="C331" s="10">
        <f>VLOOKUP(Ventas!$D331,Productos!$A$1:$D$16,4,FALSE)*Ventas!F331</f>
        <v>286</v>
      </c>
      <c r="D331" s="10">
        <f>VLOOKUP(Ventas!$D331,Productos!$A$1:$D$16,3,FALSE)*Ventas!F331</f>
        <v>154</v>
      </c>
      <c r="E331" s="10">
        <f t="shared" si="5"/>
        <v>132</v>
      </c>
      <c r="F331" s="9">
        <f>YEAR(Ventas!G331)</f>
        <v>2016</v>
      </c>
      <c r="G331" s="9">
        <f>MONTH(Ventas!G331)</f>
        <v>4</v>
      </c>
      <c r="H331" s="9" t="str">
        <f>VLOOKUP(Ventas!C331,Países!$A$2:$B$186,2,FALSE)</f>
        <v>Asia</v>
      </c>
      <c r="I331" s="9" t="str">
        <f>Ventas!E331</f>
        <v>Retail</v>
      </c>
    </row>
    <row r="332" spans="2:9" x14ac:dyDescent="0.25">
      <c r="B332" s="12">
        <f>Ventas!F332</f>
        <v>4</v>
      </c>
      <c r="C332" s="10">
        <f>VLOOKUP(Ventas!$D332,Productos!$A$1:$D$16,4,FALSE)*Ventas!F332</f>
        <v>15.96</v>
      </c>
      <c r="D332" s="10">
        <f>VLOOKUP(Ventas!$D332,Productos!$A$1:$D$16,3,FALSE)*Ventas!F332</f>
        <v>8</v>
      </c>
      <c r="E332" s="10">
        <f t="shared" si="5"/>
        <v>7.9600000000000009</v>
      </c>
      <c r="F332" s="9">
        <f>YEAR(Ventas!G332)</f>
        <v>2016</v>
      </c>
      <c r="G332" s="9">
        <f>MONTH(Ventas!G332)</f>
        <v>4</v>
      </c>
      <c r="H332" s="9" t="str">
        <f>VLOOKUP(Ventas!C332,Países!$A$2:$B$186,2,FALSE)</f>
        <v>Europe</v>
      </c>
      <c r="I332" s="9" t="str">
        <f>Ventas!E332</f>
        <v>Retail</v>
      </c>
    </row>
    <row r="333" spans="2:9" x14ac:dyDescent="0.25">
      <c r="B333" s="12">
        <f>Ventas!F333</f>
        <v>202</v>
      </c>
      <c r="C333" s="10">
        <f>VLOOKUP(Ventas!$D333,Productos!$A$1:$D$16,4,FALSE)*Ventas!F333</f>
        <v>1313</v>
      </c>
      <c r="D333" s="10">
        <f>VLOOKUP(Ventas!$D333,Productos!$A$1:$D$16,3,FALSE)*Ventas!F333</f>
        <v>707</v>
      </c>
      <c r="E333" s="10">
        <f t="shared" si="5"/>
        <v>606</v>
      </c>
      <c r="F333" s="9">
        <f>YEAR(Ventas!G333)</f>
        <v>2016</v>
      </c>
      <c r="G333" s="9">
        <f>MONTH(Ventas!G333)</f>
        <v>4</v>
      </c>
      <c r="H333" s="9" t="str">
        <f>VLOOKUP(Ventas!C333,Países!$A$2:$B$186,2,FALSE)</f>
        <v>Sub-Saharan Africa</v>
      </c>
      <c r="I333" s="9" t="str">
        <f>Ventas!E333</f>
        <v>Online</v>
      </c>
    </row>
    <row r="334" spans="2:9" x14ac:dyDescent="0.25">
      <c r="B334" s="12">
        <f>Ventas!F334</f>
        <v>60</v>
      </c>
      <c r="C334" s="10">
        <f>VLOOKUP(Ventas!$D334,Productos!$A$1:$D$16,4,FALSE)*Ventas!F334</f>
        <v>599.4</v>
      </c>
      <c r="D334" s="10">
        <f>VLOOKUP(Ventas!$D334,Productos!$A$1:$D$16,3,FALSE)*Ventas!F334</f>
        <v>300</v>
      </c>
      <c r="E334" s="10">
        <f t="shared" si="5"/>
        <v>299.39999999999998</v>
      </c>
      <c r="F334" s="9">
        <f>YEAR(Ventas!G334)</f>
        <v>2016</v>
      </c>
      <c r="G334" s="9">
        <f>MONTH(Ventas!G334)</f>
        <v>4</v>
      </c>
      <c r="H334" s="9" t="str">
        <f>VLOOKUP(Ventas!C334,Países!$A$2:$B$186,2,FALSE)</f>
        <v>Central America and the Caribbean</v>
      </c>
      <c r="I334" s="9" t="str">
        <f>Ventas!E334</f>
        <v>Retail</v>
      </c>
    </row>
    <row r="335" spans="2:9" x14ac:dyDescent="0.25">
      <c r="B335" s="12">
        <f>Ventas!F335</f>
        <v>211</v>
      </c>
      <c r="C335" s="10">
        <f>VLOOKUP(Ventas!$D335,Productos!$A$1:$D$16,4,FALSE)*Ventas!F335</f>
        <v>1266</v>
      </c>
      <c r="D335" s="10">
        <f>VLOOKUP(Ventas!$D335,Productos!$A$1:$D$16,3,FALSE)*Ventas!F335</f>
        <v>633</v>
      </c>
      <c r="E335" s="10">
        <f t="shared" si="5"/>
        <v>633</v>
      </c>
      <c r="F335" s="9">
        <f>YEAR(Ventas!G335)</f>
        <v>2016</v>
      </c>
      <c r="G335" s="9">
        <f>MONTH(Ventas!G335)</f>
        <v>4</v>
      </c>
      <c r="H335" s="9" t="str">
        <f>VLOOKUP(Ventas!C335,Países!$A$2:$B$186,2,FALSE)</f>
        <v>Sub-Saharan Africa</v>
      </c>
      <c r="I335" s="9" t="str">
        <f>Ventas!E335</f>
        <v>Online</v>
      </c>
    </row>
    <row r="336" spans="2:9" x14ac:dyDescent="0.25">
      <c r="B336" s="12">
        <f>Ventas!F336</f>
        <v>111</v>
      </c>
      <c r="C336" s="10">
        <f>VLOOKUP(Ventas!$D336,Productos!$A$1:$D$16,4,FALSE)*Ventas!F336</f>
        <v>442.89000000000004</v>
      </c>
      <c r="D336" s="10">
        <f>VLOOKUP(Ventas!$D336,Productos!$A$1:$D$16,3,FALSE)*Ventas!F336</f>
        <v>222</v>
      </c>
      <c r="E336" s="10">
        <f t="shared" si="5"/>
        <v>220.89000000000004</v>
      </c>
      <c r="F336" s="9">
        <f>YEAR(Ventas!G336)</f>
        <v>2016</v>
      </c>
      <c r="G336" s="9">
        <f>MONTH(Ventas!G336)</f>
        <v>4</v>
      </c>
      <c r="H336" s="9" t="str">
        <f>VLOOKUP(Ventas!C336,Países!$A$2:$B$186,2,FALSE)</f>
        <v>Europe</v>
      </c>
      <c r="I336" s="9" t="str">
        <f>Ventas!E336</f>
        <v>Retail</v>
      </c>
    </row>
    <row r="337" spans="2:9" x14ac:dyDescent="0.25">
      <c r="B337" s="12">
        <f>Ventas!F337</f>
        <v>175</v>
      </c>
      <c r="C337" s="10">
        <f>VLOOKUP(Ventas!$D337,Productos!$A$1:$D$16,4,FALSE)*Ventas!F337</f>
        <v>698.25</v>
      </c>
      <c r="D337" s="10">
        <f>VLOOKUP(Ventas!$D337,Productos!$A$1:$D$16,3,FALSE)*Ventas!F337</f>
        <v>350</v>
      </c>
      <c r="E337" s="10">
        <f t="shared" si="5"/>
        <v>348.25</v>
      </c>
      <c r="F337" s="9">
        <f>YEAR(Ventas!G337)</f>
        <v>2016</v>
      </c>
      <c r="G337" s="9">
        <f>MONTH(Ventas!G337)</f>
        <v>4</v>
      </c>
      <c r="H337" s="9" t="str">
        <f>VLOOKUP(Ventas!C337,Países!$A$2:$B$186,2,FALSE)</f>
        <v>Central America and the Caribbean</v>
      </c>
      <c r="I337" s="9" t="str">
        <f>Ventas!E337</f>
        <v>Online</v>
      </c>
    </row>
    <row r="338" spans="2:9" x14ac:dyDescent="0.25">
      <c r="B338" s="12">
        <f>Ventas!F338</f>
        <v>190</v>
      </c>
      <c r="C338" s="10">
        <f>VLOOKUP(Ventas!$D338,Productos!$A$1:$D$16,4,FALSE)*Ventas!F338</f>
        <v>1328.1000000000001</v>
      </c>
      <c r="D338" s="10">
        <f>VLOOKUP(Ventas!$D338,Productos!$A$1:$D$16,3,FALSE)*Ventas!F338</f>
        <v>665</v>
      </c>
      <c r="E338" s="10">
        <f t="shared" si="5"/>
        <v>663.10000000000014</v>
      </c>
      <c r="F338" s="9">
        <f>YEAR(Ventas!G338)</f>
        <v>2016</v>
      </c>
      <c r="G338" s="9">
        <f>MONTH(Ventas!G338)</f>
        <v>4</v>
      </c>
      <c r="H338" s="9" t="str">
        <f>VLOOKUP(Ventas!C338,Países!$A$2:$B$186,2,FALSE)</f>
        <v>Europe</v>
      </c>
      <c r="I338" s="9" t="str">
        <f>Ventas!E338</f>
        <v>Online</v>
      </c>
    </row>
    <row r="339" spans="2:9" x14ac:dyDescent="0.25">
      <c r="B339" s="12">
        <f>Ventas!F339</f>
        <v>41</v>
      </c>
      <c r="C339" s="10">
        <f>VLOOKUP(Ventas!$D339,Productos!$A$1:$D$16,4,FALSE)*Ventas!F339</f>
        <v>266.5</v>
      </c>
      <c r="D339" s="10">
        <f>VLOOKUP(Ventas!$D339,Productos!$A$1:$D$16,3,FALSE)*Ventas!F339</f>
        <v>143.5</v>
      </c>
      <c r="E339" s="10">
        <f t="shared" si="5"/>
        <v>123</v>
      </c>
      <c r="F339" s="9">
        <f>YEAR(Ventas!G339)</f>
        <v>2016</v>
      </c>
      <c r="G339" s="9">
        <f>MONTH(Ventas!G339)</f>
        <v>5</v>
      </c>
      <c r="H339" s="9" t="str">
        <f>VLOOKUP(Ventas!C339,Países!$A$2:$B$186,2,FALSE)</f>
        <v>North America</v>
      </c>
      <c r="I339" s="9" t="str">
        <f>Ventas!E339</f>
        <v>Retail</v>
      </c>
    </row>
    <row r="340" spans="2:9" x14ac:dyDescent="0.25">
      <c r="B340" s="12">
        <f>Ventas!F340</f>
        <v>28</v>
      </c>
      <c r="C340" s="10">
        <f>VLOOKUP(Ventas!$D340,Productos!$A$1:$D$16,4,FALSE)*Ventas!F340</f>
        <v>406</v>
      </c>
      <c r="D340" s="10">
        <f>VLOOKUP(Ventas!$D340,Productos!$A$1:$D$16,3,FALSE)*Ventas!F340</f>
        <v>224</v>
      </c>
      <c r="E340" s="10">
        <f t="shared" si="5"/>
        <v>182</v>
      </c>
      <c r="F340" s="9">
        <f>YEAR(Ventas!G340)</f>
        <v>2016</v>
      </c>
      <c r="G340" s="9">
        <f>MONTH(Ventas!G340)</f>
        <v>4</v>
      </c>
      <c r="H340" s="9" t="str">
        <f>VLOOKUP(Ventas!C340,Países!$A$2:$B$186,2,FALSE)</f>
        <v>Sub-Saharan Africa</v>
      </c>
      <c r="I340" s="9" t="str">
        <f>Ventas!E340</f>
        <v>Retail</v>
      </c>
    </row>
    <row r="341" spans="2:9" x14ac:dyDescent="0.25">
      <c r="B341" s="12">
        <f>Ventas!F341</f>
        <v>44</v>
      </c>
      <c r="C341" s="10">
        <f>VLOOKUP(Ventas!$D341,Productos!$A$1:$D$16,4,FALSE)*Ventas!F341</f>
        <v>638</v>
      </c>
      <c r="D341" s="10">
        <f>VLOOKUP(Ventas!$D341,Productos!$A$1:$D$16,3,FALSE)*Ventas!F341</f>
        <v>352</v>
      </c>
      <c r="E341" s="10">
        <f t="shared" si="5"/>
        <v>286</v>
      </c>
      <c r="F341" s="9">
        <f>YEAR(Ventas!G341)</f>
        <v>2016</v>
      </c>
      <c r="G341" s="9">
        <f>MONTH(Ventas!G341)</f>
        <v>5</v>
      </c>
      <c r="H341" s="9" t="str">
        <f>VLOOKUP(Ventas!C341,Países!$A$2:$B$186,2,FALSE)</f>
        <v>Australia and Oceania</v>
      </c>
      <c r="I341" s="9" t="str">
        <f>Ventas!E341</f>
        <v>Retail</v>
      </c>
    </row>
    <row r="342" spans="2:9" x14ac:dyDescent="0.25">
      <c r="B342" s="12">
        <f>Ventas!F342</f>
        <v>107</v>
      </c>
      <c r="C342" s="10">
        <f>VLOOKUP(Ventas!$D342,Productos!$A$1:$D$16,4,FALSE)*Ventas!F342</f>
        <v>695.5</v>
      </c>
      <c r="D342" s="10">
        <f>VLOOKUP(Ventas!$D342,Productos!$A$1:$D$16,3,FALSE)*Ventas!F342</f>
        <v>374.5</v>
      </c>
      <c r="E342" s="10">
        <f t="shared" si="5"/>
        <v>321</v>
      </c>
      <c r="F342" s="9">
        <f>YEAR(Ventas!G342)</f>
        <v>2016</v>
      </c>
      <c r="G342" s="9">
        <f>MONTH(Ventas!G342)</f>
        <v>5</v>
      </c>
      <c r="H342" s="9" t="str">
        <f>VLOOKUP(Ventas!C342,Países!$A$2:$B$186,2,FALSE)</f>
        <v>Middle East and North Africa</v>
      </c>
      <c r="I342" s="9" t="str">
        <f>Ventas!E342</f>
        <v>Online</v>
      </c>
    </row>
    <row r="343" spans="2:9" x14ac:dyDescent="0.25">
      <c r="B343" s="12">
        <f>Ventas!F343</f>
        <v>9</v>
      </c>
      <c r="C343" s="10">
        <f>VLOOKUP(Ventas!$D343,Productos!$A$1:$D$16,4,FALSE)*Ventas!F343</f>
        <v>58.5</v>
      </c>
      <c r="D343" s="10">
        <f>VLOOKUP(Ventas!$D343,Productos!$A$1:$D$16,3,FALSE)*Ventas!F343</f>
        <v>31.5</v>
      </c>
      <c r="E343" s="10">
        <f t="shared" si="5"/>
        <v>27</v>
      </c>
      <c r="F343" s="9">
        <f>YEAR(Ventas!G343)</f>
        <v>2016</v>
      </c>
      <c r="G343" s="9">
        <f>MONTH(Ventas!G343)</f>
        <v>4</v>
      </c>
      <c r="H343" s="9" t="str">
        <f>VLOOKUP(Ventas!C343,Países!$A$2:$B$186,2,FALSE)</f>
        <v>Middle East and North Africa</v>
      </c>
      <c r="I343" s="9" t="str">
        <f>Ventas!E343</f>
        <v>Retail</v>
      </c>
    </row>
    <row r="344" spans="2:9" x14ac:dyDescent="0.25">
      <c r="B344" s="12">
        <f>Ventas!F344</f>
        <v>26</v>
      </c>
      <c r="C344" s="10">
        <f>VLOOKUP(Ventas!$D344,Productos!$A$1:$D$16,4,FALSE)*Ventas!F344</f>
        <v>234</v>
      </c>
      <c r="D344" s="10">
        <f>VLOOKUP(Ventas!$D344,Productos!$A$1:$D$16,3,FALSE)*Ventas!F344</f>
        <v>156</v>
      </c>
      <c r="E344" s="10">
        <f t="shared" si="5"/>
        <v>78</v>
      </c>
      <c r="F344" s="9">
        <f>YEAR(Ventas!G344)</f>
        <v>2016</v>
      </c>
      <c r="G344" s="9">
        <f>MONTH(Ventas!G344)</f>
        <v>5</v>
      </c>
      <c r="H344" s="9" t="str">
        <f>VLOOKUP(Ventas!C344,Países!$A$2:$B$186,2,FALSE)</f>
        <v>Middle East and North Africa</v>
      </c>
      <c r="I344" s="9" t="str">
        <f>Ventas!E344</f>
        <v>Retail</v>
      </c>
    </row>
    <row r="345" spans="2:9" x14ac:dyDescent="0.25">
      <c r="B345" s="12">
        <f>Ventas!F345</f>
        <v>79</v>
      </c>
      <c r="C345" s="10">
        <f>VLOOKUP(Ventas!$D345,Productos!$A$1:$D$16,4,FALSE)*Ventas!F345</f>
        <v>158</v>
      </c>
      <c r="D345" s="10">
        <f>VLOOKUP(Ventas!$D345,Productos!$A$1:$D$16,3,FALSE)*Ventas!F345</f>
        <v>79</v>
      </c>
      <c r="E345" s="10">
        <f t="shared" si="5"/>
        <v>79</v>
      </c>
      <c r="F345" s="9">
        <f>YEAR(Ventas!G345)</f>
        <v>2016</v>
      </c>
      <c r="G345" s="9">
        <f>MONTH(Ventas!G345)</f>
        <v>5</v>
      </c>
      <c r="H345" s="9" t="str">
        <f>VLOOKUP(Ventas!C345,Países!$A$2:$B$186,2,FALSE)</f>
        <v>Sub-Saharan Africa</v>
      </c>
      <c r="I345" s="9" t="str">
        <f>Ventas!E345</f>
        <v>Retail</v>
      </c>
    </row>
    <row r="346" spans="2:9" x14ac:dyDescent="0.25">
      <c r="B346" s="12">
        <f>Ventas!F346</f>
        <v>17</v>
      </c>
      <c r="C346" s="10">
        <f>VLOOKUP(Ventas!$D346,Productos!$A$1:$D$16,4,FALSE)*Ventas!F346</f>
        <v>246.5</v>
      </c>
      <c r="D346" s="10">
        <f>VLOOKUP(Ventas!$D346,Productos!$A$1:$D$16,3,FALSE)*Ventas!F346</f>
        <v>136</v>
      </c>
      <c r="E346" s="10">
        <f t="shared" si="5"/>
        <v>110.5</v>
      </c>
      <c r="F346" s="9">
        <f>YEAR(Ventas!G346)</f>
        <v>2016</v>
      </c>
      <c r="G346" s="9">
        <f>MONTH(Ventas!G346)</f>
        <v>4</v>
      </c>
      <c r="H346" s="9" t="str">
        <f>VLOOKUP(Ventas!C346,Países!$A$2:$B$186,2,FALSE)</f>
        <v>Sub-Saharan Africa</v>
      </c>
      <c r="I346" s="9" t="str">
        <f>Ventas!E346</f>
        <v>Online</v>
      </c>
    </row>
    <row r="347" spans="2:9" x14ac:dyDescent="0.25">
      <c r="B347" s="12">
        <f>Ventas!F347</f>
        <v>121</v>
      </c>
      <c r="C347" s="10">
        <f>VLOOKUP(Ventas!$D347,Productos!$A$1:$D$16,4,FALSE)*Ventas!F347</f>
        <v>1089</v>
      </c>
      <c r="D347" s="10">
        <f>VLOOKUP(Ventas!$D347,Productos!$A$1:$D$16,3,FALSE)*Ventas!F347</f>
        <v>726</v>
      </c>
      <c r="E347" s="10">
        <f t="shared" si="5"/>
        <v>363</v>
      </c>
      <c r="F347" s="9">
        <f>YEAR(Ventas!G347)</f>
        <v>2016</v>
      </c>
      <c r="G347" s="9">
        <f>MONTH(Ventas!G347)</f>
        <v>5</v>
      </c>
      <c r="H347" s="9" t="str">
        <f>VLOOKUP(Ventas!C347,Países!$A$2:$B$186,2,FALSE)</f>
        <v>Sub-Saharan Africa</v>
      </c>
      <c r="I347" s="9" t="str">
        <f>Ventas!E347</f>
        <v>Retail</v>
      </c>
    </row>
    <row r="348" spans="2:9" x14ac:dyDescent="0.25">
      <c r="B348" s="12">
        <f>Ventas!F348</f>
        <v>116</v>
      </c>
      <c r="C348" s="10">
        <f>VLOOKUP(Ventas!$D348,Productos!$A$1:$D$16,4,FALSE)*Ventas!F348</f>
        <v>232</v>
      </c>
      <c r="D348" s="10">
        <f>VLOOKUP(Ventas!$D348,Productos!$A$1:$D$16,3,FALSE)*Ventas!F348</f>
        <v>116</v>
      </c>
      <c r="E348" s="10">
        <f t="shared" si="5"/>
        <v>116</v>
      </c>
      <c r="F348" s="9">
        <f>YEAR(Ventas!G348)</f>
        <v>2016</v>
      </c>
      <c r="G348" s="9">
        <f>MONTH(Ventas!G348)</f>
        <v>4</v>
      </c>
      <c r="H348" s="9" t="str">
        <f>VLOOKUP(Ventas!C348,Países!$A$2:$B$186,2,FALSE)</f>
        <v>Sub-Saharan Africa</v>
      </c>
      <c r="I348" s="9" t="str">
        <f>Ventas!E348</f>
        <v>Online</v>
      </c>
    </row>
    <row r="349" spans="2:9" x14ac:dyDescent="0.25">
      <c r="B349" s="12">
        <f>Ventas!F349</f>
        <v>131</v>
      </c>
      <c r="C349" s="10">
        <f>VLOOKUP(Ventas!$D349,Productos!$A$1:$D$16,4,FALSE)*Ventas!F349</f>
        <v>522.69000000000005</v>
      </c>
      <c r="D349" s="10">
        <f>VLOOKUP(Ventas!$D349,Productos!$A$1:$D$16,3,FALSE)*Ventas!F349</f>
        <v>262</v>
      </c>
      <c r="E349" s="10">
        <f t="shared" si="5"/>
        <v>260.69000000000005</v>
      </c>
      <c r="F349" s="9">
        <f>YEAR(Ventas!G349)</f>
        <v>2016</v>
      </c>
      <c r="G349" s="9">
        <f>MONTH(Ventas!G349)</f>
        <v>5</v>
      </c>
      <c r="H349" s="9" t="str">
        <f>VLOOKUP(Ventas!C349,Países!$A$2:$B$186,2,FALSE)</f>
        <v>Asia</v>
      </c>
      <c r="I349" s="9" t="str">
        <f>Ventas!E349</f>
        <v>Retail</v>
      </c>
    </row>
    <row r="350" spans="2:9" x14ac:dyDescent="0.25">
      <c r="B350" s="12">
        <f>Ventas!F350</f>
        <v>144</v>
      </c>
      <c r="C350" s="10">
        <f>VLOOKUP(Ventas!$D350,Productos!$A$1:$D$16,4,FALSE)*Ventas!F350</f>
        <v>1006.5600000000001</v>
      </c>
      <c r="D350" s="10">
        <f>VLOOKUP(Ventas!$D350,Productos!$A$1:$D$16,3,FALSE)*Ventas!F350</f>
        <v>504</v>
      </c>
      <c r="E350" s="10">
        <f t="shared" si="5"/>
        <v>502.56000000000006</v>
      </c>
      <c r="F350" s="9">
        <f>YEAR(Ventas!G350)</f>
        <v>2016</v>
      </c>
      <c r="G350" s="9">
        <f>MONTH(Ventas!G350)</f>
        <v>4</v>
      </c>
      <c r="H350" s="9" t="str">
        <f>VLOOKUP(Ventas!C350,Países!$A$2:$B$186,2,FALSE)</f>
        <v>Middle East and North Africa</v>
      </c>
      <c r="I350" s="9" t="str">
        <f>Ventas!E350</f>
        <v>Retail</v>
      </c>
    </row>
    <row r="351" spans="2:9" x14ac:dyDescent="0.25">
      <c r="B351" s="12">
        <f>Ventas!F351</f>
        <v>102</v>
      </c>
      <c r="C351" s="10">
        <f>VLOOKUP(Ventas!$D351,Productos!$A$1:$D$16,4,FALSE)*Ventas!F351</f>
        <v>406.98</v>
      </c>
      <c r="D351" s="10">
        <f>VLOOKUP(Ventas!$D351,Productos!$A$1:$D$16,3,FALSE)*Ventas!F351</f>
        <v>204</v>
      </c>
      <c r="E351" s="10">
        <f t="shared" si="5"/>
        <v>202.98000000000002</v>
      </c>
      <c r="F351" s="9">
        <f>YEAR(Ventas!G351)</f>
        <v>2016</v>
      </c>
      <c r="G351" s="9">
        <f>MONTH(Ventas!G351)</f>
        <v>5</v>
      </c>
      <c r="H351" s="9" t="str">
        <f>VLOOKUP(Ventas!C351,Países!$A$2:$B$186,2,FALSE)</f>
        <v>Sub-Saharan Africa</v>
      </c>
      <c r="I351" s="9" t="str">
        <f>Ventas!E351</f>
        <v>Online</v>
      </c>
    </row>
    <row r="352" spans="2:9" x14ac:dyDescent="0.25">
      <c r="B352" s="12">
        <f>Ventas!F352</f>
        <v>212</v>
      </c>
      <c r="C352" s="10">
        <f>VLOOKUP(Ventas!$D352,Productos!$A$1:$D$16,4,FALSE)*Ventas!F352</f>
        <v>1378</v>
      </c>
      <c r="D352" s="10">
        <f>VLOOKUP(Ventas!$D352,Productos!$A$1:$D$16,3,FALSE)*Ventas!F352</f>
        <v>742</v>
      </c>
      <c r="E352" s="10">
        <f t="shared" si="5"/>
        <v>636</v>
      </c>
      <c r="F352" s="9">
        <f>YEAR(Ventas!G352)</f>
        <v>2016</v>
      </c>
      <c r="G352" s="9">
        <f>MONTH(Ventas!G352)</f>
        <v>5</v>
      </c>
      <c r="H352" s="9" t="str">
        <f>VLOOKUP(Ventas!C352,Países!$A$2:$B$186,2,FALSE)</f>
        <v>Asia</v>
      </c>
      <c r="I352" s="9" t="str">
        <f>Ventas!E352</f>
        <v>Direct</v>
      </c>
    </row>
    <row r="353" spans="2:9" x14ac:dyDescent="0.25">
      <c r="B353" s="12">
        <f>Ventas!F353</f>
        <v>191</v>
      </c>
      <c r="C353" s="10">
        <f>VLOOKUP(Ventas!$D353,Productos!$A$1:$D$16,4,FALSE)*Ventas!F353</f>
        <v>382</v>
      </c>
      <c r="D353" s="10">
        <f>VLOOKUP(Ventas!$D353,Productos!$A$1:$D$16,3,FALSE)*Ventas!F353</f>
        <v>191</v>
      </c>
      <c r="E353" s="10">
        <f t="shared" si="5"/>
        <v>191</v>
      </c>
      <c r="F353" s="9">
        <f>YEAR(Ventas!G353)</f>
        <v>2016</v>
      </c>
      <c r="G353" s="9">
        <f>MONTH(Ventas!G353)</f>
        <v>5</v>
      </c>
      <c r="H353" s="9" t="str">
        <f>VLOOKUP(Ventas!C353,Países!$A$2:$B$186,2,FALSE)</f>
        <v>Middle East and North Africa</v>
      </c>
      <c r="I353" s="9" t="str">
        <f>Ventas!E353</f>
        <v>Retail</v>
      </c>
    </row>
    <row r="354" spans="2:9" x14ac:dyDescent="0.25">
      <c r="B354" s="12">
        <f>Ventas!F354</f>
        <v>172</v>
      </c>
      <c r="C354" s="10">
        <f>VLOOKUP(Ventas!$D354,Productos!$A$1:$D$16,4,FALSE)*Ventas!F354</f>
        <v>516</v>
      </c>
      <c r="D354" s="10">
        <f>VLOOKUP(Ventas!$D354,Productos!$A$1:$D$16,3,FALSE)*Ventas!F354</f>
        <v>258</v>
      </c>
      <c r="E354" s="10">
        <f t="shared" si="5"/>
        <v>258</v>
      </c>
      <c r="F354" s="9">
        <f>YEAR(Ventas!G354)</f>
        <v>2016</v>
      </c>
      <c r="G354" s="9">
        <f>MONTH(Ventas!G354)</f>
        <v>4</v>
      </c>
      <c r="H354" s="9" t="str">
        <f>VLOOKUP(Ventas!C354,Países!$A$2:$B$186,2,FALSE)</f>
        <v>Sub-Saharan Africa</v>
      </c>
      <c r="I354" s="9" t="str">
        <f>Ventas!E354</f>
        <v>Retail</v>
      </c>
    </row>
    <row r="355" spans="2:9" x14ac:dyDescent="0.25">
      <c r="B355" s="12">
        <f>Ventas!F355</f>
        <v>27</v>
      </c>
      <c r="C355" s="10">
        <f>VLOOKUP(Ventas!$D355,Productos!$A$1:$D$16,4,FALSE)*Ventas!F355</f>
        <v>107.73</v>
      </c>
      <c r="D355" s="10">
        <f>VLOOKUP(Ventas!$D355,Productos!$A$1:$D$16,3,FALSE)*Ventas!F355</f>
        <v>54</v>
      </c>
      <c r="E355" s="10">
        <f t="shared" si="5"/>
        <v>53.730000000000004</v>
      </c>
      <c r="F355" s="9">
        <f>YEAR(Ventas!G355)</f>
        <v>2016</v>
      </c>
      <c r="G355" s="9">
        <f>MONTH(Ventas!G355)</f>
        <v>5</v>
      </c>
      <c r="H355" s="9" t="str">
        <f>VLOOKUP(Ventas!C355,Países!$A$2:$B$186,2,FALSE)</f>
        <v>Sub-Saharan Africa</v>
      </c>
      <c r="I355" s="9" t="str">
        <f>Ventas!E355</f>
        <v>Retail</v>
      </c>
    </row>
    <row r="356" spans="2:9" x14ac:dyDescent="0.25">
      <c r="B356" s="12">
        <f>Ventas!F356</f>
        <v>36</v>
      </c>
      <c r="C356" s="10">
        <f>VLOOKUP(Ventas!$D356,Productos!$A$1:$D$16,4,FALSE)*Ventas!F356</f>
        <v>359.64</v>
      </c>
      <c r="D356" s="10">
        <f>VLOOKUP(Ventas!$D356,Productos!$A$1:$D$16,3,FALSE)*Ventas!F356</f>
        <v>180</v>
      </c>
      <c r="E356" s="10">
        <f t="shared" si="5"/>
        <v>179.64</v>
      </c>
      <c r="F356" s="9">
        <f>YEAR(Ventas!G356)</f>
        <v>2016</v>
      </c>
      <c r="G356" s="9">
        <f>MONTH(Ventas!G356)</f>
        <v>4</v>
      </c>
      <c r="H356" s="9" t="str">
        <f>VLOOKUP(Ventas!C356,Países!$A$2:$B$186,2,FALSE)</f>
        <v>Sub-Saharan Africa</v>
      </c>
      <c r="I356" s="9" t="str">
        <f>Ventas!E356</f>
        <v>Online</v>
      </c>
    </row>
    <row r="357" spans="2:9" x14ac:dyDescent="0.25">
      <c r="B357" s="12">
        <f>Ventas!F357</f>
        <v>191</v>
      </c>
      <c r="C357" s="10">
        <f>VLOOKUP(Ventas!$D357,Productos!$A$1:$D$16,4,FALSE)*Ventas!F357</f>
        <v>1908.0900000000001</v>
      </c>
      <c r="D357" s="10">
        <f>VLOOKUP(Ventas!$D357,Productos!$A$1:$D$16,3,FALSE)*Ventas!F357</f>
        <v>955</v>
      </c>
      <c r="E357" s="10">
        <f t="shared" si="5"/>
        <v>953.09000000000015</v>
      </c>
      <c r="F357" s="9">
        <f>YEAR(Ventas!G357)</f>
        <v>2016</v>
      </c>
      <c r="G357" s="9">
        <f>MONTH(Ventas!G357)</f>
        <v>4</v>
      </c>
      <c r="H357" s="9" t="str">
        <f>VLOOKUP(Ventas!C357,Países!$A$2:$B$186,2,FALSE)</f>
        <v>Australia and Oceania</v>
      </c>
      <c r="I357" s="9" t="str">
        <f>Ventas!E357</f>
        <v>Retail</v>
      </c>
    </row>
    <row r="358" spans="2:9" x14ac:dyDescent="0.25">
      <c r="B358" s="12">
        <f>Ventas!F358</f>
        <v>103</v>
      </c>
      <c r="C358" s="10">
        <f>VLOOKUP(Ventas!$D358,Productos!$A$1:$D$16,4,FALSE)*Ventas!F358</f>
        <v>669.5</v>
      </c>
      <c r="D358" s="10">
        <f>VLOOKUP(Ventas!$D358,Productos!$A$1:$D$16,3,FALSE)*Ventas!F358</f>
        <v>360.5</v>
      </c>
      <c r="E358" s="10">
        <f t="shared" si="5"/>
        <v>309</v>
      </c>
      <c r="F358" s="9">
        <f>YEAR(Ventas!G358)</f>
        <v>2016</v>
      </c>
      <c r="G358" s="9">
        <f>MONTH(Ventas!G358)</f>
        <v>4</v>
      </c>
      <c r="H358" s="9" t="str">
        <f>VLOOKUP(Ventas!C358,Países!$A$2:$B$186,2,FALSE)</f>
        <v>Sub-Saharan Africa</v>
      </c>
      <c r="I358" s="9" t="str">
        <f>Ventas!E358</f>
        <v>Online</v>
      </c>
    </row>
    <row r="359" spans="2:9" x14ac:dyDescent="0.25">
      <c r="B359" s="12">
        <f>Ventas!F359</f>
        <v>61</v>
      </c>
      <c r="C359" s="10">
        <f>VLOOKUP(Ventas!$D359,Productos!$A$1:$D$16,4,FALSE)*Ventas!F359</f>
        <v>609.39</v>
      </c>
      <c r="D359" s="10">
        <f>VLOOKUP(Ventas!$D359,Productos!$A$1:$D$16,3,FALSE)*Ventas!F359</f>
        <v>305</v>
      </c>
      <c r="E359" s="10">
        <f t="shared" si="5"/>
        <v>304.39</v>
      </c>
      <c r="F359" s="9">
        <f>YEAR(Ventas!G359)</f>
        <v>2016</v>
      </c>
      <c r="G359" s="9">
        <f>MONTH(Ventas!G359)</f>
        <v>4</v>
      </c>
      <c r="H359" s="9" t="str">
        <f>VLOOKUP(Ventas!C359,Países!$A$2:$B$186,2,FALSE)</f>
        <v>Europe</v>
      </c>
      <c r="I359" s="9" t="str">
        <f>Ventas!E359</f>
        <v>Retail</v>
      </c>
    </row>
    <row r="360" spans="2:9" x14ac:dyDescent="0.25">
      <c r="B360" s="12">
        <f>Ventas!F360</f>
        <v>197</v>
      </c>
      <c r="C360" s="10">
        <f>VLOOKUP(Ventas!$D360,Productos!$A$1:$D$16,4,FALSE)*Ventas!F360</f>
        <v>786.03000000000009</v>
      </c>
      <c r="D360" s="10">
        <f>VLOOKUP(Ventas!$D360,Productos!$A$1:$D$16,3,FALSE)*Ventas!F360</f>
        <v>394</v>
      </c>
      <c r="E360" s="10">
        <f t="shared" si="5"/>
        <v>392.03000000000009</v>
      </c>
      <c r="F360" s="9">
        <f>YEAR(Ventas!G360)</f>
        <v>2016</v>
      </c>
      <c r="G360" s="9">
        <f>MONTH(Ventas!G360)</f>
        <v>4</v>
      </c>
      <c r="H360" s="9" t="str">
        <f>VLOOKUP(Ventas!C360,Países!$A$2:$B$186,2,FALSE)</f>
        <v>Europe</v>
      </c>
      <c r="I360" s="9" t="str">
        <f>Ventas!E360</f>
        <v>Retail</v>
      </c>
    </row>
    <row r="361" spans="2:9" x14ac:dyDescent="0.25">
      <c r="B361" s="12">
        <f>Ventas!F361</f>
        <v>34</v>
      </c>
      <c r="C361" s="10">
        <f>VLOOKUP(Ventas!$D361,Productos!$A$1:$D$16,4,FALSE)*Ventas!F361</f>
        <v>221</v>
      </c>
      <c r="D361" s="10">
        <f>VLOOKUP(Ventas!$D361,Productos!$A$1:$D$16,3,FALSE)*Ventas!F361</f>
        <v>119</v>
      </c>
      <c r="E361" s="10">
        <f t="shared" si="5"/>
        <v>102</v>
      </c>
      <c r="F361" s="9">
        <f>YEAR(Ventas!G361)</f>
        <v>2016</v>
      </c>
      <c r="G361" s="9">
        <f>MONTH(Ventas!G361)</f>
        <v>5</v>
      </c>
      <c r="H361" s="9" t="str">
        <f>VLOOKUP(Ventas!C361,Países!$A$2:$B$186,2,FALSE)</f>
        <v>Europe</v>
      </c>
      <c r="I361" s="9" t="str">
        <f>Ventas!E361</f>
        <v>Retail</v>
      </c>
    </row>
    <row r="362" spans="2:9" x14ac:dyDescent="0.25">
      <c r="B362" s="12">
        <f>Ventas!F362</f>
        <v>37</v>
      </c>
      <c r="C362" s="10">
        <f>VLOOKUP(Ventas!$D362,Productos!$A$1:$D$16,4,FALSE)*Ventas!F362</f>
        <v>166.5</v>
      </c>
      <c r="D362" s="10">
        <f>VLOOKUP(Ventas!$D362,Productos!$A$1:$D$16,3,FALSE)*Ventas!F362</f>
        <v>92.5</v>
      </c>
      <c r="E362" s="10">
        <f t="shared" si="5"/>
        <v>74</v>
      </c>
      <c r="F362" s="9">
        <f>YEAR(Ventas!G362)</f>
        <v>2016</v>
      </c>
      <c r="G362" s="9">
        <f>MONTH(Ventas!G362)</f>
        <v>5</v>
      </c>
      <c r="H362" s="9" t="str">
        <f>VLOOKUP(Ventas!C362,Países!$A$2:$B$186,2,FALSE)</f>
        <v>Australia and Oceania</v>
      </c>
      <c r="I362" s="9" t="str">
        <f>Ventas!E362</f>
        <v>Online</v>
      </c>
    </row>
    <row r="363" spans="2:9" x14ac:dyDescent="0.25">
      <c r="B363" s="12">
        <f>Ventas!F363</f>
        <v>181</v>
      </c>
      <c r="C363" s="10">
        <f>VLOOKUP(Ventas!$D363,Productos!$A$1:$D$16,4,FALSE)*Ventas!F363</f>
        <v>722.19</v>
      </c>
      <c r="D363" s="10">
        <f>VLOOKUP(Ventas!$D363,Productos!$A$1:$D$16,3,FALSE)*Ventas!F363</f>
        <v>362</v>
      </c>
      <c r="E363" s="10">
        <f t="shared" si="5"/>
        <v>360.19000000000005</v>
      </c>
      <c r="F363" s="9">
        <f>YEAR(Ventas!G363)</f>
        <v>2016</v>
      </c>
      <c r="G363" s="9">
        <f>MONTH(Ventas!G363)</f>
        <v>4</v>
      </c>
      <c r="H363" s="9" t="str">
        <f>VLOOKUP(Ventas!C363,Países!$A$2:$B$186,2,FALSE)</f>
        <v>Sub-Saharan Africa</v>
      </c>
      <c r="I363" s="9" t="str">
        <f>Ventas!E363</f>
        <v>Online</v>
      </c>
    </row>
    <row r="364" spans="2:9" x14ac:dyDescent="0.25">
      <c r="B364" s="12">
        <f>Ventas!F364</f>
        <v>1</v>
      </c>
      <c r="C364" s="10">
        <f>VLOOKUP(Ventas!$D364,Productos!$A$1:$D$16,4,FALSE)*Ventas!F364</f>
        <v>6.99</v>
      </c>
      <c r="D364" s="10">
        <f>VLOOKUP(Ventas!$D364,Productos!$A$1:$D$16,3,FALSE)*Ventas!F364</f>
        <v>3.5</v>
      </c>
      <c r="E364" s="10">
        <f t="shared" si="5"/>
        <v>3.49</v>
      </c>
      <c r="F364" s="9">
        <f>YEAR(Ventas!G364)</f>
        <v>2016</v>
      </c>
      <c r="G364" s="9">
        <f>MONTH(Ventas!G364)</f>
        <v>5</v>
      </c>
      <c r="H364" s="9" t="str">
        <f>VLOOKUP(Ventas!C364,Países!$A$2:$B$186,2,FALSE)</f>
        <v>North America</v>
      </c>
      <c r="I364" s="9" t="str">
        <f>Ventas!E364</f>
        <v>Retail</v>
      </c>
    </row>
    <row r="365" spans="2:9" x14ac:dyDescent="0.25">
      <c r="B365" s="12">
        <f>Ventas!F365</f>
        <v>74</v>
      </c>
      <c r="C365" s="10">
        <f>VLOOKUP(Ventas!$D365,Productos!$A$1:$D$16,4,FALSE)*Ventas!F365</f>
        <v>444</v>
      </c>
      <c r="D365" s="10">
        <f>VLOOKUP(Ventas!$D365,Productos!$A$1:$D$16,3,FALSE)*Ventas!F365</f>
        <v>222</v>
      </c>
      <c r="E365" s="10">
        <f t="shared" si="5"/>
        <v>222</v>
      </c>
      <c r="F365" s="9">
        <f>YEAR(Ventas!G365)</f>
        <v>2016</v>
      </c>
      <c r="G365" s="9">
        <f>MONTH(Ventas!G365)</f>
        <v>4</v>
      </c>
      <c r="H365" s="9" t="str">
        <f>VLOOKUP(Ventas!C365,Países!$A$2:$B$186,2,FALSE)</f>
        <v>Europe</v>
      </c>
      <c r="I365" s="9" t="str">
        <f>Ventas!E365</f>
        <v>Online</v>
      </c>
    </row>
    <row r="366" spans="2:9" x14ac:dyDescent="0.25">
      <c r="B366" s="12">
        <f>Ventas!F366</f>
        <v>17</v>
      </c>
      <c r="C366" s="10">
        <f>VLOOKUP(Ventas!$D366,Productos!$A$1:$D$16,4,FALSE)*Ventas!F366</f>
        <v>169.83</v>
      </c>
      <c r="D366" s="10">
        <f>VLOOKUP(Ventas!$D366,Productos!$A$1:$D$16,3,FALSE)*Ventas!F366</f>
        <v>85</v>
      </c>
      <c r="E366" s="10">
        <f t="shared" si="5"/>
        <v>84.830000000000013</v>
      </c>
      <c r="F366" s="9">
        <f>YEAR(Ventas!G366)</f>
        <v>2016</v>
      </c>
      <c r="G366" s="9">
        <f>MONTH(Ventas!G366)</f>
        <v>4</v>
      </c>
      <c r="H366" s="9" t="str">
        <f>VLOOKUP(Ventas!C366,Países!$A$2:$B$186,2,FALSE)</f>
        <v>Sub-Saharan Africa</v>
      </c>
      <c r="I366" s="9" t="str">
        <f>Ventas!E366</f>
        <v>Retail</v>
      </c>
    </row>
    <row r="367" spans="2:9" x14ac:dyDescent="0.25">
      <c r="B367" s="12">
        <f>Ventas!F367</f>
        <v>141</v>
      </c>
      <c r="C367" s="10">
        <f>VLOOKUP(Ventas!$D367,Productos!$A$1:$D$16,4,FALSE)*Ventas!F367</f>
        <v>423</v>
      </c>
      <c r="D367" s="10">
        <f>VLOOKUP(Ventas!$D367,Productos!$A$1:$D$16,3,FALSE)*Ventas!F367</f>
        <v>211.5</v>
      </c>
      <c r="E367" s="10">
        <f t="shared" si="5"/>
        <v>211.5</v>
      </c>
      <c r="F367" s="9">
        <f>YEAR(Ventas!G367)</f>
        <v>2016</v>
      </c>
      <c r="G367" s="9">
        <f>MONTH(Ventas!G367)</f>
        <v>4</v>
      </c>
      <c r="H367" s="9" t="str">
        <f>VLOOKUP(Ventas!C367,Países!$A$2:$B$186,2,FALSE)</f>
        <v>Australia and Oceania</v>
      </c>
      <c r="I367" s="9" t="str">
        <f>Ventas!E367</f>
        <v>Direct</v>
      </c>
    </row>
    <row r="368" spans="2:9" x14ac:dyDescent="0.25">
      <c r="B368" s="12">
        <f>Ventas!F368</f>
        <v>169</v>
      </c>
      <c r="C368" s="10">
        <f>VLOOKUP(Ventas!$D368,Productos!$A$1:$D$16,4,FALSE)*Ventas!F368</f>
        <v>1098.5</v>
      </c>
      <c r="D368" s="10">
        <f>VLOOKUP(Ventas!$D368,Productos!$A$1:$D$16,3,FALSE)*Ventas!F368</f>
        <v>591.5</v>
      </c>
      <c r="E368" s="10">
        <f t="shared" si="5"/>
        <v>507</v>
      </c>
      <c r="F368" s="9">
        <f>YEAR(Ventas!G368)</f>
        <v>2016</v>
      </c>
      <c r="G368" s="9">
        <f>MONTH(Ventas!G368)</f>
        <v>5</v>
      </c>
      <c r="H368" s="9" t="str">
        <f>VLOOKUP(Ventas!C368,Países!$A$2:$B$186,2,FALSE)</f>
        <v>Europe</v>
      </c>
      <c r="I368" s="9" t="str">
        <f>Ventas!E368</f>
        <v>Retail</v>
      </c>
    </row>
    <row r="369" spans="2:9" x14ac:dyDescent="0.25">
      <c r="B369" s="12">
        <f>Ventas!F369</f>
        <v>79</v>
      </c>
      <c r="C369" s="10">
        <f>VLOOKUP(Ventas!$D369,Productos!$A$1:$D$16,4,FALSE)*Ventas!F369</f>
        <v>789.21</v>
      </c>
      <c r="D369" s="10">
        <f>VLOOKUP(Ventas!$D369,Productos!$A$1:$D$16,3,FALSE)*Ventas!F369</f>
        <v>395</v>
      </c>
      <c r="E369" s="10">
        <f t="shared" si="5"/>
        <v>394.21000000000004</v>
      </c>
      <c r="F369" s="9">
        <f>YEAR(Ventas!G369)</f>
        <v>2016</v>
      </c>
      <c r="G369" s="9">
        <f>MONTH(Ventas!G369)</f>
        <v>5</v>
      </c>
      <c r="H369" s="9" t="str">
        <f>VLOOKUP(Ventas!C369,Países!$A$2:$B$186,2,FALSE)</f>
        <v>Sub-Saharan Africa</v>
      </c>
      <c r="I369" s="9" t="str">
        <f>Ventas!E369</f>
        <v>Retail</v>
      </c>
    </row>
    <row r="370" spans="2:9" x14ac:dyDescent="0.25">
      <c r="B370" s="12">
        <f>Ventas!F370</f>
        <v>55</v>
      </c>
      <c r="C370" s="10">
        <f>VLOOKUP(Ventas!$D370,Productos!$A$1:$D$16,4,FALSE)*Ventas!F370</f>
        <v>219.45000000000002</v>
      </c>
      <c r="D370" s="10">
        <f>VLOOKUP(Ventas!$D370,Productos!$A$1:$D$16,3,FALSE)*Ventas!F370</f>
        <v>110</v>
      </c>
      <c r="E370" s="10">
        <f t="shared" si="5"/>
        <v>109.45000000000002</v>
      </c>
      <c r="F370" s="9">
        <f>YEAR(Ventas!G370)</f>
        <v>2016</v>
      </c>
      <c r="G370" s="9">
        <f>MONTH(Ventas!G370)</f>
        <v>5</v>
      </c>
      <c r="H370" s="9" t="str">
        <f>VLOOKUP(Ventas!C370,Países!$A$2:$B$186,2,FALSE)</f>
        <v>Middle East and North Africa</v>
      </c>
      <c r="I370" s="9" t="str">
        <f>Ventas!E370</f>
        <v>Direct</v>
      </c>
    </row>
    <row r="371" spans="2:9" x14ac:dyDescent="0.25">
      <c r="B371" s="12">
        <f>Ventas!F371</f>
        <v>65</v>
      </c>
      <c r="C371" s="10">
        <f>VLOOKUP(Ventas!$D371,Productos!$A$1:$D$16,4,FALSE)*Ventas!F371</f>
        <v>390</v>
      </c>
      <c r="D371" s="10">
        <f>VLOOKUP(Ventas!$D371,Productos!$A$1:$D$16,3,FALSE)*Ventas!F371</f>
        <v>195</v>
      </c>
      <c r="E371" s="10">
        <f t="shared" si="5"/>
        <v>195</v>
      </c>
      <c r="F371" s="9">
        <f>YEAR(Ventas!G371)</f>
        <v>2016</v>
      </c>
      <c r="G371" s="9">
        <f>MONTH(Ventas!G371)</f>
        <v>4</v>
      </c>
      <c r="H371" s="9" t="str">
        <f>VLOOKUP(Ventas!C371,Países!$A$2:$B$186,2,FALSE)</f>
        <v>Australia and Oceania</v>
      </c>
      <c r="I371" s="9" t="str">
        <f>Ventas!E371</f>
        <v>Online</v>
      </c>
    </row>
    <row r="372" spans="2:9" x14ac:dyDescent="0.25">
      <c r="B372" s="12">
        <f>Ventas!F372</f>
        <v>75</v>
      </c>
      <c r="C372" s="10">
        <f>VLOOKUP(Ventas!$D372,Productos!$A$1:$D$16,4,FALSE)*Ventas!F372</f>
        <v>225</v>
      </c>
      <c r="D372" s="10">
        <f>VLOOKUP(Ventas!$D372,Productos!$A$1:$D$16,3,FALSE)*Ventas!F372</f>
        <v>112.5</v>
      </c>
      <c r="E372" s="10">
        <f t="shared" si="5"/>
        <v>112.5</v>
      </c>
      <c r="F372" s="9">
        <f>YEAR(Ventas!G372)</f>
        <v>2016</v>
      </c>
      <c r="G372" s="9">
        <f>MONTH(Ventas!G372)</f>
        <v>4</v>
      </c>
      <c r="H372" s="9" t="str">
        <f>VLOOKUP(Ventas!C372,Países!$A$2:$B$186,2,FALSE)</f>
        <v>Australia and Oceania</v>
      </c>
      <c r="I372" s="9" t="str">
        <f>Ventas!E372</f>
        <v>Online</v>
      </c>
    </row>
    <row r="373" spans="2:9" x14ac:dyDescent="0.25">
      <c r="B373" s="12">
        <f>Ventas!F373</f>
        <v>58</v>
      </c>
      <c r="C373" s="10">
        <f>VLOOKUP(Ventas!$D373,Productos!$A$1:$D$16,4,FALSE)*Ventas!F373</f>
        <v>405.42</v>
      </c>
      <c r="D373" s="10">
        <f>VLOOKUP(Ventas!$D373,Productos!$A$1:$D$16,3,FALSE)*Ventas!F373</f>
        <v>203</v>
      </c>
      <c r="E373" s="10">
        <f t="shared" si="5"/>
        <v>202.42000000000002</v>
      </c>
      <c r="F373" s="9">
        <f>YEAR(Ventas!G373)</f>
        <v>2016</v>
      </c>
      <c r="G373" s="9">
        <f>MONTH(Ventas!G373)</f>
        <v>5</v>
      </c>
      <c r="H373" s="9" t="str">
        <f>VLOOKUP(Ventas!C373,Países!$A$2:$B$186,2,FALSE)</f>
        <v>Australia and Oceania</v>
      </c>
      <c r="I373" s="9" t="str">
        <f>Ventas!E373</f>
        <v>Retail</v>
      </c>
    </row>
    <row r="374" spans="2:9" x14ac:dyDescent="0.25">
      <c r="B374" s="12">
        <f>Ventas!F374</f>
        <v>60</v>
      </c>
      <c r="C374" s="10">
        <f>VLOOKUP(Ventas!$D374,Productos!$A$1:$D$16,4,FALSE)*Ventas!F374</f>
        <v>270</v>
      </c>
      <c r="D374" s="10">
        <f>VLOOKUP(Ventas!$D374,Productos!$A$1:$D$16,3,FALSE)*Ventas!F374</f>
        <v>150</v>
      </c>
      <c r="E374" s="10">
        <f t="shared" si="5"/>
        <v>120</v>
      </c>
      <c r="F374" s="9">
        <f>YEAR(Ventas!G374)</f>
        <v>2016</v>
      </c>
      <c r="G374" s="9">
        <f>MONTH(Ventas!G374)</f>
        <v>4</v>
      </c>
      <c r="H374" s="9" t="str">
        <f>VLOOKUP(Ventas!C374,Países!$A$2:$B$186,2,FALSE)</f>
        <v>Asia</v>
      </c>
      <c r="I374" s="9" t="str">
        <f>Ventas!E374</f>
        <v>Retail</v>
      </c>
    </row>
    <row r="375" spans="2:9" x14ac:dyDescent="0.25">
      <c r="B375" s="12">
        <f>Ventas!F375</f>
        <v>115</v>
      </c>
      <c r="C375" s="10">
        <f>VLOOKUP(Ventas!$D375,Productos!$A$1:$D$16,4,FALSE)*Ventas!F375</f>
        <v>230</v>
      </c>
      <c r="D375" s="10">
        <f>VLOOKUP(Ventas!$D375,Productos!$A$1:$D$16,3,FALSE)*Ventas!F375</f>
        <v>115</v>
      </c>
      <c r="E375" s="10">
        <f t="shared" si="5"/>
        <v>115</v>
      </c>
      <c r="F375" s="9">
        <f>YEAR(Ventas!G375)</f>
        <v>2016</v>
      </c>
      <c r="G375" s="9">
        <f>MONTH(Ventas!G375)</f>
        <v>5</v>
      </c>
      <c r="H375" s="9" t="str">
        <f>VLOOKUP(Ventas!C375,Países!$A$2:$B$186,2,FALSE)</f>
        <v>Sub-Saharan Africa</v>
      </c>
      <c r="I375" s="9" t="str">
        <f>Ventas!E375</f>
        <v>Direct</v>
      </c>
    </row>
    <row r="376" spans="2:9" x14ac:dyDescent="0.25">
      <c r="B376" s="12">
        <f>Ventas!F376</f>
        <v>108</v>
      </c>
      <c r="C376" s="10">
        <f>VLOOKUP(Ventas!$D376,Productos!$A$1:$D$16,4,FALSE)*Ventas!F376</f>
        <v>324</v>
      </c>
      <c r="D376" s="10">
        <f>VLOOKUP(Ventas!$D376,Productos!$A$1:$D$16,3,FALSE)*Ventas!F376</f>
        <v>162</v>
      </c>
      <c r="E376" s="10">
        <f t="shared" si="5"/>
        <v>162</v>
      </c>
      <c r="F376" s="9">
        <f>YEAR(Ventas!G376)</f>
        <v>2016</v>
      </c>
      <c r="G376" s="9">
        <f>MONTH(Ventas!G376)</f>
        <v>4</v>
      </c>
      <c r="H376" s="9" t="str">
        <f>VLOOKUP(Ventas!C376,Países!$A$2:$B$186,2,FALSE)</f>
        <v>Europe</v>
      </c>
      <c r="I376" s="9" t="str">
        <f>Ventas!E376</f>
        <v>Retail</v>
      </c>
    </row>
    <row r="377" spans="2:9" x14ac:dyDescent="0.25">
      <c r="B377" s="12">
        <f>Ventas!F377</f>
        <v>63</v>
      </c>
      <c r="C377" s="10">
        <f>VLOOKUP(Ventas!$D377,Productos!$A$1:$D$16,4,FALSE)*Ventas!F377</f>
        <v>126</v>
      </c>
      <c r="D377" s="10">
        <f>VLOOKUP(Ventas!$D377,Productos!$A$1:$D$16,3,FALSE)*Ventas!F377</f>
        <v>63</v>
      </c>
      <c r="E377" s="10">
        <f t="shared" si="5"/>
        <v>63</v>
      </c>
      <c r="F377" s="9">
        <f>YEAR(Ventas!G377)</f>
        <v>2016</v>
      </c>
      <c r="G377" s="9">
        <f>MONTH(Ventas!G377)</f>
        <v>5</v>
      </c>
      <c r="H377" s="9" t="str">
        <f>VLOOKUP(Ventas!C377,Países!$A$2:$B$186,2,FALSE)</f>
        <v>Australia and Oceania</v>
      </c>
      <c r="I377" s="9" t="str">
        <f>Ventas!E377</f>
        <v>Online</v>
      </c>
    </row>
    <row r="378" spans="2:9" x14ac:dyDescent="0.25">
      <c r="B378" s="12">
        <f>Ventas!F378</f>
        <v>98</v>
      </c>
      <c r="C378" s="10">
        <f>VLOOKUP(Ventas!$D378,Productos!$A$1:$D$16,4,FALSE)*Ventas!F378</f>
        <v>637</v>
      </c>
      <c r="D378" s="10">
        <f>VLOOKUP(Ventas!$D378,Productos!$A$1:$D$16,3,FALSE)*Ventas!F378</f>
        <v>343</v>
      </c>
      <c r="E378" s="10">
        <f t="shared" si="5"/>
        <v>294</v>
      </c>
      <c r="F378" s="9">
        <f>YEAR(Ventas!G378)</f>
        <v>2016</v>
      </c>
      <c r="G378" s="9">
        <f>MONTH(Ventas!G378)</f>
        <v>4</v>
      </c>
      <c r="H378" s="9" t="str">
        <f>VLOOKUP(Ventas!C378,Países!$A$2:$B$186,2,FALSE)</f>
        <v>Australia and Oceania</v>
      </c>
      <c r="I378" s="9" t="str">
        <f>Ventas!E378</f>
        <v>Direct</v>
      </c>
    </row>
    <row r="379" spans="2:9" x14ac:dyDescent="0.25">
      <c r="B379" s="12">
        <f>Ventas!F379</f>
        <v>119</v>
      </c>
      <c r="C379" s="10">
        <f>VLOOKUP(Ventas!$D379,Productos!$A$1:$D$16,4,FALSE)*Ventas!F379</f>
        <v>1071</v>
      </c>
      <c r="D379" s="10">
        <f>VLOOKUP(Ventas!$D379,Productos!$A$1:$D$16,3,FALSE)*Ventas!F379</f>
        <v>714</v>
      </c>
      <c r="E379" s="10">
        <f t="shared" si="5"/>
        <v>357</v>
      </c>
      <c r="F379" s="9">
        <f>YEAR(Ventas!G379)</f>
        <v>2016</v>
      </c>
      <c r="G379" s="9">
        <f>MONTH(Ventas!G379)</f>
        <v>5</v>
      </c>
      <c r="H379" s="9" t="str">
        <f>VLOOKUP(Ventas!C379,Países!$A$2:$B$186,2,FALSE)</f>
        <v>Sub-Saharan Africa</v>
      </c>
      <c r="I379" s="9" t="str">
        <f>Ventas!E379</f>
        <v>Retail</v>
      </c>
    </row>
    <row r="380" spans="2:9" x14ac:dyDescent="0.25">
      <c r="B380" s="12">
        <f>Ventas!F380</f>
        <v>90</v>
      </c>
      <c r="C380" s="10">
        <f>VLOOKUP(Ventas!$D380,Productos!$A$1:$D$16,4,FALSE)*Ventas!F380</f>
        <v>540</v>
      </c>
      <c r="D380" s="10">
        <f>VLOOKUP(Ventas!$D380,Productos!$A$1:$D$16,3,FALSE)*Ventas!F380</f>
        <v>270</v>
      </c>
      <c r="E380" s="10">
        <f t="shared" si="5"/>
        <v>270</v>
      </c>
      <c r="F380" s="9">
        <f>YEAR(Ventas!G380)</f>
        <v>2016</v>
      </c>
      <c r="G380" s="9">
        <f>MONTH(Ventas!G380)</f>
        <v>5</v>
      </c>
      <c r="H380" s="9" t="str">
        <f>VLOOKUP(Ventas!C380,Países!$A$2:$B$186,2,FALSE)</f>
        <v>Sub-Saharan Africa</v>
      </c>
      <c r="I380" s="9" t="str">
        <f>Ventas!E380</f>
        <v>Retail</v>
      </c>
    </row>
    <row r="381" spans="2:9" x14ac:dyDescent="0.25">
      <c r="B381" s="12">
        <f>Ventas!F381</f>
        <v>11</v>
      </c>
      <c r="C381" s="10">
        <f>VLOOKUP(Ventas!$D381,Productos!$A$1:$D$16,4,FALSE)*Ventas!F381</f>
        <v>99</v>
      </c>
      <c r="D381" s="10">
        <f>VLOOKUP(Ventas!$D381,Productos!$A$1:$D$16,3,FALSE)*Ventas!F381</f>
        <v>66</v>
      </c>
      <c r="E381" s="10">
        <f t="shared" si="5"/>
        <v>33</v>
      </c>
      <c r="F381" s="9">
        <f>YEAR(Ventas!G381)</f>
        <v>2016</v>
      </c>
      <c r="G381" s="9">
        <f>MONTH(Ventas!G381)</f>
        <v>5</v>
      </c>
      <c r="H381" s="9" t="str">
        <f>VLOOKUP(Ventas!C381,Países!$A$2:$B$186,2,FALSE)</f>
        <v>North America</v>
      </c>
      <c r="I381" s="9" t="str">
        <f>Ventas!E381</f>
        <v>Online</v>
      </c>
    </row>
    <row r="382" spans="2:9" x14ac:dyDescent="0.25">
      <c r="B382" s="12">
        <f>Ventas!F382</f>
        <v>152</v>
      </c>
      <c r="C382" s="10">
        <f>VLOOKUP(Ventas!$D382,Productos!$A$1:$D$16,4,FALSE)*Ventas!F382</f>
        <v>606.48</v>
      </c>
      <c r="D382" s="10">
        <f>VLOOKUP(Ventas!$D382,Productos!$A$1:$D$16,3,FALSE)*Ventas!F382</f>
        <v>304</v>
      </c>
      <c r="E382" s="10">
        <f t="shared" si="5"/>
        <v>302.48</v>
      </c>
      <c r="F382" s="9">
        <f>YEAR(Ventas!G382)</f>
        <v>2016</v>
      </c>
      <c r="G382" s="9">
        <f>MONTH(Ventas!G382)</f>
        <v>5</v>
      </c>
      <c r="H382" s="9" t="str">
        <f>VLOOKUP(Ventas!C382,Países!$A$2:$B$186,2,FALSE)</f>
        <v>Asia</v>
      </c>
      <c r="I382" s="9" t="str">
        <f>Ventas!E382</f>
        <v>Retail</v>
      </c>
    </row>
    <row r="383" spans="2:9" x14ac:dyDescent="0.25">
      <c r="B383" s="12">
        <f>Ventas!F383</f>
        <v>11</v>
      </c>
      <c r="C383" s="10">
        <f>VLOOKUP(Ventas!$D383,Productos!$A$1:$D$16,4,FALSE)*Ventas!F383</f>
        <v>33</v>
      </c>
      <c r="D383" s="10">
        <f>VLOOKUP(Ventas!$D383,Productos!$A$1:$D$16,3,FALSE)*Ventas!F383</f>
        <v>16.5</v>
      </c>
      <c r="E383" s="10">
        <f t="shared" si="5"/>
        <v>16.5</v>
      </c>
      <c r="F383" s="9">
        <f>YEAR(Ventas!G383)</f>
        <v>2016</v>
      </c>
      <c r="G383" s="9">
        <f>MONTH(Ventas!G383)</f>
        <v>4</v>
      </c>
      <c r="H383" s="9" t="str">
        <f>VLOOKUP(Ventas!C383,Países!$A$2:$B$186,2,FALSE)</f>
        <v>Europe</v>
      </c>
      <c r="I383" s="9" t="str">
        <f>Ventas!E383</f>
        <v>Direct</v>
      </c>
    </row>
    <row r="384" spans="2:9" x14ac:dyDescent="0.25">
      <c r="B384" s="12">
        <f>Ventas!F384</f>
        <v>158</v>
      </c>
      <c r="C384" s="10">
        <f>VLOOKUP(Ventas!$D384,Productos!$A$1:$D$16,4,FALSE)*Ventas!F384</f>
        <v>474</v>
      </c>
      <c r="D384" s="10">
        <f>VLOOKUP(Ventas!$D384,Productos!$A$1:$D$16,3,FALSE)*Ventas!F384</f>
        <v>237</v>
      </c>
      <c r="E384" s="10">
        <f t="shared" si="5"/>
        <v>237</v>
      </c>
      <c r="F384" s="9">
        <f>YEAR(Ventas!G384)</f>
        <v>2016</v>
      </c>
      <c r="G384" s="9">
        <f>MONTH(Ventas!G384)</f>
        <v>4</v>
      </c>
      <c r="H384" s="9" t="str">
        <f>VLOOKUP(Ventas!C384,Países!$A$2:$B$186,2,FALSE)</f>
        <v>Europe</v>
      </c>
      <c r="I384" s="9" t="str">
        <f>Ventas!E384</f>
        <v>Direct</v>
      </c>
    </row>
    <row r="385" spans="2:9" x14ac:dyDescent="0.25">
      <c r="B385" s="12">
        <f>Ventas!F385</f>
        <v>1</v>
      </c>
      <c r="C385" s="10">
        <f>VLOOKUP(Ventas!$D385,Productos!$A$1:$D$16,4,FALSE)*Ventas!F385</f>
        <v>9.99</v>
      </c>
      <c r="D385" s="10">
        <f>VLOOKUP(Ventas!$D385,Productos!$A$1:$D$16,3,FALSE)*Ventas!F385</f>
        <v>5</v>
      </c>
      <c r="E385" s="10">
        <f t="shared" si="5"/>
        <v>4.99</v>
      </c>
      <c r="F385" s="9">
        <f>YEAR(Ventas!G385)</f>
        <v>2016</v>
      </c>
      <c r="G385" s="9">
        <f>MONTH(Ventas!G385)</f>
        <v>5</v>
      </c>
      <c r="H385" s="9" t="str">
        <f>VLOOKUP(Ventas!C385,Países!$A$2:$B$186,2,FALSE)</f>
        <v>Europe</v>
      </c>
      <c r="I385" s="9" t="str">
        <f>Ventas!E385</f>
        <v>Retail</v>
      </c>
    </row>
    <row r="386" spans="2:9" x14ac:dyDescent="0.25">
      <c r="B386" s="12">
        <f>Ventas!F386</f>
        <v>131</v>
      </c>
      <c r="C386" s="10">
        <f>VLOOKUP(Ventas!$D386,Productos!$A$1:$D$16,4,FALSE)*Ventas!F386</f>
        <v>786</v>
      </c>
      <c r="D386" s="10">
        <f>VLOOKUP(Ventas!$D386,Productos!$A$1:$D$16,3,FALSE)*Ventas!F386</f>
        <v>393</v>
      </c>
      <c r="E386" s="10">
        <f t="shared" si="5"/>
        <v>393</v>
      </c>
      <c r="F386" s="9">
        <f>YEAR(Ventas!G386)</f>
        <v>2016</v>
      </c>
      <c r="G386" s="9">
        <f>MONTH(Ventas!G386)</f>
        <v>5</v>
      </c>
      <c r="H386" s="9" t="str">
        <f>VLOOKUP(Ventas!C386,Países!$A$2:$B$186,2,FALSE)</f>
        <v>Europe</v>
      </c>
      <c r="I386" s="9" t="str">
        <f>Ventas!E386</f>
        <v>Online</v>
      </c>
    </row>
    <row r="387" spans="2:9" x14ac:dyDescent="0.25">
      <c r="B387" s="12">
        <f>Ventas!F387</f>
        <v>148</v>
      </c>
      <c r="C387" s="10">
        <f>VLOOKUP(Ventas!$D387,Productos!$A$1:$D$16,4,FALSE)*Ventas!F387</f>
        <v>590.52</v>
      </c>
      <c r="D387" s="10">
        <f>VLOOKUP(Ventas!$D387,Productos!$A$1:$D$16,3,FALSE)*Ventas!F387</f>
        <v>296</v>
      </c>
      <c r="E387" s="10">
        <f t="shared" ref="E387:E450" si="6">C387-D387</f>
        <v>294.52</v>
      </c>
      <c r="F387" s="9">
        <f>YEAR(Ventas!G387)</f>
        <v>2016</v>
      </c>
      <c r="G387" s="9">
        <f>MONTH(Ventas!G387)</f>
        <v>4</v>
      </c>
      <c r="H387" s="9" t="str">
        <f>VLOOKUP(Ventas!C387,Países!$A$2:$B$186,2,FALSE)</f>
        <v>Europe</v>
      </c>
      <c r="I387" s="9" t="str">
        <f>Ventas!E387</f>
        <v>Retail</v>
      </c>
    </row>
    <row r="388" spans="2:9" x14ac:dyDescent="0.25">
      <c r="B388" s="12">
        <f>Ventas!F388</f>
        <v>153</v>
      </c>
      <c r="C388" s="10">
        <f>VLOOKUP(Ventas!$D388,Productos!$A$1:$D$16,4,FALSE)*Ventas!F388</f>
        <v>1528.47</v>
      </c>
      <c r="D388" s="10">
        <f>VLOOKUP(Ventas!$D388,Productos!$A$1:$D$16,3,FALSE)*Ventas!F388</f>
        <v>765</v>
      </c>
      <c r="E388" s="10">
        <f t="shared" si="6"/>
        <v>763.47</v>
      </c>
      <c r="F388" s="9">
        <f>YEAR(Ventas!G388)</f>
        <v>2016</v>
      </c>
      <c r="G388" s="9">
        <f>MONTH(Ventas!G388)</f>
        <v>5</v>
      </c>
      <c r="H388" s="9" t="str">
        <f>VLOOKUP(Ventas!C388,Países!$A$2:$B$186,2,FALSE)</f>
        <v>Europe</v>
      </c>
      <c r="I388" s="9" t="str">
        <f>Ventas!E388</f>
        <v>Retail</v>
      </c>
    </row>
    <row r="389" spans="2:9" x14ac:dyDescent="0.25">
      <c r="B389" s="12">
        <f>Ventas!F389</f>
        <v>125</v>
      </c>
      <c r="C389" s="10">
        <f>VLOOKUP(Ventas!$D389,Productos!$A$1:$D$16,4,FALSE)*Ventas!F389</f>
        <v>873.75</v>
      </c>
      <c r="D389" s="10">
        <f>VLOOKUP(Ventas!$D389,Productos!$A$1:$D$16,3,FALSE)*Ventas!F389</f>
        <v>437.5</v>
      </c>
      <c r="E389" s="10">
        <f t="shared" si="6"/>
        <v>436.25</v>
      </c>
      <c r="F389" s="9">
        <f>YEAR(Ventas!G389)</f>
        <v>2016</v>
      </c>
      <c r="G389" s="9">
        <f>MONTH(Ventas!G389)</f>
        <v>4</v>
      </c>
      <c r="H389" s="9" t="str">
        <f>VLOOKUP(Ventas!C389,Países!$A$2:$B$186,2,FALSE)</f>
        <v>Sub-Saharan Africa</v>
      </c>
      <c r="I389" s="9" t="str">
        <f>Ventas!E389</f>
        <v>Retail</v>
      </c>
    </row>
    <row r="390" spans="2:9" x14ac:dyDescent="0.25">
      <c r="B390" s="12">
        <f>Ventas!F390</f>
        <v>162</v>
      </c>
      <c r="C390" s="10">
        <f>VLOOKUP(Ventas!$D390,Productos!$A$1:$D$16,4,FALSE)*Ventas!F390</f>
        <v>324</v>
      </c>
      <c r="D390" s="10">
        <f>VLOOKUP(Ventas!$D390,Productos!$A$1:$D$16,3,FALSE)*Ventas!F390</f>
        <v>162</v>
      </c>
      <c r="E390" s="10">
        <f t="shared" si="6"/>
        <v>162</v>
      </c>
      <c r="F390" s="9">
        <f>YEAR(Ventas!G390)</f>
        <v>2016</v>
      </c>
      <c r="G390" s="9">
        <f>MONTH(Ventas!G390)</f>
        <v>4</v>
      </c>
      <c r="H390" s="9" t="str">
        <f>VLOOKUP(Ventas!C390,Países!$A$2:$B$186,2,FALSE)</f>
        <v>Europe</v>
      </c>
      <c r="I390" s="9" t="str">
        <f>Ventas!E390</f>
        <v>Retail</v>
      </c>
    </row>
    <row r="391" spans="2:9" x14ac:dyDescent="0.25">
      <c r="B391" s="12">
        <f>Ventas!F391</f>
        <v>108</v>
      </c>
      <c r="C391" s="10">
        <f>VLOOKUP(Ventas!$D391,Productos!$A$1:$D$16,4,FALSE)*Ventas!F391</f>
        <v>702</v>
      </c>
      <c r="D391" s="10">
        <f>VLOOKUP(Ventas!$D391,Productos!$A$1:$D$16,3,FALSE)*Ventas!F391</f>
        <v>378</v>
      </c>
      <c r="E391" s="10">
        <f t="shared" si="6"/>
        <v>324</v>
      </c>
      <c r="F391" s="9">
        <f>YEAR(Ventas!G391)</f>
        <v>2016</v>
      </c>
      <c r="G391" s="9">
        <f>MONTH(Ventas!G391)</f>
        <v>4</v>
      </c>
      <c r="H391" s="9" t="str">
        <f>VLOOKUP(Ventas!C391,Países!$A$2:$B$186,2,FALSE)</f>
        <v>Sub-Saharan Africa</v>
      </c>
      <c r="I391" s="9" t="str">
        <f>Ventas!E391</f>
        <v>Retail</v>
      </c>
    </row>
    <row r="392" spans="2:9" x14ac:dyDescent="0.25">
      <c r="B392" s="12">
        <f>Ventas!F392</f>
        <v>191</v>
      </c>
      <c r="C392" s="10">
        <f>VLOOKUP(Ventas!$D392,Productos!$A$1:$D$16,4,FALSE)*Ventas!F392</f>
        <v>382</v>
      </c>
      <c r="D392" s="10">
        <f>VLOOKUP(Ventas!$D392,Productos!$A$1:$D$16,3,FALSE)*Ventas!F392</f>
        <v>191</v>
      </c>
      <c r="E392" s="10">
        <f t="shared" si="6"/>
        <v>191</v>
      </c>
      <c r="F392" s="9">
        <f>YEAR(Ventas!G392)</f>
        <v>2016</v>
      </c>
      <c r="G392" s="9">
        <f>MONTH(Ventas!G392)</f>
        <v>4</v>
      </c>
      <c r="H392" s="9" t="str">
        <f>VLOOKUP(Ventas!C392,Países!$A$2:$B$186,2,FALSE)</f>
        <v>Central America and the Caribbean</v>
      </c>
      <c r="I392" s="9" t="str">
        <f>Ventas!E392</f>
        <v>Online</v>
      </c>
    </row>
    <row r="393" spans="2:9" x14ac:dyDescent="0.25">
      <c r="B393" s="12">
        <f>Ventas!F393</f>
        <v>165</v>
      </c>
      <c r="C393" s="10">
        <f>VLOOKUP(Ventas!$D393,Productos!$A$1:$D$16,4,FALSE)*Ventas!F393</f>
        <v>658.35</v>
      </c>
      <c r="D393" s="10">
        <f>VLOOKUP(Ventas!$D393,Productos!$A$1:$D$16,3,FALSE)*Ventas!F393</f>
        <v>330</v>
      </c>
      <c r="E393" s="10">
        <f t="shared" si="6"/>
        <v>328.35</v>
      </c>
      <c r="F393" s="9">
        <f>YEAR(Ventas!G393)</f>
        <v>2016</v>
      </c>
      <c r="G393" s="9">
        <f>MONTH(Ventas!G393)</f>
        <v>5</v>
      </c>
      <c r="H393" s="9" t="str">
        <f>VLOOKUP(Ventas!C393,Países!$A$2:$B$186,2,FALSE)</f>
        <v>Central America and the Caribbean</v>
      </c>
      <c r="I393" s="9" t="str">
        <f>Ventas!E393</f>
        <v>Retail</v>
      </c>
    </row>
    <row r="394" spans="2:9" x14ac:dyDescent="0.25">
      <c r="B394" s="12">
        <f>Ventas!F394</f>
        <v>128</v>
      </c>
      <c r="C394" s="10">
        <f>VLOOKUP(Ventas!$D394,Productos!$A$1:$D$16,4,FALSE)*Ventas!F394</f>
        <v>384</v>
      </c>
      <c r="D394" s="10">
        <f>VLOOKUP(Ventas!$D394,Productos!$A$1:$D$16,3,FALSE)*Ventas!F394</f>
        <v>192</v>
      </c>
      <c r="E394" s="10">
        <f t="shared" si="6"/>
        <v>192</v>
      </c>
      <c r="F394" s="9">
        <f>YEAR(Ventas!G394)</f>
        <v>2016</v>
      </c>
      <c r="G394" s="9">
        <f>MONTH(Ventas!G394)</f>
        <v>4</v>
      </c>
      <c r="H394" s="9" t="str">
        <f>VLOOKUP(Ventas!C394,Países!$A$2:$B$186,2,FALSE)</f>
        <v>Asia</v>
      </c>
      <c r="I394" s="9" t="str">
        <f>Ventas!E394</f>
        <v>Retail</v>
      </c>
    </row>
    <row r="395" spans="2:9" x14ac:dyDescent="0.25">
      <c r="B395" s="12">
        <f>Ventas!F395</f>
        <v>146</v>
      </c>
      <c r="C395" s="10">
        <f>VLOOKUP(Ventas!$D395,Productos!$A$1:$D$16,4,FALSE)*Ventas!F395</f>
        <v>582.54000000000008</v>
      </c>
      <c r="D395" s="10">
        <f>VLOOKUP(Ventas!$D395,Productos!$A$1:$D$16,3,FALSE)*Ventas!F395</f>
        <v>292</v>
      </c>
      <c r="E395" s="10">
        <f t="shared" si="6"/>
        <v>290.54000000000008</v>
      </c>
      <c r="F395" s="9">
        <f>YEAR(Ventas!G395)</f>
        <v>2016</v>
      </c>
      <c r="G395" s="9">
        <f>MONTH(Ventas!G395)</f>
        <v>5</v>
      </c>
      <c r="H395" s="9" t="str">
        <f>VLOOKUP(Ventas!C395,Países!$A$2:$B$186,2,FALSE)</f>
        <v>Central America and the Caribbean</v>
      </c>
      <c r="I395" s="9" t="str">
        <f>Ventas!E395</f>
        <v>Online</v>
      </c>
    </row>
    <row r="396" spans="2:9" x14ac:dyDescent="0.25">
      <c r="B396" s="12">
        <f>Ventas!F396</f>
        <v>206</v>
      </c>
      <c r="C396" s="10">
        <f>VLOOKUP(Ventas!$D396,Productos!$A$1:$D$16,4,FALSE)*Ventas!F396</f>
        <v>2987</v>
      </c>
      <c r="D396" s="10">
        <f>VLOOKUP(Ventas!$D396,Productos!$A$1:$D$16,3,FALSE)*Ventas!F396</f>
        <v>1648</v>
      </c>
      <c r="E396" s="10">
        <f t="shared" si="6"/>
        <v>1339</v>
      </c>
      <c r="F396" s="9">
        <f>YEAR(Ventas!G396)</f>
        <v>2016</v>
      </c>
      <c r="G396" s="9">
        <f>MONTH(Ventas!G396)</f>
        <v>5</v>
      </c>
      <c r="H396" s="9" t="str">
        <f>VLOOKUP(Ventas!C396,Países!$A$2:$B$186,2,FALSE)</f>
        <v>Europe</v>
      </c>
      <c r="I396" s="9" t="str">
        <f>Ventas!E396</f>
        <v>Retail</v>
      </c>
    </row>
    <row r="397" spans="2:9" x14ac:dyDescent="0.25">
      <c r="B397" s="12">
        <f>Ventas!F397</f>
        <v>196</v>
      </c>
      <c r="C397" s="10">
        <f>VLOOKUP(Ventas!$D397,Productos!$A$1:$D$16,4,FALSE)*Ventas!F397</f>
        <v>782.04000000000008</v>
      </c>
      <c r="D397" s="10">
        <f>VLOOKUP(Ventas!$D397,Productos!$A$1:$D$16,3,FALSE)*Ventas!F397</f>
        <v>392</v>
      </c>
      <c r="E397" s="10">
        <f t="shared" si="6"/>
        <v>390.04000000000008</v>
      </c>
      <c r="F397" s="9">
        <f>YEAR(Ventas!G397)</f>
        <v>2016</v>
      </c>
      <c r="G397" s="9">
        <f>MONTH(Ventas!G397)</f>
        <v>4</v>
      </c>
      <c r="H397" s="9" t="str">
        <f>VLOOKUP(Ventas!C397,Países!$A$2:$B$186,2,FALSE)</f>
        <v>Europe</v>
      </c>
      <c r="I397" s="9" t="str">
        <f>Ventas!E397</f>
        <v>Direct</v>
      </c>
    </row>
    <row r="398" spans="2:9" x14ac:dyDescent="0.25">
      <c r="B398" s="12">
        <f>Ventas!F398</f>
        <v>88</v>
      </c>
      <c r="C398" s="10">
        <f>VLOOKUP(Ventas!$D398,Productos!$A$1:$D$16,4,FALSE)*Ventas!F398</f>
        <v>396</v>
      </c>
      <c r="D398" s="10">
        <f>VLOOKUP(Ventas!$D398,Productos!$A$1:$D$16,3,FALSE)*Ventas!F398</f>
        <v>220</v>
      </c>
      <c r="E398" s="10">
        <f t="shared" si="6"/>
        <v>176</v>
      </c>
      <c r="F398" s="9">
        <f>YEAR(Ventas!G398)</f>
        <v>2016</v>
      </c>
      <c r="G398" s="9">
        <f>MONTH(Ventas!G398)</f>
        <v>5</v>
      </c>
      <c r="H398" s="9" t="str">
        <f>VLOOKUP(Ventas!C398,Países!$A$2:$B$186,2,FALSE)</f>
        <v>Central America and the Caribbean</v>
      </c>
      <c r="I398" s="9" t="str">
        <f>Ventas!E398</f>
        <v>Retail</v>
      </c>
    </row>
    <row r="399" spans="2:9" x14ac:dyDescent="0.25">
      <c r="B399" s="12">
        <f>Ventas!F399</f>
        <v>209</v>
      </c>
      <c r="C399" s="10">
        <f>VLOOKUP(Ventas!$D399,Productos!$A$1:$D$16,4,FALSE)*Ventas!F399</f>
        <v>1358.5</v>
      </c>
      <c r="D399" s="10">
        <f>VLOOKUP(Ventas!$D399,Productos!$A$1:$D$16,3,FALSE)*Ventas!F399</f>
        <v>731.5</v>
      </c>
      <c r="E399" s="10">
        <f t="shared" si="6"/>
        <v>627</v>
      </c>
      <c r="F399" s="9">
        <f>YEAR(Ventas!G399)</f>
        <v>2016</v>
      </c>
      <c r="G399" s="9">
        <f>MONTH(Ventas!G399)</f>
        <v>4</v>
      </c>
      <c r="H399" s="9" t="str">
        <f>VLOOKUP(Ventas!C399,Países!$A$2:$B$186,2,FALSE)</f>
        <v>Sub-Saharan Africa</v>
      </c>
      <c r="I399" s="9" t="str">
        <f>Ventas!E399</f>
        <v>Online</v>
      </c>
    </row>
    <row r="400" spans="2:9" x14ac:dyDescent="0.25">
      <c r="B400" s="12">
        <f>Ventas!F400</f>
        <v>189</v>
      </c>
      <c r="C400" s="10">
        <f>VLOOKUP(Ventas!$D400,Productos!$A$1:$D$16,4,FALSE)*Ventas!F400</f>
        <v>1228.5</v>
      </c>
      <c r="D400" s="10">
        <f>VLOOKUP(Ventas!$D400,Productos!$A$1:$D$16,3,FALSE)*Ventas!F400</f>
        <v>661.5</v>
      </c>
      <c r="E400" s="10">
        <f t="shared" si="6"/>
        <v>567</v>
      </c>
      <c r="F400" s="9">
        <f>YEAR(Ventas!G400)</f>
        <v>2016</v>
      </c>
      <c r="G400" s="9">
        <f>MONTH(Ventas!G400)</f>
        <v>5</v>
      </c>
      <c r="H400" s="9" t="str">
        <f>VLOOKUP(Ventas!C400,Países!$A$2:$B$186,2,FALSE)</f>
        <v>Asia</v>
      </c>
      <c r="I400" s="9" t="str">
        <f>Ventas!E400</f>
        <v>Retail</v>
      </c>
    </row>
    <row r="401" spans="2:9" x14ac:dyDescent="0.25">
      <c r="B401" s="12">
        <f>Ventas!F401</f>
        <v>77</v>
      </c>
      <c r="C401" s="10">
        <f>VLOOKUP(Ventas!$D401,Productos!$A$1:$D$16,4,FALSE)*Ventas!F401</f>
        <v>231</v>
      </c>
      <c r="D401" s="10">
        <f>VLOOKUP(Ventas!$D401,Productos!$A$1:$D$16,3,FALSE)*Ventas!F401</f>
        <v>115.5</v>
      </c>
      <c r="E401" s="10">
        <f t="shared" si="6"/>
        <v>115.5</v>
      </c>
      <c r="F401" s="9">
        <f>YEAR(Ventas!G401)</f>
        <v>2016</v>
      </c>
      <c r="G401" s="9">
        <f>MONTH(Ventas!G401)</f>
        <v>3</v>
      </c>
      <c r="H401" s="9" t="str">
        <f>VLOOKUP(Ventas!C401,Países!$A$2:$B$186,2,FALSE)</f>
        <v>Sub-Saharan Africa</v>
      </c>
      <c r="I401" s="9" t="str">
        <f>Ventas!E401</f>
        <v>Online</v>
      </c>
    </row>
    <row r="402" spans="2:9" x14ac:dyDescent="0.25">
      <c r="B402" s="12">
        <f>Ventas!F402</f>
        <v>163</v>
      </c>
      <c r="C402" s="10">
        <f>VLOOKUP(Ventas!$D402,Productos!$A$1:$D$16,4,FALSE)*Ventas!F402</f>
        <v>1628.3700000000001</v>
      </c>
      <c r="D402" s="10">
        <f>VLOOKUP(Ventas!$D402,Productos!$A$1:$D$16,3,FALSE)*Ventas!F402</f>
        <v>815</v>
      </c>
      <c r="E402" s="10">
        <f t="shared" si="6"/>
        <v>813.37000000000012</v>
      </c>
      <c r="F402" s="9">
        <f>YEAR(Ventas!G402)</f>
        <v>2016</v>
      </c>
      <c r="G402" s="9">
        <f>MONTH(Ventas!G402)</f>
        <v>1</v>
      </c>
      <c r="H402" s="9" t="str">
        <f>VLOOKUP(Ventas!C402,Países!$A$2:$B$186,2,FALSE)</f>
        <v>Sub-Saharan Africa</v>
      </c>
      <c r="I402" s="9" t="str">
        <f>Ventas!E402</f>
        <v>Direct</v>
      </c>
    </row>
    <row r="403" spans="2:9" x14ac:dyDescent="0.25">
      <c r="B403" s="12">
        <f>Ventas!F403</f>
        <v>99</v>
      </c>
      <c r="C403" s="10">
        <f>VLOOKUP(Ventas!$D403,Productos!$A$1:$D$16,4,FALSE)*Ventas!F403</f>
        <v>297</v>
      </c>
      <c r="D403" s="10">
        <f>VLOOKUP(Ventas!$D403,Productos!$A$1:$D$16,3,FALSE)*Ventas!F403</f>
        <v>148.5</v>
      </c>
      <c r="E403" s="10">
        <f t="shared" si="6"/>
        <v>148.5</v>
      </c>
      <c r="F403" s="9">
        <f>YEAR(Ventas!G403)</f>
        <v>2016</v>
      </c>
      <c r="G403" s="9">
        <f>MONTH(Ventas!G403)</f>
        <v>3</v>
      </c>
      <c r="H403" s="9" t="str">
        <f>VLOOKUP(Ventas!C403,Países!$A$2:$B$186,2,FALSE)</f>
        <v>Sub-Saharan Africa</v>
      </c>
      <c r="I403" s="9" t="str">
        <f>Ventas!E403</f>
        <v>Online</v>
      </c>
    </row>
    <row r="404" spans="2:9" x14ac:dyDescent="0.25">
      <c r="B404" s="12">
        <f>Ventas!F404</f>
        <v>180</v>
      </c>
      <c r="C404" s="10">
        <f>VLOOKUP(Ventas!$D404,Productos!$A$1:$D$16,4,FALSE)*Ventas!F404</f>
        <v>360</v>
      </c>
      <c r="D404" s="10">
        <f>VLOOKUP(Ventas!$D404,Productos!$A$1:$D$16,3,FALSE)*Ventas!F404</f>
        <v>180</v>
      </c>
      <c r="E404" s="10">
        <f t="shared" si="6"/>
        <v>180</v>
      </c>
      <c r="F404" s="9">
        <f>YEAR(Ventas!G404)</f>
        <v>2016</v>
      </c>
      <c r="G404" s="9">
        <f>MONTH(Ventas!G404)</f>
        <v>1</v>
      </c>
      <c r="H404" s="9" t="str">
        <f>VLOOKUP(Ventas!C404,Países!$A$2:$B$186,2,FALSE)</f>
        <v>Australia and Oceania</v>
      </c>
      <c r="I404" s="9" t="str">
        <f>Ventas!E404</f>
        <v>Online</v>
      </c>
    </row>
    <row r="405" spans="2:9" x14ac:dyDescent="0.25">
      <c r="B405" s="12">
        <f>Ventas!F405</f>
        <v>106</v>
      </c>
      <c r="C405" s="10">
        <f>VLOOKUP(Ventas!$D405,Productos!$A$1:$D$16,4,FALSE)*Ventas!F405</f>
        <v>212</v>
      </c>
      <c r="D405" s="10">
        <f>VLOOKUP(Ventas!$D405,Productos!$A$1:$D$16,3,FALSE)*Ventas!F405</f>
        <v>106</v>
      </c>
      <c r="E405" s="10">
        <f t="shared" si="6"/>
        <v>106</v>
      </c>
      <c r="F405" s="9">
        <f>YEAR(Ventas!G405)</f>
        <v>2016</v>
      </c>
      <c r="G405" s="9">
        <f>MONTH(Ventas!G405)</f>
        <v>3</v>
      </c>
      <c r="H405" s="9" t="str">
        <f>VLOOKUP(Ventas!C405,Países!$A$2:$B$186,2,FALSE)</f>
        <v>Central America and the Caribbean</v>
      </c>
      <c r="I405" s="9" t="str">
        <f>Ventas!E405</f>
        <v>Retail</v>
      </c>
    </row>
    <row r="406" spans="2:9" x14ac:dyDescent="0.25">
      <c r="B406" s="12">
        <f>Ventas!F406</f>
        <v>165</v>
      </c>
      <c r="C406" s="10">
        <f>VLOOKUP(Ventas!$D406,Productos!$A$1:$D$16,4,FALSE)*Ventas!F406</f>
        <v>2392.5</v>
      </c>
      <c r="D406" s="10">
        <f>VLOOKUP(Ventas!$D406,Productos!$A$1:$D$16,3,FALSE)*Ventas!F406</f>
        <v>1320</v>
      </c>
      <c r="E406" s="10">
        <f t="shared" si="6"/>
        <v>1072.5</v>
      </c>
      <c r="F406" s="9">
        <f>YEAR(Ventas!G406)</f>
        <v>2016</v>
      </c>
      <c r="G406" s="9">
        <f>MONTH(Ventas!G406)</f>
        <v>2</v>
      </c>
      <c r="H406" s="9" t="str">
        <f>VLOOKUP(Ventas!C406,Países!$A$2:$B$186,2,FALSE)</f>
        <v>Asia</v>
      </c>
      <c r="I406" s="9" t="str">
        <f>Ventas!E406</f>
        <v>Online</v>
      </c>
    </row>
    <row r="407" spans="2:9" x14ac:dyDescent="0.25">
      <c r="B407" s="12">
        <f>Ventas!F407</f>
        <v>12</v>
      </c>
      <c r="C407" s="10">
        <f>VLOOKUP(Ventas!$D407,Productos!$A$1:$D$16,4,FALSE)*Ventas!F407</f>
        <v>36</v>
      </c>
      <c r="D407" s="10">
        <f>VLOOKUP(Ventas!$D407,Productos!$A$1:$D$16,3,FALSE)*Ventas!F407</f>
        <v>18</v>
      </c>
      <c r="E407" s="10">
        <f t="shared" si="6"/>
        <v>18</v>
      </c>
      <c r="F407" s="9">
        <f>YEAR(Ventas!G407)</f>
        <v>2016</v>
      </c>
      <c r="G407" s="9">
        <f>MONTH(Ventas!G407)</f>
        <v>3</v>
      </c>
      <c r="H407" s="9" t="str">
        <f>VLOOKUP(Ventas!C407,Países!$A$2:$B$186,2,FALSE)</f>
        <v>Europe</v>
      </c>
      <c r="I407" s="9" t="str">
        <f>Ventas!E407</f>
        <v>Direct</v>
      </c>
    </row>
    <row r="408" spans="2:9" x14ac:dyDescent="0.25">
      <c r="B408" s="12">
        <f>Ventas!F408</f>
        <v>37</v>
      </c>
      <c r="C408" s="10">
        <f>VLOOKUP(Ventas!$D408,Productos!$A$1:$D$16,4,FALSE)*Ventas!F408</f>
        <v>147.63</v>
      </c>
      <c r="D408" s="10">
        <f>VLOOKUP(Ventas!$D408,Productos!$A$1:$D$16,3,FALSE)*Ventas!F408</f>
        <v>74</v>
      </c>
      <c r="E408" s="10">
        <f t="shared" si="6"/>
        <v>73.63</v>
      </c>
      <c r="F408" s="9">
        <f>YEAR(Ventas!G408)</f>
        <v>2016</v>
      </c>
      <c r="G408" s="9">
        <f>MONTH(Ventas!G408)</f>
        <v>1</v>
      </c>
      <c r="H408" s="9" t="str">
        <f>VLOOKUP(Ventas!C408,Países!$A$2:$B$186,2,FALSE)</f>
        <v>Middle East and North Africa</v>
      </c>
      <c r="I408" s="9" t="str">
        <f>Ventas!E408</f>
        <v>Online</v>
      </c>
    </row>
    <row r="409" spans="2:9" x14ac:dyDescent="0.25">
      <c r="B409" s="12">
        <f>Ventas!F409</f>
        <v>28</v>
      </c>
      <c r="C409" s="10">
        <f>VLOOKUP(Ventas!$D409,Productos!$A$1:$D$16,4,FALSE)*Ventas!F409</f>
        <v>111.72</v>
      </c>
      <c r="D409" s="10">
        <f>VLOOKUP(Ventas!$D409,Productos!$A$1:$D$16,3,FALSE)*Ventas!F409</f>
        <v>56</v>
      </c>
      <c r="E409" s="10">
        <f t="shared" si="6"/>
        <v>55.72</v>
      </c>
      <c r="F409" s="9">
        <f>YEAR(Ventas!G409)</f>
        <v>2016</v>
      </c>
      <c r="G409" s="9">
        <f>MONTH(Ventas!G409)</f>
        <v>3</v>
      </c>
      <c r="H409" s="9" t="str">
        <f>VLOOKUP(Ventas!C409,Países!$A$2:$B$186,2,FALSE)</f>
        <v>North America</v>
      </c>
      <c r="I409" s="9" t="str">
        <f>Ventas!E409</f>
        <v>Retail</v>
      </c>
    </row>
    <row r="410" spans="2:9" x14ac:dyDescent="0.25">
      <c r="B410" s="12">
        <f>Ventas!F410</f>
        <v>18</v>
      </c>
      <c r="C410" s="10">
        <f>VLOOKUP(Ventas!$D410,Productos!$A$1:$D$16,4,FALSE)*Ventas!F410</f>
        <v>117</v>
      </c>
      <c r="D410" s="10">
        <f>VLOOKUP(Ventas!$D410,Productos!$A$1:$D$16,3,FALSE)*Ventas!F410</f>
        <v>63</v>
      </c>
      <c r="E410" s="10">
        <f t="shared" si="6"/>
        <v>54</v>
      </c>
      <c r="F410" s="9">
        <f>YEAR(Ventas!G410)</f>
        <v>2016</v>
      </c>
      <c r="G410" s="9">
        <f>MONTH(Ventas!G410)</f>
        <v>2</v>
      </c>
      <c r="H410" s="9" t="str">
        <f>VLOOKUP(Ventas!C410,Países!$A$2:$B$186,2,FALSE)</f>
        <v>Sub-Saharan Africa</v>
      </c>
      <c r="I410" s="9" t="str">
        <f>Ventas!E410</f>
        <v>Direct</v>
      </c>
    </row>
    <row r="411" spans="2:9" x14ac:dyDescent="0.25">
      <c r="B411" s="12">
        <f>Ventas!F411</f>
        <v>99</v>
      </c>
      <c r="C411" s="10">
        <f>VLOOKUP(Ventas!$D411,Productos!$A$1:$D$16,4,FALSE)*Ventas!F411</f>
        <v>989.01</v>
      </c>
      <c r="D411" s="10">
        <f>VLOOKUP(Ventas!$D411,Productos!$A$1:$D$16,3,FALSE)*Ventas!F411</f>
        <v>495</v>
      </c>
      <c r="E411" s="10">
        <f t="shared" si="6"/>
        <v>494.01</v>
      </c>
      <c r="F411" s="9">
        <f>YEAR(Ventas!G411)</f>
        <v>2016</v>
      </c>
      <c r="G411" s="9">
        <f>MONTH(Ventas!G411)</f>
        <v>3</v>
      </c>
      <c r="H411" s="9" t="str">
        <f>VLOOKUP(Ventas!C411,Países!$A$2:$B$186,2,FALSE)</f>
        <v>Middle East and North Africa</v>
      </c>
      <c r="I411" s="9" t="str">
        <f>Ventas!E411</f>
        <v>Retail</v>
      </c>
    </row>
    <row r="412" spans="2:9" x14ac:dyDescent="0.25">
      <c r="B412" s="12">
        <f>Ventas!F412</f>
        <v>132</v>
      </c>
      <c r="C412" s="10">
        <f>VLOOKUP(Ventas!$D412,Productos!$A$1:$D$16,4,FALSE)*Ventas!F412</f>
        <v>594</v>
      </c>
      <c r="D412" s="10">
        <f>VLOOKUP(Ventas!$D412,Productos!$A$1:$D$16,3,FALSE)*Ventas!F412</f>
        <v>330</v>
      </c>
      <c r="E412" s="10">
        <f t="shared" si="6"/>
        <v>264</v>
      </c>
      <c r="F412" s="9">
        <f>YEAR(Ventas!G412)</f>
        <v>2016</v>
      </c>
      <c r="G412" s="9">
        <f>MONTH(Ventas!G412)</f>
        <v>1</v>
      </c>
      <c r="H412" s="9" t="str">
        <f>VLOOKUP(Ventas!C412,Países!$A$2:$B$186,2,FALSE)</f>
        <v>Australia and Oceania</v>
      </c>
      <c r="I412" s="9" t="str">
        <f>Ventas!E412</f>
        <v>Retail</v>
      </c>
    </row>
    <row r="413" spans="2:9" x14ac:dyDescent="0.25">
      <c r="B413" s="12">
        <f>Ventas!F413</f>
        <v>95</v>
      </c>
      <c r="C413" s="10">
        <f>VLOOKUP(Ventas!$D413,Productos!$A$1:$D$16,4,FALSE)*Ventas!F413</f>
        <v>285</v>
      </c>
      <c r="D413" s="10">
        <f>VLOOKUP(Ventas!$D413,Productos!$A$1:$D$16,3,FALSE)*Ventas!F413</f>
        <v>142.5</v>
      </c>
      <c r="E413" s="10">
        <f t="shared" si="6"/>
        <v>142.5</v>
      </c>
      <c r="F413" s="9">
        <f>YEAR(Ventas!G413)</f>
        <v>2016</v>
      </c>
      <c r="G413" s="9">
        <f>MONTH(Ventas!G413)</f>
        <v>2</v>
      </c>
      <c r="H413" s="9" t="str">
        <f>VLOOKUP(Ventas!C413,Países!$A$2:$B$186,2,FALSE)</f>
        <v>Europe</v>
      </c>
      <c r="I413" s="9" t="str">
        <f>Ventas!E413</f>
        <v>Online</v>
      </c>
    </row>
    <row r="414" spans="2:9" x14ac:dyDescent="0.25">
      <c r="B414" s="12">
        <f>Ventas!F414</f>
        <v>120</v>
      </c>
      <c r="C414" s="10">
        <f>VLOOKUP(Ventas!$D414,Productos!$A$1:$D$16,4,FALSE)*Ventas!F414</f>
        <v>540</v>
      </c>
      <c r="D414" s="10">
        <f>VLOOKUP(Ventas!$D414,Productos!$A$1:$D$16,3,FALSE)*Ventas!F414</f>
        <v>300</v>
      </c>
      <c r="E414" s="10">
        <f t="shared" si="6"/>
        <v>240</v>
      </c>
      <c r="F414" s="9">
        <f>YEAR(Ventas!G414)</f>
        <v>2016</v>
      </c>
      <c r="G414" s="9">
        <f>MONTH(Ventas!G414)</f>
        <v>3</v>
      </c>
      <c r="H414" s="9" t="str">
        <f>VLOOKUP(Ventas!C414,Países!$A$2:$B$186,2,FALSE)</f>
        <v>Sub-Saharan Africa</v>
      </c>
      <c r="I414" s="9" t="str">
        <f>Ventas!E414</f>
        <v>Retail</v>
      </c>
    </row>
    <row r="415" spans="2:9" x14ac:dyDescent="0.25">
      <c r="B415" s="12">
        <f>Ventas!F415</f>
        <v>36</v>
      </c>
      <c r="C415" s="10">
        <f>VLOOKUP(Ventas!$D415,Productos!$A$1:$D$16,4,FALSE)*Ventas!F415</f>
        <v>522</v>
      </c>
      <c r="D415" s="10">
        <f>VLOOKUP(Ventas!$D415,Productos!$A$1:$D$16,3,FALSE)*Ventas!F415</f>
        <v>288</v>
      </c>
      <c r="E415" s="10">
        <f t="shared" si="6"/>
        <v>234</v>
      </c>
      <c r="F415" s="9">
        <f>YEAR(Ventas!G415)</f>
        <v>2016</v>
      </c>
      <c r="G415" s="9">
        <f>MONTH(Ventas!G415)</f>
        <v>2</v>
      </c>
      <c r="H415" s="9" t="str">
        <f>VLOOKUP(Ventas!C415,Países!$A$2:$B$186,2,FALSE)</f>
        <v>Sub-Saharan Africa</v>
      </c>
      <c r="I415" s="9" t="str">
        <f>Ventas!E415</f>
        <v>Retail</v>
      </c>
    </row>
    <row r="416" spans="2:9" x14ac:dyDescent="0.25">
      <c r="B416" s="12">
        <f>Ventas!F416</f>
        <v>86</v>
      </c>
      <c r="C416" s="10">
        <f>VLOOKUP(Ventas!$D416,Productos!$A$1:$D$16,4,FALSE)*Ventas!F416</f>
        <v>343.14000000000004</v>
      </c>
      <c r="D416" s="10">
        <f>VLOOKUP(Ventas!$D416,Productos!$A$1:$D$16,3,FALSE)*Ventas!F416</f>
        <v>172</v>
      </c>
      <c r="E416" s="10">
        <f t="shared" si="6"/>
        <v>171.14000000000004</v>
      </c>
      <c r="F416" s="9">
        <f>YEAR(Ventas!G416)</f>
        <v>2016</v>
      </c>
      <c r="G416" s="9">
        <f>MONTH(Ventas!G416)</f>
        <v>1</v>
      </c>
      <c r="H416" s="9" t="str">
        <f>VLOOKUP(Ventas!C416,Países!$A$2:$B$186,2,FALSE)</f>
        <v>Sub-Saharan Africa</v>
      </c>
      <c r="I416" s="9" t="str">
        <f>Ventas!E416</f>
        <v>Online</v>
      </c>
    </row>
    <row r="417" spans="2:9" x14ac:dyDescent="0.25">
      <c r="B417" s="12">
        <f>Ventas!F417</f>
        <v>149</v>
      </c>
      <c r="C417" s="10">
        <f>VLOOKUP(Ventas!$D417,Productos!$A$1:$D$16,4,FALSE)*Ventas!F417</f>
        <v>594.51</v>
      </c>
      <c r="D417" s="10">
        <f>VLOOKUP(Ventas!$D417,Productos!$A$1:$D$16,3,FALSE)*Ventas!F417</f>
        <v>298</v>
      </c>
      <c r="E417" s="10">
        <f t="shared" si="6"/>
        <v>296.51</v>
      </c>
      <c r="F417" s="9">
        <f>YEAR(Ventas!G417)</f>
        <v>2016</v>
      </c>
      <c r="G417" s="9">
        <f>MONTH(Ventas!G417)</f>
        <v>1</v>
      </c>
      <c r="H417" s="9" t="str">
        <f>VLOOKUP(Ventas!C417,Países!$A$2:$B$186,2,FALSE)</f>
        <v>Sub-Saharan Africa</v>
      </c>
      <c r="I417" s="9" t="str">
        <f>Ventas!E417</f>
        <v>Online</v>
      </c>
    </row>
    <row r="418" spans="2:9" x14ac:dyDescent="0.25">
      <c r="B418" s="12">
        <f>Ventas!F418</f>
        <v>7</v>
      </c>
      <c r="C418" s="10">
        <f>VLOOKUP(Ventas!$D418,Productos!$A$1:$D$16,4,FALSE)*Ventas!F418</f>
        <v>27.93</v>
      </c>
      <c r="D418" s="10">
        <f>VLOOKUP(Ventas!$D418,Productos!$A$1:$D$16,3,FALSE)*Ventas!F418</f>
        <v>14</v>
      </c>
      <c r="E418" s="10">
        <f t="shared" si="6"/>
        <v>13.93</v>
      </c>
      <c r="F418" s="9">
        <f>YEAR(Ventas!G418)</f>
        <v>2016</v>
      </c>
      <c r="G418" s="9">
        <f>MONTH(Ventas!G418)</f>
        <v>1</v>
      </c>
      <c r="H418" s="9" t="str">
        <f>VLOOKUP(Ventas!C418,Países!$A$2:$B$186,2,FALSE)</f>
        <v>Sub-Saharan Africa</v>
      </c>
      <c r="I418" s="9" t="str">
        <f>Ventas!E418</f>
        <v>Online</v>
      </c>
    </row>
    <row r="419" spans="2:9" x14ac:dyDescent="0.25">
      <c r="B419" s="12">
        <f>Ventas!F419</f>
        <v>9</v>
      </c>
      <c r="C419" s="10">
        <f>VLOOKUP(Ventas!$D419,Productos!$A$1:$D$16,4,FALSE)*Ventas!F419</f>
        <v>58.5</v>
      </c>
      <c r="D419" s="10">
        <f>VLOOKUP(Ventas!$D419,Productos!$A$1:$D$16,3,FALSE)*Ventas!F419</f>
        <v>31.5</v>
      </c>
      <c r="E419" s="10">
        <f t="shared" si="6"/>
        <v>27</v>
      </c>
      <c r="F419" s="9">
        <f>YEAR(Ventas!G419)</f>
        <v>2016</v>
      </c>
      <c r="G419" s="9">
        <f>MONTH(Ventas!G419)</f>
        <v>2</v>
      </c>
      <c r="H419" s="9" t="str">
        <f>VLOOKUP(Ventas!C419,Países!$A$2:$B$186,2,FALSE)</f>
        <v>Sub-Saharan Africa</v>
      </c>
      <c r="I419" s="9" t="str">
        <f>Ventas!E419</f>
        <v>Retail</v>
      </c>
    </row>
    <row r="420" spans="2:9" x14ac:dyDescent="0.25">
      <c r="B420" s="12">
        <f>Ventas!F420</f>
        <v>151</v>
      </c>
      <c r="C420" s="10">
        <f>VLOOKUP(Ventas!$D420,Productos!$A$1:$D$16,4,FALSE)*Ventas!F420</f>
        <v>906</v>
      </c>
      <c r="D420" s="10">
        <f>VLOOKUP(Ventas!$D420,Productos!$A$1:$D$16,3,FALSE)*Ventas!F420</f>
        <v>453</v>
      </c>
      <c r="E420" s="10">
        <f t="shared" si="6"/>
        <v>453</v>
      </c>
      <c r="F420" s="9">
        <f>YEAR(Ventas!G420)</f>
        <v>2016</v>
      </c>
      <c r="G420" s="9">
        <f>MONTH(Ventas!G420)</f>
        <v>3</v>
      </c>
      <c r="H420" s="9" t="str">
        <f>VLOOKUP(Ventas!C420,Países!$A$2:$B$186,2,FALSE)</f>
        <v>Central America and the Caribbean</v>
      </c>
      <c r="I420" s="9" t="str">
        <f>Ventas!E420</f>
        <v>Online</v>
      </c>
    </row>
    <row r="421" spans="2:9" x14ac:dyDescent="0.25">
      <c r="B421" s="12">
        <f>Ventas!F421</f>
        <v>24</v>
      </c>
      <c r="C421" s="10">
        <f>VLOOKUP(Ventas!$D421,Productos!$A$1:$D$16,4,FALSE)*Ventas!F421</f>
        <v>48</v>
      </c>
      <c r="D421" s="10">
        <f>VLOOKUP(Ventas!$D421,Productos!$A$1:$D$16,3,FALSE)*Ventas!F421</f>
        <v>24</v>
      </c>
      <c r="E421" s="10">
        <f t="shared" si="6"/>
        <v>24</v>
      </c>
      <c r="F421" s="9">
        <f>YEAR(Ventas!G421)</f>
        <v>2016</v>
      </c>
      <c r="G421" s="9">
        <f>MONTH(Ventas!G421)</f>
        <v>2</v>
      </c>
      <c r="H421" s="9" t="str">
        <f>VLOOKUP(Ventas!C421,Países!$A$2:$B$186,2,FALSE)</f>
        <v>Australia and Oceania</v>
      </c>
      <c r="I421" s="9" t="str">
        <f>Ventas!E421</f>
        <v>Online</v>
      </c>
    </row>
    <row r="422" spans="2:9" x14ac:dyDescent="0.25">
      <c r="B422" s="12">
        <f>Ventas!F422</f>
        <v>200</v>
      </c>
      <c r="C422" s="10">
        <f>VLOOKUP(Ventas!$D422,Productos!$A$1:$D$16,4,FALSE)*Ventas!F422</f>
        <v>600</v>
      </c>
      <c r="D422" s="10">
        <f>VLOOKUP(Ventas!$D422,Productos!$A$1:$D$16,3,FALSE)*Ventas!F422</f>
        <v>300</v>
      </c>
      <c r="E422" s="10">
        <f t="shared" si="6"/>
        <v>300</v>
      </c>
      <c r="F422" s="9">
        <f>YEAR(Ventas!G422)</f>
        <v>2016</v>
      </c>
      <c r="G422" s="9">
        <f>MONTH(Ventas!G422)</f>
        <v>1</v>
      </c>
      <c r="H422" s="9" t="str">
        <f>VLOOKUP(Ventas!C422,Países!$A$2:$B$186,2,FALSE)</f>
        <v>Asia</v>
      </c>
      <c r="I422" s="9" t="str">
        <f>Ventas!E422</f>
        <v>Online</v>
      </c>
    </row>
    <row r="423" spans="2:9" x14ac:dyDescent="0.25">
      <c r="B423" s="12">
        <f>Ventas!F423</f>
        <v>160</v>
      </c>
      <c r="C423" s="10">
        <f>VLOOKUP(Ventas!$D423,Productos!$A$1:$D$16,4,FALSE)*Ventas!F423</f>
        <v>638.40000000000009</v>
      </c>
      <c r="D423" s="10">
        <f>VLOOKUP(Ventas!$D423,Productos!$A$1:$D$16,3,FALSE)*Ventas!F423</f>
        <v>320</v>
      </c>
      <c r="E423" s="10">
        <f t="shared" si="6"/>
        <v>318.40000000000009</v>
      </c>
      <c r="F423" s="9">
        <f>YEAR(Ventas!G423)</f>
        <v>2016</v>
      </c>
      <c r="G423" s="9">
        <f>MONTH(Ventas!G423)</f>
        <v>1</v>
      </c>
      <c r="H423" s="9" t="str">
        <f>VLOOKUP(Ventas!C423,Países!$A$2:$B$186,2,FALSE)</f>
        <v>Sub-Saharan Africa</v>
      </c>
      <c r="I423" s="9" t="str">
        <f>Ventas!E423</f>
        <v>Online</v>
      </c>
    </row>
    <row r="424" spans="2:9" x14ac:dyDescent="0.25">
      <c r="B424" s="12">
        <f>Ventas!F424</f>
        <v>103</v>
      </c>
      <c r="C424" s="10">
        <f>VLOOKUP(Ventas!$D424,Productos!$A$1:$D$16,4,FALSE)*Ventas!F424</f>
        <v>669.5</v>
      </c>
      <c r="D424" s="10">
        <f>VLOOKUP(Ventas!$D424,Productos!$A$1:$D$16,3,FALSE)*Ventas!F424</f>
        <v>360.5</v>
      </c>
      <c r="E424" s="10">
        <f t="shared" si="6"/>
        <v>309</v>
      </c>
      <c r="F424" s="9">
        <f>YEAR(Ventas!G424)</f>
        <v>2016</v>
      </c>
      <c r="G424" s="9">
        <f>MONTH(Ventas!G424)</f>
        <v>3</v>
      </c>
      <c r="H424" s="9" t="str">
        <f>VLOOKUP(Ventas!C424,Países!$A$2:$B$186,2,FALSE)</f>
        <v>Europe</v>
      </c>
      <c r="I424" s="9" t="str">
        <f>Ventas!E424</f>
        <v>Direct</v>
      </c>
    </row>
    <row r="425" spans="2:9" x14ac:dyDescent="0.25">
      <c r="B425" s="12">
        <f>Ventas!F425</f>
        <v>61</v>
      </c>
      <c r="C425" s="10">
        <f>VLOOKUP(Ventas!$D425,Productos!$A$1:$D$16,4,FALSE)*Ventas!F425</f>
        <v>122</v>
      </c>
      <c r="D425" s="10">
        <f>VLOOKUP(Ventas!$D425,Productos!$A$1:$D$16,3,FALSE)*Ventas!F425</f>
        <v>61</v>
      </c>
      <c r="E425" s="10">
        <f t="shared" si="6"/>
        <v>61</v>
      </c>
      <c r="F425" s="9">
        <f>YEAR(Ventas!G425)</f>
        <v>2016</v>
      </c>
      <c r="G425" s="9">
        <f>MONTH(Ventas!G425)</f>
        <v>1</v>
      </c>
      <c r="H425" s="9" t="str">
        <f>VLOOKUP(Ventas!C425,Países!$A$2:$B$186,2,FALSE)</f>
        <v>Sub-Saharan Africa</v>
      </c>
      <c r="I425" s="9" t="str">
        <f>Ventas!E425</f>
        <v>Retail</v>
      </c>
    </row>
    <row r="426" spans="2:9" x14ac:dyDescent="0.25">
      <c r="B426" s="12">
        <f>Ventas!F426</f>
        <v>84</v>
      </c>
      <c r="C426" s="10">
        <f>VLOOKUP(Ventas!$D426,Productos!$A$1:$D$16,4,FALSE)*Ventas!F426</f>
        <v>546</v>
      </c>
      <c r="D426" s="10">
        <f>VLOOKUP(Ventas!$D426,Productos!$A$1:$D$16,3,FALSE)*Ventas!F426</f>
        <v>294</v>
      </c>
      <c r="E426" s="10">
        <f t="shared" si="6"/>
        <v>252</v>
      </c>
      <c r="F426" s="9">
        <f>YEAR(Ventas!G426)</f>
        <v>2016</v>
      </c>
      <c r="G426" s="9">
        <f>MONTH(Ventas!G426)</f>
        <v>3</v>
      </c>
      <c r="H426" s="9" t="str">
        <f>VLOOKUP(Ventas!C426,Países!$A$2:$B$186,2,FALSE)</f>
        <v>Asia</v>
      </c>
      <c r="I426" s="9" t="str">
        <f>Ventas!E426</f>
        <v>Online</v>
      </c>
    </row>
    <row r="427" spans="2:9" x14ac:dyDescent="0.25">
      <c r="B427" s="12">
        <f>Ventas!F427</f>
        <v>197</v>
      </c>
      <c r="C427" s="10">
        <f>VLOOKUP(Ventas!$D427,Productos!$A$1:$D$16,4,FALSE)*Ventas!F427</f>
        <v>1377.03</v>
      </c>
      <c r="D427" s="10">
        <f>VLOOKUP(Ventas!$D427,Productos!$A$1:$D$16,3,FALSE)*Ventas!F427</f>
        <v>689.5</v>
      </c>
      <c r="E427" s="10">
        <f t="shared" si="6"/>
        <v>687.53</v>
      </c>
      <c r="F427" s="9">
        <f>YEAR(Ventas!G427)</f>
        <v>2016</v>
      </c>
      <c r="G427" s="9">
        <f>MONTH(Ventas!G427)</f>
        <v>1</v>
      </c>
      <c r="H427" s="9" t="str">
        <f>VLOOKUP(Ventas!C427,Países!$A$2:$B$186,2,FALSE)</f>
        <v>Europe</v>
      </c>
      <c r="I427" s="9" t="str">
        <f>Ventas!E427</f>
        <v>Direct</v>
      </c>
    </row>
    <row r="428" spans="2:9" x14ac:dyDescent="0.25">
      <c r="B428" s="12">
        <f>Ventas!F428</f>
        <v>161</v>
      </c>
      <c r="C428" s="10">
        <f>VLOOKUP(Ventas!$D428,Productos!$A$1:$D$16,4,FALSE)*Ventas!F428</f>
        <v>1449</v>
      </c>
      <c r="D428" s="10">
        <f>VLOOKUP(Ventas!$D428,Productos!$A$1:$D$16,3,FALSE)*Ventas!F428</f>
        <v>966</v>
      </c>
      <c r="E428" s="10">
        <f t="shared" si="6"/>
        <v>483</v>
      </c>
      <c r="F428" s="9">
        <f>YEAR(Ventas!G428)</f>
        <v>2016</v>
      </c>
      <c r="G428" s="9">
        <f>MONTH(Ventas!G428)</f>
        <v>2</v>
      </c>
      <c r="H428" s="9" t="str">
        <f>VLOOKUP(Ventas!C428,Países!$A$2:$B$186,2,FALSE)</f>
        <v>Europe</v>
      </c>
      <c r="I428" s="9" t="str">
        <f>Ventas!E428</f>
        <v>Online</v>
      </c>
    </row>
    <row r="429" spans="2:9" x14ac:dyDescent="0.25">
      <c r="B429" s="12">
        <f>Ventas!F429</f>
        <v>181</v>
      </c>
      <c r="C429" s="10">
        <f>VLOOKUP(Ventas!$D429,Productos!$A$1:$D$16,4,FALSE)*Ventas!F429</f>
        <v>814.5</v>
      </c>
      <c r="D429" s="10">
        <f>VLOOKUP(Ventas!$D429,Productos!$A$1:$D$16,3,FALSE)*Ventas!F429</f>
        <v>452.5</v>
      </c>
      <c r="E429" s="10">
        <f t="shared" si="6"/>
        <v>362</v>
      </c>
      <c r="F429" s="9">
        <f>YEAR(Ventas!G429)</f>
        <v>2016</v>
      </c>
      <c r="G429" s="9">
        <f>MONTH(Ventas!G429)</f>
        <v>2</v>
      </c>
      <c r="H429" s="9" t="str">
        <f>VLOOKUP(Ventas!C429,Países!$A$2:$B$186,2,FALSE)</f>
        <v>Middle East and North Africa</v>
      </c>
      <c r="I429" s="9" t="str">
        <f>Ventas!E429</f>
        <v>Online</v>
      </c>
    </row>
    <row r="430" spans="2:9" x14ac:dyDescent="0.25">
      <c r="B430" s="12">
        <f>Ventas!F430</f>
        <v>91</v>
      </c>
      <c r="C430" s="10">
        <f>VLOOKUP(Ventas!$D430,Productos!$A$1:$D$16,4,FALSE)*Ventas!F430</f>
        <v>1319.5</v>
      </c>
      <c r="D430" s="10">
        <f>VLOOKUP(Ventas!$D430,Productos!$A$1:$D$16,3,FALSE)*Ventas!F430</f>
        <v>728</v>
      </c>
      <c r="E430" s="10">
        <f t="shared" si="6"/>
        <v>591.5</v>
      </c>
      <c r="F430" s="9">
        <f>YEAR(Ventas!G430)</f>
        <v>2016</v>
      </c>
      <c r="G430" s="9">
        <f>MONTH(Ventas!G430)</f>
        <v>1</v>
      </c>
      <c r="H430" s="9" t="str">
        <f>VLOOKUP(Ventas!C430,Países!$A$2:$B$186,2,FALSE)</f>
        <v>Asia</v>
      </c>
      <c r="I430" s="9" t="str">
        <f>Ventas!E430</f>
        <v>Retail</v>
      </c>
    </row>
    <row r="431" spans="2:9" x14ac:dyDescent="0.25">
      <c r="B431" s="12">
        <f>Ventas!F431</f>
        <v>52</v>
      </c>
      <c r="C431" s="10">
        <f>VLOOKUP(Ventas!$D431,Productos!$A$1:$D$16,4,FALSE)*Ventas!F431</f>
        <v>312</v>
      </c>
      <c r="D431" s="10">
        <f>VLOOKUP(Ventas!$D431,Productos!$A$1:$D$16,3,FALSE)*Ventas!F431</f>
        <v>156</v>
      </c>
      <c r="E431" s="10">
        <f t="shared" si="6"/>
        <v>156</v>
      </c>
      <c r="F431" s="9">
        <f>YEAR(Ventas!G431)</f>
        <v>2016</v>
      </c>
      <c r="G431" s="9">
        <f>MONTH(Ventas!G431)</f>
        <v>3</v>
      </c>
      <c r="H431" s="9" t="str">
        <f>VLOOKUP(Ventas!C431,Países!$A$2:$B$186,2,FALSE)</f>
        <v>Australia and Oceania</v>
      </c>
      <c r="I431" s="9" t="str">
        <f>Ventas!E431</f>
        <v>Retail</v>
      </c>
    </row>
    <row r="432" spans="2:9" x14ac:dyDescent="0.25">
      <c r="B432" s="12">
        <f>Ventas!F432</f>
        <v>207</v>
      </c>
      <c r="C432" s="10">
        <f>VLOOKUP(Ventas!$D432,Productos!$A$1:$D$16,4,FALSE)*Ventas!F432</f>
        <v>621</v>
      </c>
      <c r="D432" s="10">
        <f>VLOOKUP(Ventas!$D432,Productos!$A$1:$D$16,3,FALSE)*Ventas!F432</f>
        <v>310.5</v>
      </c>
      <c r="E432" s="10">
        <f t="shared" si="6"/>
        <v>310.5</v>
      </c>
      <c r="F432" s="9">
        <f>YEAR(Ventas!G432)</f>
        <v>2016</v>
      </c>
      <c r="G432" s="9">
        <f>MONTH(Ventas!G432)</f>
        <v>1</v>
      </c>
      <c r="H432" s="9" t="str">
        <f>VLOOKUP(Ventas!C432,Países!$A$2:$B$186,2,FALSE)</f>
        <v>Europe</v>
      </c>
      <c r="I432" s="9" t="str">
        <f>Ventas!E432</f>
        <v>Online</v>
      </c>
    </row>
    <row r="433" spans="2:9" x14ac:dyDescent="0.25">
      <c r="B433" s="12">
        <f>Ventas!F433</f>
        <v>132</v>
      </c>
      <c r="C433" s="10">
        <f>VLOOKUP(Ventas!$D433,Productos!$A$1:$D$16,4,FALSE)*Ventas!F433</f>
        <v>396</v>
      </c>
      <c r="D433" s="10">
        <f>VLOOKUP(Ventas!$D433,Productos!$A$1:$D$16,3,FALSE)*Ventas!F433</f>
        <v>198</v>
      </c>
      <c r="E433" s="10">
        <f t="shared" si="6"/>
        <v>198</v>
      </c>
      <c r="F433" s="9">
        <f>YEAR(Ventas!G433)</f>
        <v>2016</v>
      </c>
      <c r="G433" s="9">
        <f>MONTH(Ventas!G433)</f>
        <v>1</v>
      </c>
      <c r="H433" s="9" t="str">
        <f>VLOOKUP(Ventas!C433,Países!$A$2:$B$186,2,FALSE)</f>
        <v>Central America and the Caribbean</v>
      </c>
      <c r="I433" s="9" t="str">
        <f>Ventas!E433</f>
        <v>Retail</v>
      </c>
    </row>
    <row r="434" spans="2:9" x14ac:dyDescent="0.25">
      <c r="B434" s="12">
        <f>Ventas!F434</f>
        <v>25</v>
      </c>
      <c r="C434" s="10">
        <f>VLOOKUP(Ventas!$D434,Productos!$A$1:$D$16,4,FALSE)*Ventas!F434</f>
        <v>112.5</v>
      </c>
      <c r="D434" s="10">
        <f>VLOOKUP(Ventas!$D434,Productos!$A$1:$D$16,3,FALSE)*Ventas!F434</f>
        <v>62.5</v>
      </c>
      <c r="E434" s="10">
        <f t="shared" si="6"/>
        <v>50</v>
      </c>
      <c r="F434" s="9">
        <f>YEAR(Ventas!G434)</f>
        <v>2016</v>
      </c>
      <c r="G434" s="9">
        <f>MONTH(Ventas!G434)</f>
        <v>2</v>
      </c>
      <c r="H434" s="9" t="str">
        <f>VLOOKUP(Ventas!C434,Países!$A$2:$B$186,2,FALSE)</f>
        <v>Middle East and North Africa</v>
      </c>
      <c r="I434" s="9" t="str">
        <f>Ventas!E434</f>
        <v>Online</v>
      </c>
    </row>
    <row r="435" spans="2:9" x14ac:dyDescent="0.25">
      <c r="B435" s="12">
        <f>Ventas!F435</f>
        <v>152</v>
      </c>
      <c r="C435" s="10">
        <f>VLOOKUP(Ventas!$D435,Productos!$A$1:$D$16,4,FALSE)*Ventas!F435</f>
        <v>456</v>
      </c>
      <c r="D435" s="10">
        <f>VLOOKUP(Ventas!$D435,Productos!$A$1:$D$16,3,FALSE)*Ventas!F435</f>
        <v>228</v>
      </c>
      <c r="E435" s="10">
        <f t="shared" si="6"/>
        <v>228</v>
      </c>
      <c r="F435" s="9">
        <f>YEAR(Ventas!G435)</f>
        <v>2016</v>
      </c>
      <c r="G435" s="9">
        <f>MONTH(Ventas!G435)</f>
        <v>1</v>
      </c>
      <c r="H435" s="9" t="str">
        <f>VLOOKUP(Ventas!C435,Países!$A$2:$B$186,2,FALSE)</f>
        <v>Asia</v>
      </c>
      <c r="I435" s="9" t="str">
        <f>Ventas!E435</f>
        <v>Online</v>
      </c>
    </row>
    <row r="436" spans="2:9" x14ac:dyDescent="0.25">
      <c r="B436" s="12">
        <f>Ventas!F436</f>
        <v>187</v>
      </c>
      <c r="C436" s="10">
        <f>VLOOKUP(Ventas!$D436,Productos!$A$1:$D$16,4,FALSE)*Ventas!F436</f>
        <v>1122</v>
      </c>
      <c r="D436" s="10">
        <f>VLOOKUP(Ventas!$D436,Productos!$A$1:$D$16,3,FALSE)*Ventas!F436</f>
        <v>561</v>
      </c>
      <c r="E436" s="10">
        <f t="shared" si="6"/>
        <v>561</v>
      </c>
      <c r="F436" s="9">
        <f>YEAR(Ventas!G436)</f>
        <v>2016</v>
      </c>
      <c r="G436" s="9">
        <f>MONTH(Ventas!G436)</f>
        <v>1</v>
      </c>
      <c r="H436" s="9" t="str">
        <f>VLOOKUP(Ventas!C436,Países!$A$2:$B$186,2,FALSE)</f>
        <v>Sub-Saharan Africa</v>
      </c>
      <c r="I436" s="9" t="str">
        <f>Ventas!E436</f>
        <v>Online</v>
      </c>
    </row>
    <row r="437" spans="2:9" x14ac:dyDescent="0.25">
      <c r="B437" s="12">
        <f>Ventas!F437</f>
        <v>84</v>
      </c>
      <c r="C437" s="10">
        <f>VLOOKUP(Ventas!$D437,Productos!$A$1:$D$16,4,FALSE)*Ventas!F437</f>
        <v>335.16</v>
      </c>
      <c r="D437" s="10">
        <f>VLOOKUP(Ventas!$D437,Productos!$A$1:$D$16,3,FALSE)*Ventas!F437</f>
        <v>168</v>
      </c>
      <c r="E437" s="10">
        <f t="shared" si="6"/>
        <v>167.16000000000003</v>
      </c>
      <c r="F437" s="9">
        <f>YEAR(Ventas!G437)</f>
        <v>2016</v>
      </c>
      <c r="G437" s="9">
        <f>MONTH(Ventas!G437)</f>
        <v>1</v>
      </c>
      <c r="H437" s="9" t="str">
        <f>VLOOKUP(Ventas!C437,Países!$A$2:$B$186,2,FALSE)</f>
        <v>Australia and Oceania</v>
      </c>
      <c r="I437" s="9" t="str">
        <f>Ventas!E437</f>
        <v>Online</v>
      </c>
    </row>
    <row r="438" spans="2:9" x14ac:dyDescent="0.25">
      <c r="B438" s="12">
        <f>Ventas!F438</f>
        <v>86</v>
      </c>
      <c r="C438" s="10">
        <f>VLOOKUP(Ventas!$D438,Productos!$A$1:$D$16,4,FALSE)*Ventas!F438</f>
        <v>1247</v>
      </c>
      <c r="D438" s="10">
        <f>VLOOKUP(Ventas!$D438,Productos!$A$1:$D$16,3,FALSE)*Ventas!F438</f>
        <v>688</v>
      </c>
      <c r="E438" s="10">
        <f t="shared" si="6"/>
        <v>559</v>
      </c>
      <c r="F438" s="9">
        <f>YEAR(Ventas!G438)</f>
        <v>2016</v>
      </c>
      <c r="G438" s="9">
        <f>MONTH(Ventas!G438)</f>
        <v>2</v>
      </c>
      <c r="H438" s="9" t="str">
        <f>VLOOKUP(Ventas!C438,Países!$A$2:$B$186,2,FALSE)</f>
        <v>Middle East and North Africa</v>
      </c>
      <c r="I438" s="9" t="str">
        <f>Ventas!E438</f>
        <v>Retail</v>
      </c>
    </row>
    <row r="439" spans="2:9" x14ac:dyDescent="0.25">
      <c r="B439" s="12">
        <f>Ventas!F439</f>
        <v>183</v>
      </c>
      <c r="C439" s="10">
        <f>VLOOKUP(Ventas!$D439,Productos!$A$1:$D$16,4,FALSE)*Ventas!F439</f>
        <v>823.5</v>
      </c>
      <c r="D439" s="10">
        <f>VLOOKUP(Ventas!$D439,Productos!$A$1:$D$16,3,FALSE)*Ventas!F439</f>
        <v>457.5</v>
      </c>
      <c r="E439" s="10">
        <f t="shared" si="6"/>
        <v>366</v>
      </c>
      <c r="F439" s="9">
        <f>YEAR(Ventas!G439)</f>
        <v>2016</v>
      </c>
      <c r="G439" s="9">
        <f>MONTH(Ventas!G439)</f>
        <v>1</v>
      </c>
      <c r="H439" s="9" t="str">
        <f>VLOOKUP(Ventas!C439,Países!$A$2:$B$186,2,FALSE)</f>
        <v>Central America and the Caribbean</v>
      </c>
      <c r="I439" s="9" t="str">
        <f>Ventas!E439</f>
        <v>Online</v>
      </c>
    </row>
    <row r="440" spans="2:9" x14ac:dyDescent="0.25">
      <c r="B440" s="12">
        <f>Ventas!F440</f>
        <v>121</v>
      </c>
      <c r="C440" s="10">
        <f>VLOOKUP(Ventas!$D440,Productos!$A$1:$D$16,4,FALSE)*Ventas!F440</f>
        <v>786.5</v>
      </c>
      <c r="D440" s="10">
        <f>VLOOKUP(Ventas!$D440,Productos!$A$1:$D$16,3,FALSE)*Ventas!F440</f>
        <v>423.5</v>
      </c>
      <c r="E440" s="10">
        <f t="shared" si="6"/>
        <v>363</v>
      </c>
      <c r="F440" s="9">
        <f>YEAR(Ventas!G440)</f>
        <v>2016</v>
      </c>
      <c r="G440" s="9">
        <f>MONTH(Ventas!G440)</f>
        <v>2</v>
      </c>
      <c r="H440" s="9" t="str">
        <f>VLOOKUP(Ventas!C440,Países!$A$2:$B$186,2,FALSE)</f>
        <v>Sub-Saharan Africa</v>
      </c>
      <c r="I440" s="9" t="str">
        <f>Ventas!E440</f>
        <v>Online</v>
      </c>
    </row>
    <row r="441" spans="2:9" x14ac:dyDescent="0.25">
      <c r="B441" s="12">
        <f>Ventas!F441</f>
        <v>165</v>
      </c>
      <c r="C441" s="10">
        <f>VLOOKUP(Ventas!$D441,Productos!$A$1:$D$16,4,FALSE)*Ventas!F441</f>
        <v>658.35</v>
      </c>
      <c r="D441" s="10">
        <f>VLOOKUP(Ventas!$D441,Productos!$A$1:$D$16,3,FALSE)*Ventas!F441</f>
        <v>330</v>
      </c>
      <c r="E441" s="10">
        <f t="shared" si="6"/>
        <v>328.35</v>
      </c>
      <c r="F441" s="9">
        <f>YEAR(Ventas!G441)</f>
        <v>2016</v>
      </c>
      <c r="G441" s="9">
        <f>MONTH(Ventas!G441)</f>
        <v>2</v>
      </c>
      <c r="H441" s="9" t="str">
        <f>VLOOKUP(Ventas!C441,Países!$A$2:$B$186,2,FALSE)</f>
        <v>Sub-Saharan Africa</v>
      </c>
      <c r="I441" s="9" t="str">
        <f>Ventas!E441</f>
        <v>Online</v>
      </c>
    </row>
    <row r="442" spans="2:9" x14ac:dyDescent="0.25">
      <c r="B442" s="12">
        <f>Ventas!F442</f>
        <v>27</v>
      </c>
      <c r="C442" s="10">
        <f>VLOOKUP(Ventas!$D442,Productos!$A$1:$D$16,4,FALSE)*Ventas!F442</f>
        <v>107.73</v>
      </c>
      <c r="D442" s="10">
        <f>VLOOKUP(Ventas!$D442,Productos!$A$1:$D$16,3,FALSE)*Ventas!F442</f>
        <v>54</v>
      </c>
      <c r="E442" s="10">
        <f t="shared" si="6"/>
        <v>53.730000000000004</v>
      </c>
      <c r="F442" s="9">
        <f>YEAR(Ventas!G442)</f>
        <v>2016</v>
      </c>
      <c r="G442" s="9">
        <f>MONTH(Ventas!G442)</f>
        <v>2</v>
      </c>
      <c r="H442" s="9" t="str">
        <f>VLOOKUP(Ventas!C442,Países!$A$2:$B$186,2,FALSE)</f>
        <v>Central America and the Caribbean</v>
      </c>
      <c r="I442" s="9" t="str">
        <f>Ventas!E442</f>
        <v>Online</v>
      </c>
    </row>
    <row r="443" spans="2:9" x14ac:dyDescent="0.25">
      <c r="B443" s="12">
        <f>Ventas!F443</f>
        <v>205</v>
      </c>
      <c r="C443" s="10">
        <f>VLOOKUP(Ventas!$D443,Productos!$A$1:$D$16,4,FALSE)*Ventas!F443</f>
        <v>1230</v>
      </c>
      <c r="D443" s="10">
        <f>VLOOKUP(Ventas!$D443,Productos!$A$1:$D$16,3,FALSE)*Ventas!F443</f>
        <v>615</v>
      </c>
      <c r="E443" s="10">
        <f t="shared" si="6"/>
        <v>615</v>
      </c>
      <c r="F443" s="9">
        <f>YEAR(Ventas!G443)</f>
        <v>2016</v>
      </c>
      <c r="G443" s="9">
        <f>MONTH(Ventas!G443)</f>
        <v>3</v>
      </c>
      <c r="H443" s="9" t="str">
        <f>VLOOKUP(Ventas!C443,Países!$A$2:$B$186,2,FALSE)</f>
        <v>Sub-Saharan Africa</v>
      </c>
      <c r="I443" s="9" t="str">
        <f>Ventas!E443</f>
        <v>Retail</v>
      </c>
    </row>
    <row r="444" spans="2:9" x14ac:dyDescent="0.25">
      <c r="B444" s="12">
        <f>Ventas!F444</f>
        <v>22</v>
      </c>
      <c r="C444" s="10">
        <f>VLOOKUP(Ventas!$D444,Productos!$A$1:$D$16,4,FALSE)*Ventas!F444</f>
        <v>44</v>
      </c>
      <c r="D444" s="10">
        <f>VLOOKUP(Ventas!$D444,Productos!$A$1:$D$16,3,FALSE)*Ventas!F444</f>
        <v>22</v>
      </c>
      <c r="E444" s="10">
        <f t="shared" si="6"/>
        <v>22</v>
      </c>
      <c r="F444" s="9">
        <f>YEAR(Ventas!G444)</f>
        <v>2016</v>
      </c>
      <c r="G444" s="9">
        <f>MONTH(Ventas!G444)</f>
        <v>3</v>
      </c>
      <c r="H444" s="9" t="str">
        <f>VLOOKUP(Ventas!C444,Países!$A$2:$B$186,2,FALSE)</f>
        <v>Sub-Saharan Africa</v>
      </c>
      <c r="I444" s="9" t="str">
        <f>Ventas!E444</f>
        <v>Online</v>
      </c>
    </row>
    <row r="445" spans="2:9" x14ac:dyDescent="0.25">
      <c r="B445" s="12">
        <f>Ventas!F445</f>
        <v>155</v>
      </c>
      <c r="C445" s="10">
        <f>VLOOKUP(Ventas!$D445,Productos!$A$1:$D$16,4,FALSE)*Ventas!F445</f>
        <v>618.45000000000005</v>
      </c>
      <c r="D445" s="10">
        <f>VLOOKUP(Ventas!$D445,Productos!$A$1:$D$16,3,FALSE)*Ventas!F445</f>
        <v>310</v>
      </c>
      <c r="E445" s="10">
        <f t="shared" si="6"/>
        <v>308.45000000000005</v>
      </c>
      <c r="F445" s="9">
        <f>YEAR(Ventas!G445)</f>
        <v>2016</v>
      </c>
      <c r="G445" s="9">
        <f>MONTH(Ventas!G445)</f>
        <v>2</v>
      </c>
      <c r="H445" s="9" t="str">
        <f>VLOOKUP(Ventas!C445,Países!$A$2:$B$186,2,FALSE)</f>
        <v>Europe</v>
      </c>
      <c r="I445" s="9" t="str">
        <f>Ventas!E445</f>
        <v>Online</v>
      </c>
    </row>
    <row r="446" spans="2:9" x14ac:dyDescent="0.25">
      <c r="B446" s="12">
        <f>Ventas!F446</f>
        <v>197</v>
      </c>
      <c r="C446" s="10">
        <f>VLOOKUP(Ventas!$D446,Productos!$A$1:$D$16,4,FALSE)*Ventas!F446</f>
        <v>1773</v>
      </c>
      <c r="D446" s="10">
        <f>VLOOKUP(Ventas!$D446,Productos!$A$1:$D$16,3,FALSE)*Ventas!F446</f>
        <v>1182</v>
      </c>
      <c r="E446" s="10">
        <f t="shared" si="6"/>
        <v>591</v>
      </c>
      <c r="F446" s="9">
        <f>YEAR(Ventas!G446)</f>
        <v>2016</v>
      </c>
      <c r="G446" s="9">
        <f>MONTH(Ventas!G446)</f>
        <v>2</v>
      </c>
      <c r="H446" s="9" t="str">
        <f>VLOOKUP(Ventas!C446,Países!$A$2:$B$186,2,FALSE)</f>
        <v>Sub-Saharan Africa</v>
      </c>
      <c r="I446" s="9" t="str">
        <f>Ventas!E446</f>
        <v>Online</v>
      </c>
    </row>
    <row r="447" spans="2:9" x14ac:dyDescent="0.25">
      <c r="B447" s="12">
        <f>Ventas!F447</f>
        <v>202</v>
      </c>
      <c r="C447" s="10">
        <f>VLOOKUP(Ventas!$D447,Productos!$A$1:$D$16,4,FALSE)*Ventas!F447</f>
        <v>909</v>
      </c>
      <c r="D447" s="10">
        <f>VLOOKUP(Ventas!$D447,Productos!$A$1:$D$16,3,FALSE)*Ventas!F447</f>
        <v>505</v>
      </c>
      <c r="E447" s="10">
        <f t="shared" si="6"/>
        <v>404</v>
      </c>
      <c r="F447" s="9">
        <f>YEAR(Ventas!G447)</f>
        <v>2016</v>
      </c>
      <c r="G447" s="9">
        <f>MONTH(Ventas!G447)</f>
        <v>1</v>
      </c>
      <c r="H447" s="9" t="str">
        <f>VLOOKUP(Ventas!C447,Países!$A$2:$B$186,2,FALSE)</f>
        <v>Central America and the Caribbean</v>
      </c>
      <c r="I447" s="9" t="str">
        <f>Ventas!E447</f>
        <v>Retail</v>
      </c>
    </row>
    <row r="448" spans="2:9" x14ac:dyDescent="0.25">
      <c r="B448" s="12">
        <f>Ventas!F448</f>
        <v>126</v>
      </c>
      <c r="C448" s="10">
        <f>VLOOKUP(Ventas!$D448,Productos!$A$1:$D$16,4,FALSE)*Ventas!F448</f>
        <v>567</v>
      </c>
      <c r="D448" s="10">
        <f>VLOOKUP(Ventas!$D448,Productos!$A$1:$D$16,3,FALSE)*Ventas!F448</f>
        <v>315</v>
      </c>
      <c r="E448" s="10">
        <f t="shared" si="6"/>
        <v>252</v>
      </c>
      <c r="F448" s="9">
        <f>YEAR(Ventas!G448)</f>
        <v>2016</v>
      </c>
      <c r="G448" s="9">
        <f>MONTH(Ventas!G448)</f>
        <v>2</v>
      </c>
      <c r="H448" s="9" t="str">
        <f>VLOOKUP(Ventas!C448,Países!$A$2:$B$186,2,FALSE)</f>
        <v>Middle East and North Africa</v>
      </c>
      <c r="I448" s="9" t="str">
        <f>Ventas!E448</f>
        <v>Retail</v>
      </c>
    </row>
    <row r="449" spans="2:9" x14ac:dyDescent="0.25">
      <c r="B449" s="12">
        <f>Ventas!F449</f>
        <v>164</v>
      </c>
      <c r="C449" s="10">
        <f>VLOOKUP(Ventas!$D449,Productos!$A$1:$D$16,4,FALSE)*Ventas!F449</f>
        <v>2378</v>
      </c>
      <c r="D449" s="10">
        <f>VLOOKUP(Ventas!$D449,Productos!$A$1:$D$16,3,FALSE)*Ventas!F449</f>
        <v>1312</v>
      </c>
      <c r="E449" s="10">
        <f t="shared" si="6"/>
        <v>1066</v>
      </c>
      <c r="F449" s="9">
        <f>YEAR(Ventas!G449)</f>
        <v>2016</v>
      </c>
      <c r="G449" s="9">
        <f>MONTH(Ventas!G449)</f>
        <v>3</v>
      </c>
      <c r="H449" s="9" t="str">
        <f>VLOOKUP(Ventas!C449,Países!$A$2:$B$186,2,FALSE)</f>
        <v>Sub-Saharan Africa</v>
      </c>
      <c r="I449" s="9" t="str">
        <f>Ventas!E449</f>
        <v>Online</v>
      </c>
    </row>
    <row r="450" spans="2:9" x14ac:dyDescent="0.25">
      <c r="B450" s="12">
        <f>Ventas!F450</f>
        <v>9</v>
      </c>
      <c r="C450" s="10">
        <f>VLOOKUP(Ventas!$D450,Productos!$A$1:$D$16,4,FALSE)*Ventas!F450</f>
        <v>35.910000000000004</v>
      </c>
      <c r="D450" s="10">
        <f>VLOOKUP(Ventas!$D450,Productos!$A$1:$D$16,3,FALSE)*Ventas!F450</f>
        <v>18</v>
      </c>
      <c r="E450" s="10">
        <f t="shared" si="6"/>
        <v>17.910000000000004</v>
      </c>
      <c r="F450" s="9">
        <f>YEAR(Ventas!G450)</f>
        <v>2016</v>
      </c>
      <c r="G450" s="9">
        <f>MONTH(Ventas!G450)</f>
        <v>2</v>
      </c>
      <c r="H450" s="9" t="str">
        <f>VLOOKUP(Ventas!C450,Países!$A$2:$B$186,2,FALSE)</f>
        <v>Europe</v>
      </c>
      <c r="I450" s="9" t="str">
        <f>Ventas!E450</f>
        <v>Online</v>
      </c>
    </row>
    <row r="451" spans="2:9" x14ac:dyDescent="0.25">
      <c r="B451" s="12">
        <f>Ventas!F451</f>
        <v>42</v>
      </c>
      <c r="C451" s="10">
        <f>VLOOKUP(Ventas!$D451,Productos!$A$1:$D$16,4,FALSE)*Ventas!F451</f>
        <v>84</v>
      </c>
      <c r="D451" s="10">
        <f>VLOOKUP(Ventas!$D451,Productos!$A$1:$D$16,3,FALSE)*Ventas!F451</f>
        <v>42</v>
      </c>
      <c r="E451" s="10">
        <f t="shared" ref="E451:E514" si="7">C451-D451</f>
        <v>42</v>
      </c>
      <c r="F451" s="9">
        <f>YEAR(Ventas!G451)</f>
        <v>2016</v>
      </c>
      <c r="G451" s="9">
        <f>MONTH(Ventas!G451)</f>
        <v>1</v>
      </c>
      <c r="H451" s="9" t="str">
        <f>VLOOKUP(Ventas!C451,Países!$A$2:$B$186,2,FALSE)</f>
        <v>Sub-Saharan Africa</v>
      </c>
      <c r="I451" s="9" t="str">
        <f>Ventas!E451</f>
        <v>Retail</v>
      </c>
    </row>
    <row r="452" spans="2:9" x14ac:dyDescent="0.25">
      <c r="B452" s="12">
        <f>Ventas!F452</f>
        <v>9</v>
      </c>
      <c r="C452" s="10">
        <f>VLOOKUP(Ventas!$D452,Productos!$A$1:$D$16,4,FALSE)*Ventas!F452</f>
        <v>81</v>
      </c>
      <c r="D452" s="10">
        <f>VLOOKUP(Ventas!$D452,Productos!$A$1:$D$16,3,FALSE)*Ventas!F452</f>
        <v>54</v>
      </c>
      <c r="E452" s="10">
        <f t="shared" si="7"/>
        <v>27</v>
      </c>
      <c r="F452" s="9">
        <f>YEAR(Ventas!G452)</f>
        <v>2016</v>
      </c>
      <c r="G452" s="9">
        <f>MONTH(Ventas!G452)</f>
        <v>2</v>
      </c>
      <c r="H452" s="9" t="str">
        <f>VLOOKUP(Ventas!C452,Países!$A$2:$B$186,2,FALSE)</f>
        <v>Europe</v>
      </c>
      <c r="I452" s="9" t="str">
        <f>Ventas!E452</f>
        <v>Retail</v>
      </c>
    </row>
    <row r="453" spans="2:9" x14ac:dyDescent="0.25">
      <c r="B453" s="12">
        <f>Ventas!F453</f>
        <v>141</v>
      </c>
      <c r="C453" s="10">
        <f>VLOOKUP(Ventas!$D453,Productos!$A$1:$D$16,4,FALSE)*Ventas!F453</f>
        <v>916.5</v>
      </c>
      <c r="D453" s="10">
        <f>VLOOKUP(Ventas!$D453,Productos!$A$1:$D$16,3,FALSE)*Ventas!F453</f>
        <v>493.5</v>
      </c>
      <c r="E453" s="10">
        <f t="shared" si="7"/>
        <v>423</v>
      </c>
      <c r="F453" s="9">
        <f>YEAR(Ventas!G453)</f>
        <v>2016</v>
      </c>
      <c r="G453" s="9">
        <f>MONTH(Ventas!G453)</f>
        <v>3</v>
      </c>
      <c r="H453" s="9" t="str">
        <f>VLOOKUP(Ventas!C453,Países!$A$2:$B$186,2,FALSE)</f>
        <v>Middle East and North Africa</v>
      </c>
      <c r="I453" s="9" t="str">
        <f>Ventas!E453</f>
        <v>Online</v>
      </c>
    </row>
    <row r="454" spans="2:9" x14ac:dyDescent="0.25">
      <c r="B454" s="12">
        <f>Ventas!F454</f>
        <v>184</v>
      </c>
      <c r="C454" s="10">
        <f>VLOOKUP(Ventas!$D454,Productos!$A$1:$D$16,4,FALSE)*Ventas!F454</f>
        <v>1838.16</v>
      </c>
      <c r="D454" s="10">
        <f>VLOOKUP(Ventas!$D454,Productos!$A$1:$D$16,3,FALSE)*Ventas!F454</f>
        <v>920</v>
      </c>
      <c r="E454" s="10">
        <f t="shared" si="7"/>
        <v>918.16000000000008</v>
      </c>
      <c r="F454" s="9">
        <f>YEAR(Ventas!G454)</f>
        <v>2016</v>
      </c>
      <c r="G454" s="9">
        <f>MONTH(Ventas!G454)</f>
        <v>2</v>
      </c>
      <c r="H454" s="9" t="str">
        <f>VLOOKUP(Ventas!C454,Países!$A$2:$B$186,2,FALSE)</f>
        <v>North America</v>
      </c>
      <c r="I454" s="9" t="str">
        <f>Ventas!E454</f>
        <v>Online</v>
      </c>
    </row>
    <row r="455" spans="2:9" x14ac:dyDescent="0.25">
      <c r="B455" s="12">
        <f>Ventas!F455</f>
        <v>119</v>
      </c>
      <c r="C455" s="10">
        <f>VLOOKUP(Ventas!$D455,Productos!$A$1:$D$16,4,FALSE)*Ventas!F455</f>
        <v>535.5</v>
      </c>
      <c r="D455" s="10">
        <f>VLOOKUP(Ventas!$D455,Productos!$A$1:$D$16,3,FALSE)*Ventas!F455</f>
        <v>297.5</v>
      </c>
      <c r="E455" s="10">
        <f t="shared" si="7"/>
        <v>238</v>
      </c>
      <c r="F455" s="9">
        <f>YEAR(Ventas!G455)</f>
        <v>2016</v>
      </c>
      <c r="G455" s="9">
        <f>MONTH(Ventas!G455)</f>
        <v>3</v>
      </c>
      <c r="H455" s="9" t="str">
        <f>VLOOKUP(Ventas!C455,Países!$A$2:$B$186,2,FALSE)</f>
        <v>Sub-Saharan Africa</v>
      </c>
      <c r="I455" s="9" t="str">
        <f>Ventas!E455</f>
        <v>Online</v>
      </c>
    </row>
    <row r="456" spans="2:9" x14ac:dyDescent="0.25">
      <c r="B456" s="12">
        <f>Ventas!F456</f>
        <v>49</v>
      </c>
      <c r="C456" s="10">
        <f>VLOOKUP(Ventas!$D456,Productos!$A$1:$D$16,4,FALSE)*Ventas!F456</f>
        <v>220.5</v>
      </c>
      <c r="D456" s="10">
        <f>VLOOKUP(Ventas!$D456,Productos!$A$1:$D$16,3,FALSE)*Ventas!F456</f>
        <v>122.5</v>
      </c>
      <c r="E456" s="10">
        <f t="shared" si="7"/>
        <v>98</v>
      </c>
      <c r="F456" s="9">
        <f>YEAR(Ventas!G456)</f>
        <v>2016</v>
      </c>
      <c r="G456" s="9">
        <f>MONTH(Ventas!G456)</f>
        <v>2</v>
      </c>
      <c r="H456" s="9" t="str">
        <f>VLOOKUP(Ventas!C456,Países!$A$2:$B$186,2,FALSE)</f>
        <v>Middle East and North Africa</v>
      </c>
      <c r="I456" s="9" t="str">
        <f>Ventas!E456</f>
        <v>Online</v>
      </c>
    </row>
    <row r="457" spans="2:9" x14ac:dyDescent="0.25">
      <c r="B457" s="12">
        <f>Ventas!F457</f>
        <v>93</v>
      </c>
      <c r="C457" s="10">
        <f>VLOOKUP(Ventas!$D457,Productos!$A$1:$D$16,4,FALSE)*Ventas!F457</f>
        <v>929.07</v>
      </c>
      <c r="D457" s="10">
        <f>VLOOKUP(Ventas!$D457,Productos!$A$1:$D$16,3,FALSE)*Ventas!F457</f>
        <v>465</v>
      </c>
      <c r="E457" s="10">
        <f t="shared" si="7"/>
        <v>464.07000000000005</v>
      </c>
      <c r="F457" s="9">
        <f>YEAR(Ventas!G457)</f>
        <v>2016</v>
      </c>
      <c r="G457" s="9">
        <f>MONTH(Ventas!G457)</f>
        <v>1</v>
      </c>
      <c r="H457" s="9" t="str">
        <f>VLOOKUP(Ventas!C457,Países!$A$2:$B$186,2,FALSE)</f>
        <v>Sub-Saharan Africa</v>
      </c>
      <c r="I457" s="9" t="str">
        <f>Ventas!E457</f>
        <v>Retail</v>
      </c>
    </row>
    <row r="458" spans="2:9" x14ac:dyDescent="0.25">
      <c r="B458" s="12">
        <f>Ventas!F458</f>
        <v>187</v>
      </c>
      <c r="C458" s="10">
        <f>VLOOKUP(Ventas!$D458,Productos!$A$1:$D$16,4,FALSE)*Ventas!F458</f>
        <v>841.5</v>
      </c>
      <c r="D458" s="10">
        <f>VLOOKUP(Ventas!$D458,Productos!$A$1:$D$16,3,FALSE)*Ventas!F458</f>
        <v>467.5</v>
      </c>
      <c r="E458" s="10">
        <f t="shared" si="7"/>
        <v>374</v>
      </c>
      <c r="F458" s="9">
        <f>YEAR(Ventas!G458)</f>
        <v>2016</v>
      </c>
      <c r="G458" s="9">
        <f>MONTH(Ventas!G458)</f>
        <v>1</v>
      </c>
      <c r="H458" s="9" t="str">
        <f>VLOOKUP(Ventas!C458,Países!$A$2:$B$186,2,FALSE)</f>
        <v>Asia</v>
      </c>
      <c r="I458" s="9" t="str">
        <f>Ventas!E458</f>
        <v>Retail</v>
      </c>
    </row>
    <row r="459" spans="2:9" x14ac:dyDescent="0.25">
      <c r="B459" s="12">
        <f>Ventas!F459</f>
        <v>183</v>
      </c>
      <c r="C459" s="10">
        <f>VLOOKUP(Ventas!$D459,Productos!$A$1:$D$16,4,FALSE)*Ventas!F459</f>
        <v>2653.5</v>
      </c>
      <c r="D459" s="10">
        <f>VLOOKUP(Ventas!$D459,Productos!$A$1:$D$16,3,FALSE)*Ventas!F459</f>
        <v>1464</v>
      </c>
      <c r="E459" s="10">
        <f t="shared" si="7"/>
        <v>1189.5</v>
      </c>
      <c r="F459" s="9">
        <f>YEAR(Ventas!G459)</f>
        <v>2016</v>
      </c>
      <c r="G459" s="9">
        <f>MONTH(Ventas!G459)</f>
        <v>3</v>
      </c>
      <c r="H459" s="9" t="str">
        <f>VLOOKUP(Ventas!C459,Países!$A$2:$B$186,2,FALSE)</f>
        <v>Asia</v>
      </c>
      <c r="I459" s="9" t="str">
        <f>Ventas!E459</f>
        <v>Direct</v>
      </c>
    </row>
    <row r="460" spans="2:9" x14ac:dyDescent="0.25">
      <c r="B460" s="12">
        <f>Ventas!F460</f>
        <v>58</v>
      </c>
      <c r="C460" s="10">
        <f>VLOOKUP(Ventas!$D460,Productos!$A$1:$D$16,4,FALSE)*Ventas!F460</f>
        <v>174</v>
      </c>
      <c r="D460" s="10">
        <f>VLOOKUP(Ventas!$D460,Productos!$A$1:$D$16,3,FALSE)*Ventas!F460</f>
        <v>87</v>
      </c>
      <c r="E460" s="10">
        <f t="shared" si="7"/>
        <v>87</v>
      </c>
      <c r="F460" s="9">
        <f>YEAR(Ventas!G460)</f>
        <v>2016</v>
      </c>
      <c r="G460" s="9">
        <f>MONTH(Ventas!G460)</f>
        <v>3</v>
      </c>
      <c r="H460" s="9" t="str">
        <f>VLOOKUP(Ventas!C460,Países!$A$2:$B$186,2,FALSE)</f>
        <v>Europe</v>
      </c>
      <c r="I460" s="9" t="str">
        <f>Ventas!E460</f>
        <v>Retail</v>
      </c>
    </row>
    <row r="461" spans="2:9" x14ac:dyDescent="0.25">
      <c r="B461" s="12">
        <f>Ventas!F461</f>
        <v>194</v>
      </c>
      <c r="C461" s="10">
        <f>VLOOKUP(Ventas!$D461,Productos!$A$1:$D$16,4,FALSE)*Ventas!F461</f>
        <v>774.06000000000006</v>
      </c>
      <c r="D461" s="10">
        <f>VLOOKUP(Ventas!$D461,Productos!$A$1:$D$16,3,FALSE)*Ventas!F461</f>
        <v>388</v>
      </c>
      <c r="E461" s="10">
        <f t="shared" si="7"/>
        <v>386.06000000000006</v>
      </c>
      <c r="F461" s="9">
        <f>YEAR(Ventas!G461)</f>
        <v>2016</v>
      </c>
      <c r="G461" s="9">
        <f>MONTH(Ventas!G461)</f>
        <v>2</v>
      </c>
      <c r="H461" s="9" t="str">
        <f>VLOOKUP(Ventas!C461,Países!$A$2:$B$186,2,FALSE)</f>
        <v>Europe</v>
      </c>
      <c r="I461" s="9" t="str">
        <f>Ventas!E461</f>
        <v>Retail</v>
      </c>
    </row>
    <row r="462" spans="2:9" x14ac:dyDescent="0.25">
      <c r="B462" s="12">
        <f>Ventas!F462</f>
        <v>211</v>
      </c>
      <c r="C462" s="10">
        <f>VLOOKUP(Ventas!$D462,Productos!$A$1:$D$16,4,FALSE)*Ventas!F462</f>
        <v>1899</v>
      </c>
      <c r="D462" s="10">
        <f>VLOOKUP(Ventas!$D462,Productos!$A$1:$D$16,3,FALSE)*Ventas!F462</f>
        <v>1266</v>
      </c>
      <c r="E462" s="10">
        <f t="shared" si="7"/>
        <v>633</v>
      </c>
      <c r="F462" s="9">
        <f>YEAR(Ventas!G462)</f>
        <v>2016</v>
      </c>
      <c r="G462" s="9">
        <f>MONTH(Ventas!G462)</f>
        <v>2</v>
      </c>
      <c r="H462" s="9" t="str">
        <f>VLOOKUP(Ventas!C462,Países!$A$2:$B$186,2,FALSE)</f>
        <v>Australia and Oceania</v>
      </c>
      <c r="I462" s="9" t="str">
        <f>Ventas!E462</f>
        <v>Direct</v>
      </c>
    </row>
    <row r="463" spans="2:9" x14ac:dyDescent="0.25">
      <c r="B463" s="12">
        <f>Ventas!F463</f>
        <v>11</v>
      </c>
      <c r="C463" s="10">
        <f>VLOOKUP(Ventas!$D463,Productos!$A$1:$D$16,4,FALSE)*Ventas!F463</f>
        <v>99</v>
      </c>
      <c r="D463" s="10">
        <f>VLOOKUP(Ventas!$D463,Productos!$A$1:$D$16,3,FALSE)*Ventas!F463</f>
        <v>66</v>
      </c>
      <c r="E463" s="10">
        <f t="shared" si="7"/>
        <v>33</v>
      </c>
      <c r="F463" s="9">
        <f>YEAR(Ventas!G463)</f>
        <v>2016</v>
      </c>
      <c r="G463" s="9">
        <f>MONTH(Ventas!G463)</f>
        <v>3</v>
      </c>
      <c r="H463" s="9" t="str">
        <f>VLOOKUP(Ventas!C463,Países!$A$2:$B$186,2,FALSE)</f>
        <v>Australia and Oceania</v>
      </c>
      <c r="I463" s="9" t="str">
        <f>Ventas!E463</f>
        <v>Retail</v>
      </c>
    </row>
    <row r="464" spans="2:9" x14ac:dyDescent="0.25">
      <c r="B464" s="12">
        <f>Ventas!F464</f>
        <v>33</v>
      </c>
      <c r="C464" s="10">
        <f>VLOOKUP(Ventas!$D464,Productos!$A$1:$D$16,4,FALSE)*Ventas!F464</f>
        <v>214.5</v>
      </c>
      <c r="D464" s="10">
        <f>VLOOKUP(Ventas!$D464,Productos!$A$1:$D$16,3,FALSE)*Ventas!F464</f>
        <v>115.5</v>
      </c>
      <c r="E464" s="10">
        <f t="shared" si="7"/>
        <v>99</v>
      </c>
      <c r="F464" s="9">
        <f>YEAR(Ventas!G464)</f>
        <v>2016</v>
      </c>
      <c r="G464" s="9">
        <f>MONTH(Ventas!G464)</f>
        <v>2</v>
      </c>
      <c r="H464" s="9" t="str">
        <f>VLOOKUP(Ventas!C464,Países!$A$2:$B$186,2,FALSE)</f>
        <v>Sub-Saharan Africa</v>
      </c>
      <c r="I464" s="9" t="str">
        <f>Ventas!E464</f>
        <v>Online</v>
      </c>
    </row>
    <row r="465" spans="2:9" x14ac:dyDescent="0.25">
      <c r="B465" s="12">
        <f>Ventas!F465</f>
        <v>36</v>
      </c>
      <c r="C465" s="10">
        <f>VLOOKUP(Ventas!$D465,Productos!$A$1:$D$16,4,FALSE)*Ventas!F465</f>
        <v>143.64000000000001</v>
      </c>
      <c r="D465" s="10">
        <f>VLOOKUP(Ventas!$D465,Productos!$A$1:$D$16,3,FALSE)*Ventas!F465</f>
        <v>72</v>
      </c>
      <c r="E465" s="10">
        <f t="shared" si="7"/>
        <v>71.640000000000015</v>
      </c>
      <c r="F465" s="9">
        <f>YEAR(Ventas!G465)</f>
        <v>2016</v>
      </c>
      <c r="G465" s="9">
        <f>MONTH(Ventas!G465)</f>
        <v>2</v>
      </c>
      <c r="H465" s="9" t="str">
        <f>VLOOKUP(Ventas!C465,Países!$A$2:$B$186,2,FALSE)</f>
        <v>Europe</v>
      </c>
      <c r="I465" s="9" t="str">
        <f>Ventas!E465</f>
        <v>Online</v>
      </c>
    </row>
    <row r="466" spans="2:9" x14ac:dyDescent="0.25">
      <c r="B466" s="12">
        <f>Ventas!F466</f>
        <v>141</v>
      </c>
      <c r="C466" s="10">
        <f>VLOOKUP(Ventas!$D466,Productos!$A$1:$D$16,4,FALSE)*Ventas!F466</f>
        <v>562.59</v>
      </c>
      <c r="D466" s="10">
        <f>VLOOKUP(Ventas!$D466,Productos!$A$1:$D$16,3,FALSE)*Ventas!F466</f>
        <v>282</v>
      </c>
      <c r="E466" s="10">
        <f t="shared" si="7"/>
        <v>280.59000000000003</v>
      </c>
      <c r="F466" s="9">
        <f>YEAR(Ventas!G466)</f>
        <v>2016</v>
      </c>
      <c r="G466" s="9">
        <f>MONTH(Ventas!G466)</f>
        <v>2</v>
      </c>
      <c r="H466" s="9" t="str">
        <f>VLOOKUP(Ventas!C466,Países!$A$2:$B$186,2,FALSE)</f>
        <v>Europe</v>
      </c>
      <c r="I466" s="9" t="str">
        <f>Ventas!E466</f>
        <v>Online</v>
      </c>
    </row>
    <row r="467" spans="2:9" x14ac:dyDescent="0.25">
      <c r="B467" s="12">
        <f>Ventas!F467</f>
        <v>111</v>
      </c>
      <c r="C467" s="10">
        <f>VLOOKUP(Ventas!$D467,Productos!$A$1:$D$16,4,FALSE)*Ventas!F467</f>
        <v>333</v>
      </c>
      <c r="D467" s="10">
        <f>VLOOKUP(Ventas!$D467,Productos!$A$1:$D$16,3,FALSE)*Ventas!F467</f>
        <v>166.5</v>
      </c>
      <c r="E467" s="10">
        <f t="shared" si="7"/>
        <v>166.5</v>
      </c>
      <c r="F467" s="9">
        <f>YEAR(Ventas!G467)</f>
        <v>2016</v>
      </c>
      <c r="G467" s="9">
        <f>MONTH(Ventas!G467)</f>
        <v>3</v>
      </c>
      <c r="H467" s="9" t="str">
        <f>VLOOKUP(Ventas!C467,Países!$A$2:$B$186,2,FALSE)</f>
        <v>Asia</v>
      </c>
      <c r="I467" s="9" t="str">
        <f>Ventas!E467</f>
        <v>Retail</v>
      </c>
    </row>
    <row r="468" spans="2:9" x14ac:dyDescent="0.25">
      <c r="B468" s="12">
        <f>Ventas!F468</f>
        <v>171</v>
      </c>
      <c r="C468" s="10">
        <f>VLOOKUP(Ventas!$D468,Productos!$A$1:$D$16,4,FALSE)*Ventas!F468</f>
        <v>513</v>
      </c>
      <c r="D468" s="10">
        <f>VLOOKUP(Ventas!$D468,Productos!$A$1:$D$16,3,FALSE)*Ventas!F468</f>
        <v>256.5</v>
      </c>
      <c r="E468" s="10">
        <f t="shared" si="7"/>
        <v>256.5</v>
      </c>
      <c r="F468" s="9">
        <f>YEAR(Ventas!G468)</f>
        <v>2016</v>
      </c>
      <c r="G468" s="9">
        <f>MONTH(Ventas!G468)</f>
        <v>2</v>
      </c>
      <c r="H468" s="9" t="str">
        <f>VLOOKUP(Ventas!C468,Países!$A$2:$B$186,2,FALSE)</f>
        <v>Asia</v>
      </c>
      <c r="I468" s="9" t="str">
        <f>Ventas!E468</f>
        <v>Online</v>
      </c>
    </row>
    <row r="469" spans="2:9" x14ac:dyDescent="0.25">
      <c r="B469" s="12">
        <f>Ventas!F469</f>
        <v>16</v>
      </c>
      <c r="C469" s="10">
        <f>VLOOKUP(Ventas!$D469,Productos!$A$1:$D$16,4,FALSE)*Ventas!F469</f>
        <v>232</v>
      </c>
      <c r="D469" s="10">
        <f>VLOOKUP(Ventas!$D469,Productos!$A$1:$D$16,3,FALSE)*Ventas!F469</f>
        <v>128</v>
      </c>
      <c r="E469" s="10">
        <f t="shared" si="7"/>
        <v>104</v>
      </c>
      <c r="F469" s="9">
        <f>YEAR(Ventas!G469)</f>
        <v>2016</v>
      </c>
      <c r="G469" s="9">
        <f>MONTH(Ventas!G469)</f>
        <v>2</v>
      </c>
      <c r="H469" s="9" t="str">
        <f>VLOOKUP(Ventas!C469,Países!$A$2:$B$186,2,FALSE)</f>
        <v>Europe</v>
      </c>
      <c r="I469" s="9" t="str">
        <f>Ventas!E469</f>
        <v>Retail</v>
      </c>
    </row>
    <row r="470" spans="2:9" x14ac:dyDescent="0.25">
      <c r="B470" s="12">
        <f>Ventas!F470</f>
        <v>144</v>
      </c>
      <c r="C470" s="10">
        <f>VLOOKUP(Ventas!$D470,Productos!$A$1:$D$16,4,FALSE)*Ventas!F470</f>
        <v>574.56000000000006</v>
      </c>
      <c r="D470" s="10">
        <f>VLOOKUP(Ventas!$D470,Productos!$A$1:$D$16,3,FALSE)*Ventas!F470</f>
        <v>288</v>
      </c>
      <c r="E470" s="10">
        <f t="shared" si="7"/>
        <v>286.56000000000006</v>
      </c>
      <c r="F470" s="9">
        <f>YEAR(Ventas!G470)</f>
        <v>2016</v>
      </c>
      <c r="G470" s="9">
        <f>MONTH(Ventas!G470)</f>
        <v>1</v>
      </c>
      <c r="H470" s="9" t="str">
        <f>VLOOKUP(Ventas!C470,Países!$A$2:$B$186,2,FALSE)</f>
        <v>Sub-Saharan Africa</v>
      </c>
      <c r="I470" s="9" t="str">
        <f>Ventas!E470</f>
        <v>Retail</v>
      </c>
    </row>
    <row r="471" spans="2:9" x14ac:dyDescent="0.25">
      <c r="B471" s="12">
        <f>Ventas!F471</f>
        <v>104</v>
      </c>
      <c r="C471" s="10">
        <f>VLOOKUP(Ventas!$D471,Productos!$A$1:$D$16,4,FALSE)*Ventas!F471</f>
        <v>312</v>
      </c>
      <c r="D471" s="10">
        <f>VLOOKUP(Ventas!$D471,Productos!$A$1:$D$16,3,FALSE)*Ventas!F471</f>
        <v>156</v>
      </c>
      <c r="E471" s="10">
        <f t="shared" si="7"/>
        <v>156</v>
      </c>
      <c r="F471" s="9">
        <f>YEAR(Ventas!G471)</f>
        <v>2016</v>
      </c>
      <c r="G471" s="9">
        <f>MONTH(Ventas!G471)</f>
        <v>1</v>
      </c>
      <c r="H471" s="9" t="str">
        <f>VLOOKUP(Ventas!C471,Países!$A$2:$B$186,2,FALSE)</f>
        <v>Europe</v>
      </c>
      <c r="I471" s="9" t="str">
        <f>Ventas!E471</f>
        <v>Retail</v>
      </c>
    </row>
    <row r="472" spans="2:9" x14ac:dyDescent="0.25">
      <c r="B472" s="12">
        <f>Ventas!F472</f>
        <v>196</v>
      </c>
      <c r="C472" s="10">
        <f>VLOOKUP(Ventas!$D472,Productos!$A$1:$D$16,4,FALSE)*Ventas!F472</f>
        <v>782.04000000000008</v>
      </c>
      <c r="D472" s="10">
        <f>VLOOKUP(Ventas!$D472,Productos!$A$1:$D$16,3,FALSE)*Ventas!F472</f>
        <v>392</v>
      </c>
      <c r="E472" s="10">
        <f t="shared" si="7"/>
        <v>390.04000000000008</v>
      </c>
      <c r="F472" s="9">
        <f>YEAR(Ventas!G472)</f>
        <v>2016</v>
      </c>
      <c r="G472" s="9">
        <f>MONTH(Ventas!G472)</f>
        <v>2</v>
      </c>
      <c r="H472" s="9" t="str">
        <f>VLOOKUP(Ventas!C472,Países!$A$2:$B$186,2,FALSE)</f>
        <v>Europe</v>
      </c>
      <c r="I472" s="9" t="str">
        <f>Ventas!E472</f>
        <v>Online</v>
      </c>
    </row>
    <row r="473" spans="2:9" x14ac:dyDescent="0.25">
      <c r="B473" s="12">
        <f>Ventas!F473</f>
        <v>14</v>
      </c>
      <c r="C473" s="10">
        <f>VLOOKUP(Ventas!$D473,Productos!$A$1:$D$16,4,FALSE)*Ventas!F473</f>
        <v>91</v>
      </c>
      <c r="D473" s="10">
        <f>VLOOKUP(Ventas!$D473,Productos!$A$1:$D$16,3,FALSE)*Ventas!F473</f>
        <v>49</v>
      </c>
      <c r="E473" s="10">
        <f t="shared" si="7"/>
        <v>42</v>
      </c>
      <c r="F473" s="9">
        <f>YEAR(Ventas!G473)</f>
        <v>2016</v>
      </c>
      <c r="G473" s="9">
        <f>MONTH(Ventas!G473)</f>
        <v>2</v>
      </c>
      <c r="H473" s="9" t="str">
        <f>VLOOKUP(Ventas!C473,Países!$A$2:$B$186,2,FALSE)</f>
        <v>Central America and the Caribbean</v>
      </c>
      <c r="I473" s="9" t="str">
        <f>Ventas!E473</f>
        <v>Online</v>
      </c>
    </row>
    <row r="474" spans="2:9" x14ac:dyDescent="0.25">
      <c r="B474" s="12">
        <f>Ventas!F474</f>
        <v>87</v>
      </c>
      <c r="C474" s="10">
        <f>VLOOKUP(Ventas!$D474,Productos!$A$1:$D$16,4,FALSE)*Ventas!F474</f>
        <v>522</v>
      </c>
      <c r="D474" s="10">
        <f>VLOOKUP(Ventas!$D474,Productos!$A$1:$D$16,3,FALSE)*Ventas!F474</f>
        <v>261</v>
      </c>
      <c r="E474" s="10">
        <f t="shared" si="7"/>
        <v>261</v>
      </c>
      <c r="F474" s="9">
        <f>YEAR(Ventas!G474)</f>
        <v>2016</v>
      </c>
      <c r="G474" s="9">
        <f>MONTH(Ventas!G474)</f>
        <v>1</v>
      </c>
      <c r="H474" s="9" t="str">
        <f>VLOOKUP(Ventas!C474,Países!$A$2:$B$186,2,FALSE)</f>
        <v>Central America and the Caribbean</v>
      </c>
      <c r="I474" s="9" t="str">
        <f>Ventas!E474</f>
        <v>Retail</v>
      </c>
    </row>
    <row r="475" spans="2:9" x14ac:dyDescent="0.25">
      <c r="B475" s="12">
        <f>Ventas!F475</f>
        <v>66</v>
      </c>
      <c r="C475" s="10">
        <f>VLOOKUP(Ventas!$D475,Productos!$A$1:$D$16,4,FALSE)*Ventas!F475</f>
        <v>429</v>
      </c>
      <c r="D475" s="10">
        <f>VLOOKUP(Ventas!$D475,Productos!$A$1:$D$16,3,FALSE)*Ventas!F475</f>
        <v>231</v>
      </c>
      <c r="E475" s="10">
        <f t="shared" si="7"/>
        <v>198</v>
      </c>
      <c r="F475" s="9">
        <f>YEAR(Ventas!G475)</f>
        <v>2016</v>
      </c>
      <c r="G475" s="9">
        <f>MONTH(Ventas!G475)</f>
        <v>2</v>
      </c>
      <c r="H475" s="9" t="str">
        <f>VLOOKUP(Ventas!C475,Países!$A$2:$B$186,2,FALSE)</f>
        <v>Asia</v>
      </c>
      <c r="I475" s="9" t="str">
        <f>Ventas!E475</f>
        <v>Online</v>
      </c>
    </row>
    <row r="476" spans="2:9" x14ac:dyDescent="0.25">
      <c r="B476" s="12">
        <f>Ventas!F476</f>
        <v>154</v>
      </c>
      <c r="C476" s="10">
        <f>VLOOKUP(Ventas!$D476,Productos!$A$1:$D$16,4,FALSE)*Ventas!F476</f>
        <v>1001</v>
      </c>
      <c r="D476" s="10">
        <f>VLOOKUP(Ventas!$D476,Productos!$A$1:$D$16,3,FALSE)*Ventas!F476</f>
        <v>539</v>
      </c>
      <c r="E476" s="10">
        <f t="shared" si="7"/>
        <v>462</v>
      </c>
      <c r="F476" s="9">
        <f>YEAR(Ventas!G476)</f>
        <v>2016</v>
      </c>
      <c r="G476" s="9">
        <f>MONTH(Ventas!G476)</f>
        <v>1</v>
      </c>
      <c r="H476" s="9" t="str">
        <f>VLOOKUP(Ventas!C476,Países!$A$2:$B$186,2,FALSE)</f>
        <v>Middle East and North Africa</v>
      </c>
      <c r="I476" s="9" t="str">
        <f>Ventas!E476</f>
        <v>Online</v>
      </c>
    </row>
    <row r="477" spans="2:9" x14ac:dyDescent="0.25">
      <c r="B477" s="12">
        <f>Ventas!F477</f>
        <v>16</v>
      </c>
      <c r="C477" s="10">
        <f>VLOOKUP(Ventas!$D477,Productos!$A$1:$D$16,4,FALSE)*Ventas!F477</f>
        <v>104</v>
      </c>
      <c r="D477" s="10">
        <f>VLOOKUP(Ventas!$D477,Productos!$A$1:$D$16,3,FALSE)*Ventas!F477</f>
        <v>56</v>
      </c>
      <c r="E477" s="10">
        <f t="shared" si="7"/>
        <v>48</v>
      </c>
      <c r="F477" s="9">
        <f>YEAR(Ventas!G477)</f>
        <v>2016</v>
      </c>
      <c r="G477" s="9">
        <f>MONTH(Ventas!G477)</f>
        <v>1</v>
      </c>
      <c r="H477" s="9" t="str">
        <f>VLOOKUP(Ventas!C477,Países!$A$2:$B$186,2,FALSE)</f>
        <v>Middle East and North Africa</v>
      </c>
      <c r="I477" s="9" t="str">
        <f>Ventas!E477</f>
        <v>Online</v>
      </c>
    </row>
    <row r="478" spans="2:9" x14ac:dyDescent="0.25">
      <c r="B478" s="12">
        <f>Ventas!F478</f>
        <v>89</v>
      </c>
      <c r="C478" s="10">
        <f>VLOOKUP(Ventas!$D478,Productos!$A$1:$D$16,4,FALSE)*Ventas!F478</f>
        <v>1290.5</v>
      </c>
      <c r="D478" s="10">
        <f>VLOOKUP(Ventas!$D478,Productos!$A$1:$D$16,3,FALSE)*Ventas!F478</f>
        <v>712</v>
      </c>
      <c r="E478" s="10">
        <f t="shared" si="7"/>
        <v>578.5</v>
      </c>
      <c r="F478" s="9">
        <f>YEAR(Ventas!G478)</f>
        <v>2016</v>
      </c>
      <c r="G478" s="9">
        <f>MONTH(Ventas!G478)</f>
        <v>2</v>
      </c>
      <c r="H478" s="9" t="str">
        <f>VLOOKUP(Ventas!C478,Países!$A$2:$B$186,2,FALSE)</f>
        <v>Middle East and North Africa</v>
      </c>
      <c r="I478" s="9" t="str">
        <f>Ventas!E478</f>
        <v>Online</v>
      </c>
    </row>
    <row r="479" spans="2:9" x14ac:dyDescent="0.25">
      <c r="B479" s="12">
        <f>Ventas!F479</f>
        <v>150</v>
      </c>
      <c r="C479" s="10">
        <f>VLOOKUP(Ventas!$D479,Productos!$A$1:$D$16,4,FALSE)*Ventas!F479</f>
        <v>1048.5</v>
      </c>
      <c r="D479" s="10">
        <f>VLOOKUP(Ventas!$D479,Productos!$A$1:$D$16,3,FALSE)*Ventas!F479</f>
        <v>525</v>
      </c>
      <c r="E479" s="10">
        <f t="shared" si="7"/>
        <v>523.5</v>
      </c>
      <c r="F479" s="9">
        <f>YEAR(Ventas!G479)</f>
        <v>2016</v>
      </c>
      <c r="G479" s="9">
        <f>MONTH(Ventas!G479)</f>
        <v>3</v>
      </c>
      <c r="H479" s="9" t="str">
        <f>VLOOKUP(Ventas!C479,Países!$A$2:$B$186,2,FALSE)</f>
        <v>Sub-Saharan Africa</v>
      </c>
      <c r="I479" s="9" t="str">
        <f>Ventas!E479</f>
        <v>Online</v>
      </c>
    </row>
    <row r="480" spans="2:9" x14ac:dyDescent="0.25">
      <c r="B480" s="12">
        <f>Ventas!F480</f>
        <v>76</v>
      </c>
      <c r="C480" s="10">
        <f>VLOOKUP(Ventas!$D480,Productos!$A$1:$D$16,4,FALSE)*Ventas!F480</f>
        <v>684</v>
      </c>
      <c r="D480" s="10">
        <f>VLOOKUP(Ventas!$D480,Productos!$A$1:$D$16,3,FALSE)*Ventas!F480</f>
        <v>456</v>
      </c>
      <c r="E480" s="10">
        <f t="shared" si="7"/>
        <v>228</v>
      </c>
      <c r="F480" s="9">
        <f>YEAR(Ventas!G480)</f>
        <v>2016</v>
      </c>
      <c r="G480" s="9">
        <f>MONTH(Ventas!G480)</f>
        <v>1</v>
      </c>
      <c r="H480" s="9" t="str">
        <f>VLOOKUP(Ventas!C480,Países!$A$2:$B$186,2,FALSE)</f>
        <v>Middle East and North Africa</v>
      </c>
      <c r="I480" s="9" t="str">
        <f>Ventas!E480</f>
        <v>Direct</v>
      </c>
    </row>
    <row r="481" spans="2:9" x14ac:dyDescent="0.25">
      <c r="B481" s="12">
        <f>Ventas!F481</f>
        <v>178</v>
      </c>
      <c r="C481" s="10">
        <f>VLOOKUP(Ventas!$D481,Productos!$A$1:$D$16,4,FALSE)*Ventas!F481</f>
        <v>534</v>
      </c>
      <c r="D481" s="10">
        <f>VLOOKUP(Ventas!$D481,Productos!$A$1:$D$16,3,FALSE)*Ventas!F481</f>
        <v>267</v>
      </c>
      <c r="E481" s="10">
        <f t="shared" si="7"/>
        <v>267</v>
      </c>
      <c r="F481" s="9">
        <f>YEAR(Ventas!G481)</f>
        <v>2016</v>
      </c>
      <c r="G481" s="9">
        <f>MONTH(Ventas!G481)</f>
        <v>2</v>
      </c>
      <c r="H481" s="9" t="str">
        <f>VLOOKUP(Ventas!C481,Países!$A$2:$B$186,2,FALSE)</f>
        <v>Europe</v>
      </c>
      <c r="I481" s="9" t="str">
        <f>Ventas!E481</f>
        <v>Retail</v>
      </c>
    </row>
    <row r="482" spans="2:9" x14ac:dyDescent="0.25">
      <c r="B482" s="12">
        <f>Ventas!F482</f>
        <v>193</v>
      </c>
      <c r="C482" s="10">
        <f>VLOOKUP(Ventas!$D482,Productos!$A$1:$D$16,4,FALSE)*Ventas!F482</f>
        <v>1928.07</v>
      </c>
      <c r="D482" s="10">
        <f>VLOOKUP(Ventas!$D482,Productos!$A$1:$D$16,3,FALSE)*Ventas!F482</f>
        <v>965</v>
      </c>
      <c r="E482" s="10">
        <f t="shared" si="7"/>
        <v>963.06999999999994</v>
      </c>
      <c r="F482" s="9">
        <f>YEAR(Ventas!G482)</f>
        <v>2016</v>
      </c>
      <c r="G482" s="9">
        <f>MONTH(Ventas!G482)</f>
        <v>1</v>
      </c>
      <c r="H482" s="9" t="str">
        <f>VLOOKUP(Ventas!C482,Países!$A$2:$B$186,2,FALSE)</f>
        <v>Europe</v>
      </c>
      <c r="I482" s="9" t="str">
        <f>Ventas!E482</f>
        <v>Online</v>
      </c>
    </row>
    <row r="483" spans="2:9" x14ac:dyDescent="0.25">
      <c r="B483" s="12">
        <f>Ventas!F483</f>
        <v>174</v>
      </c>
      <c r="C483" s="10">
        <f>VLOOKUP(Ventas!$D483,Productos!$A$1:$D$16,4,FALSE)*Ventas!F483</f>
        <v>1216.26</v>
      </c>
      <c r="D483" s="10">
        <f>VLOOKUP(Ventas!$D483,Productos!$A$1:$D$16,3,FALSE)*Ventas!F483</f>
        <v>609</v>
      </c>
      <c r="E483" s="10">
        <f t="shared" si="7"/>
        <v>607.26</v>
      </c>
      <c r="F483" s="9">
        <f>YEAR(Ventas!G483)</f>
        <v>2016</v>
      </c>
      <c r="G483" s="9">
        <f>MONTH(Ventas!G483)</f>
        <v>3</v>
      </c>
      <c r="H483" s="9" t="str">
        <f>VLOOKUP(Ventas!C483,Países!$A$2:$B$186,2,FALSE)</f>
        <v>Europe</v>
      </c>
      <c r="I483" s="9" t="str">
        <f>Ventas!E483</f>
        <v>Retail</v>
      </c>
    </row>
    <row r="484" spans="2:9" x14ac:dyDescent="0.25">
      <c r="B484" s="12">
        <f>Ventas!F484</f>
        <v>127</v>
      </c>
      <c r="C484" s="10">
        <f>VLOOKUP(Ventas!$D484,Productos!$A$1:$D$16,4,FALSE)*Ventas!F484</f>
        <v>1143</v>
      </c>
      <c r="D484" s="10">
        <f>VLOOKUP(Ventas!$D484,Productos!$A$1:$D$16,3,FALSE)*Ventas!F484</f>
        <v>762</v>
      </c>
      <c r="E484" s="10">
        <f t="shared" si="7"/>
        <v>381</v>
      </c>
      <c r="F484" s="9">
        <f>YEAR(Ventas!G484)</f>
        <v>2016</v>
      </c>
      <c r="G484" s="9">
        <f>MONTH(Ventas!G484)</f>
        <v>2</v>
      </c>
      <c r="H484" s="9" t="str">
        <f>VLOOKUP(Ventas!C484,Países!$A$2:$B$186,2,FALSE)</f>
        <v>Europe</v>
      </c>
      <c r="I484" s="9" t="str">
        <f>Ventas!E484</f>
        <v>Retail</v>
      </c>
    </row>
    <row r="485" spans="2:9" x14ac:dyDescent="0.25">
      <c r="B485" s="12">
        <f>Ventas!F485</f>
        <v>180</v>
      </c>
      <c r="C485" s="10">
        <f>VLOOKUP(Ventas!$D485,Productos!$A$1:$D$16,4,FALSE)*Ventas!F485</f>
        <v>1620</v>
      </c>
      <c r="D485" s="10">
        <f>VLOOKUP(Ventas!$D485,Productos!$A$1:$D$16,3,FALSE)*Ventas!F485</f>
        <v>1080</v>
      </c>
      <c r="E485" s="10">
        <f t="shared" si="7"/>
        <v>540</v>
      </c>
      <c r="F485" s="9">
        <f>YEAR(Ventas!G485)</f>
        <v>2016</v>
      </c>
      <c r="G485" s="9">
        <f>MONTH(Ventas!G485)</f>
        <v>3</v>
      </c>
      <c r="H485" s="9" t="str">
        <f>VLOOKUP(Ventas!C485,Países!$A$2:$B$186,2,FALSE)</f>
        <v>Central America and the Caribbean</v>
      </c>
      <c r="I485" s="9" t="str">
        <f>Ventas!E485</f>
        <v>Online</v>
      </c>
    </row>
    <row r="486" spans="2:9" x14ac:dyDescent="0.25">
      <c r="B486" s="12">
        <f>Ventas!F486</f>
        <v>10</v>
      </c>
      <c r="C486" s="10">
        <f>VLOOKUP(Ventas!$D486,Productos!$A$1:$D$16,4,FALSE)*Ventas!F486</f>
        <v>39.900000000000006</v>
      </c>
      <c r="D486" s="10">
        <f>VLOOKUP(Ventas!$D486,Productos!$A$1:$D$16,3,FALSE)*Ventas!F486</f>
        <v>20</v>
      </c>
      <c r="E486" s="10">
        <f t="shared" si="7"/>
        <v>19.900000000000006</v>
      </c>
      <c r="F486" s="9">
        <f>YEAR(Ventas!G486)</f>
        <v>2016</v>
      </c>
      <c r="G486" s="9">
        <f>MONTH(Ventas!G486)</f>
        <v>2</v>
      </c>
      <c r="H486" s="9" t="str">
        <f>VLOOKUP(Ventas!C486,Países!$A$2:$B$186,2,FALSE)</f>
        <v>Sub-Saharan Africa</v>
      </c>
      <c r="I486" s="9" t="str">
        <f>Ventas!E486</f>
        <v>Retail</v>
      </c>
    </row>
    <row r="487" spans="2:9" x14ac:dyDescent="0.25">
      <c r="B487" s="12">
        <f>Ventas!F487</f>
        <v>97</v>
      </c>
      <c r="C487" s="10">
        <f>VLOOKUP(Ventas!$D487,Productos!$A$1:$D$16,4,FALSE)*Ventas!F487</f>
        <v>582</v>
      </c>
      <c r="D487" s="10">
        <f>VLOOKUP(Ventas!$D487,Productos!$A$1:$D$16,3,FALSE)*Ventas!F487</f>
        <v>291</v>
      </c>
      <c r="E487" s="10">
        <f t="shared" si="7"/>
        <v>291</v>
      </c>
      <c r="F487" s="9">
        <f>YEAR(Ventas!G487)</f>
        <v>2016</v>
      </c>
      <c r="G487" s="9">
        <f>MONTH(Ventas!G487)</f>
        <v>1</v>
      </c>
      <c r="H487" s="9" t="str">
        <f>VLOOKUP(Ventas!C487,Países!$A$2:$B$186,2,FALSE)</f>
        <v>Sub-Saharan Africa</v>
      </c>
      <c r="I487" s="9" t="str">
        <f>Ventas!E487</f>
        <v>Online</v>
      </c>
    </row>
    <row r="488" spans="2:9" x14ac:dyDescent="0.25">
      <c r="B488" s="12">
        <f>Ventas!F488</f>
        <v>23</v>
      </c>
      <c r="C488" s="10">
        <f>VLOOKUP(Ventas!$D488,Productos!$A$1:$D$16,4,FALSE)*Ventas!F488</f>
        <v>160.77000000000001</v>
      </c>
      <c r="D488" s="10">
        <f>VLOOKUP(Ventas!$D488,Productos!$A$1:$D$16,3,FALSE)*Ventas!F488</f>
        <v>80.5</v>
      </c>
      <c r="E488" s="10">
        <f t="shared" si="7"/>
        <v>80.27000000000001</v>
      </c>
      <c r="F488" s="9">
        <f>YEAR(Ventas!G488)</f>
        <v>2016</v>
      </c>
      <c r="G488" s="9">
        <f>MONTH(Ventas!G488)</f>
        <v>2</v>
      </c>
      <c r="H488" s="9" t="str">
        <f>VLOOKUP(Ventas!C488,Países!$A$2:$B$186,2,FALSE)</f>
        <v>Sub-Saharan Africa</v>
      </c>
      <c r="I488" s="9" t="str">
        <f>Ventas!E488</f>
        <v>Retail</v>
      </c>
    </row>
    <row r="489" spans="2:9" x14ac:dyDescent="0.25">
      <c r="B489" s="12">
        <f>Ventas!F489</f>
        <v>139</v>
      </c>
      <c r="C489" s="10">
        <f>VLOOKUP(Ventas!$D489,Productos!$A$1:$D$16,4,FALSE)*Ventas!F489</f>
        <v>554.61</v>
      </c>
      <c r="D489" s="10">
        <f>VLOOKUP(Ventas!$D489,Productos!$A$1:$D$16,3,FALSE)*Ventas!F489</f>
        <v>278</v>
      </c>
      <c r="E489" s="10">
        <f t="shared" si="7"/>
        <v>276.61</v>
      </c>
      <c r="F489" s="9">
        <f>YEAR(Ventas!G489)</f>
        <v>2016</v>
      </c>
      <c r="G489" s="9">
        <f>MONTH(Ventas!G489)</f>
        <v>3</v>
      </c>
      <c r="H489" s="9" t="str">
        <f>VLOOKUP(Ventas!C489,Países!$A$2:$B$186,2,FALSE)</f>
        <v>Australia and Oceania</v>
      </c>
      <c r="I489" s="9" t="str">
        <f>Ventas!E489</f>
        <v>Retail</v>
      </c>
    </row>
    <row r="490" spans="2:9" x14ac:dyDescent="0.25">
      <c r="B490" s="12">
        <f>Ventas!F490</f>
        <v>75</v>
      </c>
      <c r="C490" s="10">
        <f>VLOOKUP(Ventas!$D490,Productos!$A$1:$D$16,4,FALSE)*Ventas!F490</f>
        <v>524.25</v>
      </c>
      <c r="D490" s="10">
        <f>VLOOKUP(Ventas!$D490,Productos!$A$1:$D$16,3,FALSE)*Ventas!F490</f>
        <v>262.5</v>
      </c>
      <c r="E490" s="10">
        <f t="shared" si="7"/>
        <v>261.75</v>
      </c>
      <c r="F490" s="9">
        <f>YEAR(Ventas!G490)</f>
        <v>2016</v>
      </c>
      <c r="G490" s="9">
        <f>MONTH(Ventas!G490)</f>
        <v>2</v>
      </c>
      <c r="H490" s="9" t="str">
        <f>VLOOKUP(Ventas!C490,Países!$A$2:$B$186,2,FALSE)</f>
        <v>Asia</v>
      </c>
      <c r="I490" s="9" t="str">
        <f>Ventas!E490</f>
        <v>Online</v>
      </c>
    </row>
    <row r="491" spans="2:9" x14ac:dyDescent="0.25">
      <c r="B491" s="12">
        <f>Ventas!F491</f>
        <v>166</v>
      </c>
      <c r="C491" s="10">
        <f>VLOOKUP(Ventas!$D491,Productos!$A$1:$D$16,4,FALSE)*Ventas!F491</f>
        <v>747</v>
      </c>
      <c r="D491" s="10">
        <f>VLOOKUP(Ventas!$D491,Productos!$A$1:$D$16,3,FALSE)*Ventas!F491</f>
        <v>415</v>
      </c>
      <c r="E491" s="10">
        <f t="shared" si="7"/>
        <v>332</v>
      </c>
      <c r="F491" s="9">
        <f>YEAR(Ventas!G491)</f>
        <v>2016</v>
      </c>
      <c r="G491" s="9">
        <f>MONTH(Ventas!G491)</f>
        <v>2</v>
      </c>
      <c r="H491" s="9" t="str">
        <f>VLOOKUP(Ventas!C491,Países!$A$2:$B$186,2,FALSE)</f>
        <v>Australia and Oceania</v>
      </c>
      <c r="I491" s="9" t="str">
        <f>Ventas!E491</f>
        <v>Retail</v>
      </c>
    </row>
    <row r="492" spans="2:9" x14ac:dyDescent="0.25">
      <c r="B492" s="12">
        <f>Ventas!F492</f>
        <v>115</v>
      </c>
      <c r="C492" s="10">
        <f>VLOOKUP(Ventas!$D492,Productos!$A$1:$D$16,4,FALSE)*Ventas!F492</f>
        <v>345</v>
      </c>
      <c r="D492" s="10">
        <f>VLOOKUP(Ventas!$D492,Productos!$A$1:$D$16,3,FALSE)*Ventas!F492</f>
        <v>172.5</v>
      </c>
      <c r="E492" s="10">
        <f t="shared" si="7"/>
        <v>172.5</v>
      </c>
      <c r="F492" s="9">
        <f>YEAR(Ventas!G492)</f>
        <v>2016</v>
      </c>
      <c r="G492" s="9">
        <f>MONTH(Ventas!G492)</f>
        <v>1</v>
      </c>
      <c r="H492" s="9" t="str">
        <f>VLOOKUP(Ventas!C492,Países!$A$2:$B$186,2,FALSE)</f>
        <v>Europe</v>
      </c>
      <c r="I492" s="9" t="str">
        <f>Ventas!E492</f>
        <v>Online</v>
      </c>
    </row>
    <row r="493" spans="2:9" x14ac:dyDescent="0.25">
      <c r="B493" s="12">
        <f>Ventas!F493</f>
        <v>206</v>
      </c>
      <c r="C493" s="10">
        <f>VLOOKUP(Ventas!$D493,Productos!$A$1:$D$16,4,FALSE)*Ventas!F493</f>
        <v>1236</v>
      </c>
      <c r="D493" s="10">
        <f>VLOOKUP(Ventas!$D493,Productos!$A$1:$D$16,3,FALSE)*Ventas!F493</f>
        <v>618</v>
      </c>
      <c r="E493" s="10">
        <f t="shared" si="7"/>
        <v>618</v>
      </c>
      <c r="F493" s="9">
        <f>YEAR(Ventas!G493)</f>
        <v>2016</v>
      </c>
      <c r="G493" s="9">
        <f>MONTH(Ventas!G493)</f>
        <v>2</v>
      </c>
      <c r="H493" s="9" t="str">
        <f>VLOOKUP(Ventas!C493,Países!$A$2:$B$186,2,FALSE)</f>
        <v>Europe</v>
      </c>
      <c r="I493" s="9" t="str">
        <f>Ventas!E493</f>
        <v>Retail</v>
      </c>
    </row>
    <row r="494" spans="2:9" x14ac:dyDescent="0.25">
      <c r="B494" s="12">
        <f>Ventas!F494</f>
        <v>66</v>
      </c>
      <c r="C494" s="10">
        <f>VLOOKUP(Ventas!$D494,Productos!$A$1:$D$16,4,FALSE)*Ventas!F494</f>
        <v>263.34000000000003</v>
      </c>
      <c r="D494" s="10">
        <f>VLOOKUP(Ventas!$D494,Productos!$A$1:$D$16,3,FALSE)*Ventas!F494</f>
        <v>132</v>
      </c>
      <c r="E494" s="10">
        <f t="shared" si="7"/>
        <v>131.34000000000003</v>
      </c>
      <c r="F494" s="9">
        <f>YEAR(Ventas!G494)</f>
        <v>2016</v>
      </c>
      <c r="G494" s="9">
        <f>MONTH(Ventas!G494)</f>
        <v>3</v>
      </c>
      <c r="H494" s="9" t="str">
        <f>VLOOKUP(Ventas!C494,Países!$A$2:$B$186,2,FALSE)</f>
        <v>Sub-Saharan Africa</v>
      </c>
      <c r="I494" s="9" t="str">
        <f>Ventas!E494</f>
        <v>Retail</v>
      </c>
    </row>
    <row r="495" spans="2:9" x14ac:dyDescent="0.25">
      <c r="B495" s="12">
        <f>Ventas!F495</f>
        <v>65</v>
      </c>
      <c r="C495" s="10">
        <f>VLOOKUP(Ventas!$D495,Productos!$A$1:$D$16,4,FALSE)*Ventas!F495</f>
        <v>422.5</v>
      </c>
      <c r="D495" s="10">
        <f>VLOOKUP(Ventas!$D495,Productos!$A$1:$D$16,3,FALSE)*Ventas!F495</f>
        <v>227.5</v>
      </c>
      <c r="E495" s="10">
        <f t="shared" si="7"/>
        <v>195</v>
      </c>
      <c r="F495" s="9">
        <f>YEAR(Ventas!G495)</f>
        <v>2016</v>
      </c>
      <c r="G495" s="9">
        <f>MONTH(Ventas!G495)</f>
        <v>1</v>
      </c>
      <c r="H495" s="9" t="str">
        <f>VLOOKUP(Ventas!C495,Países!$A$2:$B$186,2,FALSE)</f>
        <v>Asia</v>
      </c>
      <c r="I495" s="9" t="str">
        <f>Ventas!E495</f>
        <v>Retail</v>
      </c>
    </row>
    <row r="496" spans="2:9" x14ac:dyDescent="0.25">
      <c r="B496" s="12">
        <f>Ventas!F496</f>
        <v>92</v>
      </c>
      <c r="C496" s="10">
        <f>VLOOKUP(Ventas!$D496,Productos!$A$1:$D$16,4,FALSE)*Ventas!F496</f>
        <v>1334</v>
      </c>
      <c r="D496" s="10">
        <f>VLOOKUP(Ventas!$D496,Productos!$A$1:$D$16,3,FALSE)*Ventas!F496</f>
        <v>736</v>
      </c>
      <c r="E496" s="10">
        <f t="shared" si="7"/>
        <v>598</v>
      </c>
      <c r="F496" s="9">
        <f>YEAR(Ventas!G496)</f>
        <v>2016</v>
      </c>
      <c r="G496" s="9">
        <f>MONTH(Ventas!G496)</f>
        <v>1</v>
      </c>
      <c r="H496" s="9" t="str">
        <f>VLOOKUP(Ventas!C496,Países!$A$2:$B$186,2,FALSE)</f>
        <v>Central America and the Caribbean</v>
      </c>
      <c r="I496" s="9" t="str">
        <f>Ventas!E496</f>
        <v>Retail</v>
      </c>
    </row>
    <row r="497" spans="2:9" x14ac:dyDescent="0.25">
      <c r="B497" s="12">
        <f>Ventas!F497</f>
        <v>185</v>
      </c>
      <c r="C497" s="10">
        <f>VLOOKUP(Ventas!$D497,Productos!$A$1:$D$16,4,FALSE)*Ventas!F497</f>
        <v>555</v>
      </c>
      <c r="D497" s="10">
        <f>VLOOKUP(Ventas!$D497,Productos!$A$1:$D$16,3,FALSE)*Ventas!F497</f>
        <v>277.5</v>
      </c>
      <c r="E497" s="10">
        <f t="shared" si="7"/>
        <v>277.5</v>
      </c>
      <c r="F497" s="9">
        <f>YEAR(Ventas!G497)</f>
        <v>2016</v>
      </c>
      <c r="G497" s="9">
        <f>MONTH(Ventas!G497)</f>
        <v>2</v>
      </c>
      <c r="H497" s="9" t="str">
        <f>VLOOKUP(Ventas!C497,Países!$A$2:$B$186,2,FALSE)</f>
        <v>Europe</v>
      </c>
      <c r="I497" s="9" t="str">
        <f>Ventas!E497</f>
        <v>Retail</v>
      </c>
    </row>
    <row r="498" spans="2:9" x14ac:dyDescent="0.25">
      <c r="B498" s="12">
        <f>Ventas!F498</f>
        <v>205</v>
      </c>
      <c r="C498" s="10">
        <f>VLOOKUP(Ventas!$D498,Productos!$A$1:$D$16,4,FALSE)*Ventas!F498</f>
        <v>1332.5</v>
      </c>
      <c r="D498" s="10">
        <f>VLOOKUP(Ventas!$D498,Productos!$A$1:$D$16,3,FALSE)*Ventas!F498</f>
        <v>717.5</v>
      </c>
      <c r="E498" s="10">
        <f t="shared" si="7"/>
        <v>615</v>
      </c>
      <c r="F498" s="9">
        <f>YEAR(Ventas!G498)</f>
        <v>2016</v>
      </c>
      <c r="G498" s="9">
        <f>MONTH(Ventas!G498)</f>
        <v>2</v>
      </c>
      <c r="H498" s="9" t="str">
        <f>VLOOKUP(Ventas!C498,Países!$A$2:$B$186,2,FALSE)</f>
        <v>Sub-Saharan Africa</v>
      </c>
      <c r="I498" s="9" t="str">
        <f>Ventas!E498</f>
        <v>Online</v>
      </c>
    </row>
    <row r="499" spans="2:9" x14ac:dyDescent="0.25">
      <c r="B499" s="12">
        <f>Ventas!F499</f>
        <v>82</v>
      </c>
      <c r="C499" s="10">
        <f>VLOOKUP(Ventas!$D499,Productos!$A$1:$D$16,4,FALSE)*Ventas!F499</f>
        <v>327.18</v>
      </c>
      <c r="D499" s="10">
        <f>VLOOKUP(Ventas!$D499,Productos!$A$1:$D$16,3,FALSE)*Ventas!F499</f>
        <v>164</v>
      </c>
      <c r="E499" s="10">
        <f t="shared" si="7"/>
        <v>163.18</v>
      </c>
      <c r="F499" s="9">
        <f>YEAR(Ventas!G499)</f>
        <v>2016</v>
      </c>
      <c r="G499" s="9">
        <f>MONTH(Ventas!G499)</f>
        <v>1</v>
      </c>
      <c r="H499" s="9" t="str">
        <f>VLOOKUP(Ventas!C499,Países!$A$2:$B$186,2,FALSE)</f>
        <v>Middle East and North Africa</v>
      </c>
      <c r="I499" s="9" t="str">
        <f>Ventas!E499</f>
        <v>Retail</v>
      </c>
    </row>
    <row r="500" spans="2:9" x14ac:dyDescent="0.25">
      <c r="B500" s="12">
        <f>Ventas!F500</f>
        <v>69</v>
      </c>
      <c r="C500" s="10">
        <f>VLOOKUP(Ventas!$D500,Productos!$A$1:$D$16,4,FALSE)*Ventas!F500</f>
        <v>138</v>
      </c>
      <c r="D500" s="10">
        <f>VLOOKUP(Ventas!$D500,Productos!$A$1:$D$16,3,FALSE)*Ventas!F500</f>
        <v>69</v>
      </c>
      <c r="E500" s="10">
        <f t="shared" si="7"/>
        <v>69</v>
      </c>
      <c r="F500" s="9">
        <f>YEAR(Ventas!G500)</f>
        <v>2016</v>
      </c>
      <c r="G500" s="9">
        <f>MONTH(Ventas!G500)</f>
        <v>3</v>
      </c>
      <c r="H500" s="9" t="str">
        <f>VLOOKUP(Ventas!C500,Países!$A$2:$B$186,2,FALSE)</f>
        <v>Asia</v>
      </c>
      <c r="I500" s="9" t="str">
        <f>Ventas!E500</f>
        <v>Direct</v>
      </c>
    </row>
    <row r="501" spans="2:9" x14ac:dyDescent="0.25">
      <c r="B501" s="12">
        <f>Ventas!F501</f>
        <v>198</v>
      </c>
      <c r="C501" s="10">
        <f>VLOOKUP(Ventas!$D501,Productos!$A$1:$D$16,4,FALSE)*Ventas!F501</f>
        <v>790.0200000000001</v>
      </c>
      <c r="D501" s="10">
        <f>VLOOKUP(Ventas!$D501,Productos!$A$1:$D$16,3,FALSE)*Ventas!F501</f>
        <v>396</v>
      </c>
      <c r="E501" s="10">
        <f t="shared" si="7"/>
        <v>394.0200000000001</v>
      </c>
      <c r="F501" s="9">
        <f>YEAR(Ventas!G501)</f>
        <v>2016</v>
      </c>
      <c r="G501" s="9">
        <f>MONTH(Ventas!G501)</f>
        <v>2</v>
      </c>
      <c r="H501" s="9" t="str">
        <f>VLOOKUP(Ventas!C501,Países!$A$2:$B$186,2,FALSE)</f>
        <v>Australia and Oceania</v>
      </c>
      <c r="I501" s="9" t="str">
        <f>Ventas!E501</f>
        <v>Retail</v>
      </c>
    </row>
    <row r="502" spans="2:9" x14ac:dyDescent="0.25">
      <c r="B502" s="12">
        <f>Ventas!F502</f>
        <v>105</v>
      </c>
      <c r="C502" s="10">
        <f>VLOOKUP(Ventas!$D502,Productos!$A$1:$D$16,4,FALSE)*Ventas!F502</f>
        <v>733.95</v>
      </c>
      <c r="D502" s="10">
        <f>VLOOKUP(Ventas!$D502,Productos!$A$1:$D$16,3,FALSE)*Ventas!F502</f>
        <v>367.5</v>
      </c>
      <c r="E502" s="10">
        <f t="shared" si="7"/>
        <v>366.45000000000005</v>
      </c>
      <c r="F502" s="9">
        <f>YEAR(Ventas!G502)</f>
        <v>2016</v>
      </c>
      <c r="G502" s="9">
        <f>MONTH(Ventas!G502)</f>
        <v>2</v>
      </c>
      <c r="H502" s="9" t="str">
        <f>VLOOKUP(Ventas!C502,Países!$A$2:$B$186,2,FALSE)</f>
        <v>Sub-Saharan Africa</v>
      </c>
      <c r="I502" s="9" t="str">
        <f>Ventas!E502</f>
        <v>Online</v>
      </c>
    </row>
    <row r="503" spans="2:9" x14ac:dyDescent="0.25">
      <c r="B503" s="12">
        <f>Ventas!F503</f>
        <v>7</v>
      </c>
      <c r="C503" s="10">
        <f>VLOOKUP(Ventas!$D503,Productos!$A$1:$D$16,4,FALSE)*Ventas!F503</f>
        <v>63</v>
      </c>
      <c r="D503" s="10">
        <f>VLOOKUP(Ventas!$D503,Productos!$A$1:$D$16,3,FALSE)*Ventas!F503</f>
        <v>42</v>
      </c>
      <c r="E503" s="10">
        <f t="shared" si="7"/>
        <v>21</v>
      </c>
      <c r="F503" s="9">
        <f>YEAR(Ventas!G503)</f>
        <v>2016</v>
      </c>
      <c r="G503" s="9">
        <f>MONTH(Ventas!G503)</f>
        <v>3</v>
      </c>
      <c r="H503" s="9" t="str">
        <f>VLOOKUP(Ventas!C503,Países!$A$2:$B$186,2,FALSE)</f>
        <v>Europe</v>
      </c>
      <c r="I503" s="9" t="str">
        <f>Ventas!E503</f>
        <v>Online</v>
      </c>
    </row>
    <row r="504" spans="2:9" x14ac:dyDescent="0.25">
      <c r="B504" s="12">
        <f>Ventas!F504</f>
        <v>122</v>
      </c>
      <c r="C504" s="10">
        <f>VLOOKUP(Ventas!$D504,Productos!$A$1:$D$16,4,FALSE)*Ventas!F504</f>
        <v>793</v>
      </c>
      <c r="D504" s="10">
        <f>VLOOKUP(Ventas!$D504,Productos!$A$1:$D$16,3,FALSE)*Ventas!F504</f>
        <v>427</v>
      </c>
      <c r="E504" s="10">
        <f t="shared" si="7"/>
        <v>366</v>
      </c>
      <c r="F504" s="9">
        <f>YEAR(Ventas!G504)</f>
        <v>2016</v>
      </c>
      <c r="G504" s="9">
        <f>MONTH(Ventas!G504)</f>
        <v>2</v>
      </c>
      <c r="H504" s="9" t="str">
        <f>VLOOKUP(Ventas!C504,Países!$A$2:$B$186,2,FALSE)</f>
        <v>Asia</v>
      </c>
      <c r="I504" s="9" t="str">
        <f>Ventas!E504</f>
        <v>Direct</v>
      </c>
    </row>
    <row r="505" spans="2:9" x14ac:dyDescent="0.25">
      <c r="B505" s="12">
        <f>Ventas!F505</f>
        <v>29</v>
      </c>
      <c r="C505" s="10">
        <f>VLOOKUP(Ventas!$D505,Productos!$A$1:$D$16,4,FALSE)*Ventas!F505</f>
        <v>87</v>
      </c>
      <c r="D505" s="10">
        <f>VLOOKUP(Ventas!$D505,Productos!$A$1:$D$16,3,FALSE)*Ventas!F505</f>
        <v>43.5</v>
      </c>
      <c r="E505" s="10">
        <f t="shared" si="7"/>
        <v>43.5</v>
      </c>
      <c r="F505" s="9">
        <f>YEAR(Ventas!G505)</f>
        <v>2016</v>
      </c>
      <c r="G505" s="9">
        <f>MONTH(Ventas!G505)</f>
        <v>3</v>
      </c>
      <c r="H505" s="9" t="str">
        <f>VLOOKUP(Ventas!C505,Países!$A$2:$B$186,2,FALSE)</f>
        <v>Asia</v>
      </c>
      <c r="I505" s="9" t="str">
        <f>Ventas!E505</f>
        <v>Online</v>
      </c>
    </row>
    <row r="506" spans="2:9" x14ac:dyDescent="0.25">
      <c r="B506" s="12">
        <f>Ventas!F506</f>
        <v>75</v>
      </c>
      <c r="C506" s="10">
        <f>VLOOKUP(Ventas!$D506,Productos!$A$1:$D$16,4,FALSE)*Ventas!F506</f>
        <v>150</v>
      </c>
      <c r="D506" s="10">
        <f>VLOOKUP(Ventas!$D506,Productos!$A$1:$D$16,3,FALSE)*Ventas!F506</f>
        <v>75</v>
      </c>
      <c r="E506" s="10">
        <f t="shared" si="7"/>
        <v>75</v>
      </c>
      <c r="F506" s="9">
        <f>YEAR(Ventas!G506)</f>
        <v>2016</v>
      </c>
      <c r="G506" s="9">
        <f>MONTH(Ventas!G506)</f>
        <v>2</v>
      </c>
      <c r="H506" s="9" t="str">
        <f>VLOOKUP(Ventas!C506,Países!$A$2:$B$186,2,FALSE)</f>
        <v>Sub-Saharan Africa</v>
      </c>
      <c r="I506" s="9" t="str">
        <f>Ventas!E506</f>
        <v>Retail</v>
      </c>
    </row>
    <row r="507" spans="2:9" x14ac:dyDescent="0.25">
      <c r="B507" s="12">
        <f>Ventas!F507</f>
        <v>83</v>
      </c>
      <c r="C507" s="10">
        <f>VLOOKUP(Ventas!$D507,Productos!$A$1:$D$16,4,FALSE)*Ventas!F507</f>
        <v>331.17</v>
      </c>
      <c r="D507" s="10">
        <f>VLOOKUP(Ventas!$D507,Productos!$A$1:$D$16,3,FALSE)*Ventas!F507</f>
        <v>166</v>
      </c>
      <c r="E507" s="10">
        <f t="shared" si="7"/>
        <v>165.17000000000002</v>
      </c>
      <c r="F507" s="9">
        <f>YEAR(Ventas!G507)</f>
        <v>2016</v>
      </c>
      <c r="G507" s="9">
        <f>MONTH(Ventas!G507)</f>
        <v>1</v>
      </c>
      <c r="H507" s="9" t="str">
        <f>VLOOKUP(Ventas!C507,Países!$A$2:$B$186,2,FALSE)</f>
        <v>Middle East and North Africa</v>
      </c>
      <c r="I507" s="9" t="str">
        <f>Ventas!E507</f>
        <v>Retail</v>
      </c>
    </row>
    <row r="508" spans="2:9" x14ac:dyDescent="0.25">
      <c r="B508" s="12">
        <f>Ventas!F508</f>
        <v>168</v>
      </c>
      <c r="C508" s="10">
        <f>VLOOKUP(Ventas!$D508,Productos!$A$1:$D$16,4,FALSE)*Ventas!F508</f>
        <v>756</v>
      </c>
      <c r="D508" s="10">
        <f>VLOOKUP(Ventas!$D508,Productos!$A$1:$D$16,3,FALSE)*Ventas!F508</f>
        <v>420</v>
      </c>
      <c r="E508" s="10">
        <f t="shared" si="7"/>
        <v>336</v>
      </c>
      <c r="F508" s="9">
        <f>YEAR(Ventas!G508)</f>
        <v>2016</v>
      </c>
      <c r="G508" s="9">
        <f>MONTH(Ventas!G508)</f>
        <v>1</v>
      </c>
      <c r="H508" s="9" t="str">
        <f>VLOOKUP(Ventas!C508,Países!$A$2:$B$186,2,FALSE)</f>
        <v>Australia and Oceania</v>
      </c>
      <c r="I508" s="9" t="str">
        <f>Ventas!E508</f>
        <v>Online</v>
      </c>
    </row>
    <row r="509" spans="2:9" x14ac:dyDescent="0.25">
      <c r="B509" s="12">
        <f>Ventas!F509</f>
        <v>153</v>
      </c>
      <c r="C509" s="10">
        <f>VLOOKUP(Ventas!$D509,Productos!$A$1:$D$16,4,FALSE)*Ventas!F509</f>
        <v>994.5</v>
      </c>
      <c r="D509" s="10">
        <f>VLOOKUP(Ventas!$D509,Productos!$A$1:$D$16,3,FALSE)*Ventas!F509</f>
        <v>535.5</v>
      </c>
      <c r="E509" s="10">
        <f t="shared" si="7"/>
        <v>459</v>
      </c>
      <c r="F509" s="9">
        <f>YEAR(Ventas!G509)</f>
        <v>2016</v>
      </c>
      <c r="G509" s="9">
        <f>MONTH(Ventas!G509)</f>
        <v>3</v>
      </c>
      <c r="H509" s="9" t="str">
        <f>VLOOKUP(Ventas!C509,Países!$A$2:$B$186,2,FALSE)</f>
        <v>Sub-Saharan Africa</v>
      </c>
      <c r="I509" s="9" t="str">
        <f>Ventas!E509</f>
        <v>Online</v>
      </c>
    </row>
    <row r="510" spans="2:9" x14ac:dyDescent="0.25">
      <c r="B510" s="12">
        <f>Ventas!F510</f>
        <v>109</v>
      </c>
      <c r="C510" s="10">
        <f>VLOOKUP(Ventas!$D510,Productos!$A$1:$D$16,4,FALSE)*Ventas!F510</f>
        <v>708.5</v>
      </c>
      <c r="D510" s="10">
        <f>VLOOKUP(Ventas!$D510,Productos!$A$1:$D$16,3,FALSE)*Ventas!F510</f>
        <v>381.5</v>
      </c>
      <c r="E510" s="10">
        <f t="shared" si="7"/>
        <v>327</v>
      </c>
      <c r="F510" s="9">
        <f>YEAR(Ventas!G510)</f>
        <v>2016</v>
      </c>
      <c r="G510" s="9">
        <f>MONTH(Ventas!G510)</f>
        <v>2</v>
      </c>
      <c r="H510" s="9" t="str">
        <f>VLOOKUP(Ventas!C510,Países!$A$2:$B$186,2,FALSE)</f>
        <v>Sub-Saharan Africa</v>
      </c>
      <c r="I510" s="9" t="str">
        <f>Ventas!E510</f>
        <v>Online</v>
      </c>
    </row>
    <row r="511" spans="2:9" x14ac:dyDescent="0.25">
      <c r="B511" s="12">
        <f>Ventas!F511</f>
        <v>57</v>
      </c>
      <c r="C511" s="10">
        <f>VLOOKUP(Ventas!$D511,Productos!$A$1:$D$16,4,FALSE)*Ventas!F511</f>
        <v>256.5</v>
      </c>
      <c r="D511" s="10">
        <f>VLOOKUP(Ventas!$D511,Productos!$A$1:$D$16,3,FALSE)*Ventas!F511</f>
        <v>142.5</v>
      </c>
      <c r="E511" s="10">
        <f t="shared" si="7"/>
        <v>114</v>
      </c>
      <c r="F511" s="9">
        <f>YEAR(Ventas!G511)</f>
        <v>2016</v>
      </c>
      <c r="G511" s="9">
        <f>MONTH(Ventas!G511)</f>
        <v>2</v>
      </c>
      <c r="H511" s="9" t="str">
        <f>VLOOKUP(Ventas!C511,Países!$A$2:$B$186,2,FALSE)</f>
        <v>Sub-Saharan Africa</v>
      </c>
      <c r="I511" s="9" t="str">
        <f>Ventas!E511</f>
        <v>Online</v>
      </c>
    </row>
    <row r="512" spans="2:9" x14ac:dyDescent="0.25">
      <c r="B512" s="12">
        <f>Ventas!F512</f>
        <v>119</v>
      </c>
      <c r="C512" s="10">
        <f>VLOOKUP(Ventas!$D512,Productos!$A$1:$D$16,4,FALSE)*Ventas!F512</f>
        <v>1071</v>
      </c>
      <c r="D512" s="10">
        <f>VLOOKUP(Ventas!$D512,Productos!$A$1:$D$16,3,FALSE)*Ventas!F512</f>
        <v>714</v>
      </c>
      <c r="E512" s="10">
        <f t="shared" si="7"/>
        <v>357</v>
      </c>
      <c r="F512" s="9">
        <f>YEAR(Ventas!G512)</f>
        <v>2016</v>
      </c>
      <c r="G512" s="9">
        <f>MONTH(Ventas!G512)</f>
        <v>1</v>
      </c>
      <c r="H512" s="9" t="str">
        <f>VLOOKUP(Ventas!C512,Países!$A$2:$B$186,2,FALSE)</f>
        <v>Asia</v>
      </c>
      <c r="I512" s="9" t="str">
        <f>Ventas!E512</f>
        <v>Online</v>
      </c>
    </row>
    <row r="513" spans="2:9" x14ac:dyDescent="0.25">
      <c r="B513" s="12">
        <f>Ventas!F513</f>
        <v>87</v>
      </c>
      <c r="C513" s="10">
        <f>VLOOKUP(Ventas!$D513,Productos!$A$1:$D$16,4,FALSE)*Ventas!F513</f>
        <v>565.5</v>
      </c>
      <c r="D513" s="10">
        <f>VLOOKUP(Ventas!$D513,Productos!$A$1:$D$16,3,FALSE)*Ventas!F513</f>
        <v>304.5</v>
      </c>
      <c r="E513" s="10">
        <f t="shared" si="7"/>
        <v>261</v>
      </c>
      <c r="F513" s="9">
        <f>YEAR(Ventas!G513)</f>
        <v>2016</v>
      </c>
      <c r="G513" s="9">
        <f>MONTH(Ventas!G513)</f>
        <v>2</v>
      </c>
      <c r="H513" s="9" t="str">
        <f>VLOOKUP(Ventas!C513,Países!$A$2:$B$186,2,FALSE)</f>
        <v>Middle East and North Africa</v>
      </c>
      <c r="I513" s="9" t="str">
        <f>Ventas!E513</f>
        <v>Retail</v>
      </c>
    </row>
    <row r="514" spans="2:9" x14ac:dyDescent="0.25">
      <c r="B514" s="12">
        <f>Ventas!F514</f>
        <v>170</v>
      </c>
      <c r="C514" s="10">
        <f>VLOOKUP(Ventas!$D514,Productos!$A$1:$D$16,4,FALSE)*Ventas!F514</f>
        <v>510</v>
      </c>
      <c r="D514" s="10">
        <f>VLOOKUP(Ventas!$D514,Productos!$A$1:$D$16,3,FALSE)*Ventas!F514</f>
        <v>255</v>
      </c>
      <c r="E514" s="10">
        <f t="shared" si="7"/>
        <v>255</v>
      </c>
      <c r="F514" s="9">
        <f>YEAR(Ventas!G514)</f>
        <v>2016</v>
      </c>
      <c r="G514" s="9">
        <f>MONTH(Ventas!G514)</f>
        <v>3</v>
      </c>
      <c r="H514" s="9" t="str">
        <f>VLOOKUP(Ventas!C514,Países!$A$2:$B$186,2,FALSE)</f>
        <v>Central America and the Caribbean</v>
      </c>
      <c r="I514" s="9" t="str">
        <f>Ventas!E514</f>
        <v>Retail</v>
      </c>
    </row>
    <row r="515" spans="2:9" x14ac:dyDescent="0.25">
      <c r="B515" s="12">
        <f>Ventas!F515</f>
        <v>91</v>
      </c>
      <c r="C515" s="10">
        <f>VLOOKUP(Ventas!$D515,Productos!$A$1:$D$16,4,FALSE)*Ventas!F515</f>
        <v>636.09</v>
      </c>
      <c r="D515" s="10">
        <f>VLOOKUP(Ventas!$D515,Productos!$A$1:$D$16,3,FALSE)*Ventas!F515</f>
        <v>318.5</v>
      </c>
      <c r="E515" s="10">
        <f t="shared" ref="E515:E578" si="8">C515-D515</f>
        <v>317.59000000000003</v>
      </c>
      <c r="F515" s="9">
        <f>YEAR(Ventas!G515)</f>
        <v>2016</v>
      </c>
      <c r="G515" s="9">
        <f>MONTH(Ventas!G515)</f>
        <v>1</v>
      </c>
      <c r="H515" s="9" t="str">
        <f>VLOOKUP(Ventas!C515,Países!$A$2:$B$186,2,FALSE)</f>
        <v>Sub-Saharan Africa</v>
      </c>
      <c r="I515" s="9" t="str">
        <f>Ventas!E515</f>
        <v>Retail</v>
      </c>
    </row>
    <row r="516" spans="2:9" x14ac:dyDescent="0.25">
      <c r="B516" s="12">
        <f>Ventas!F516</f>
        <v>124</v>
      </c>
      <c r="C516" s="10">
        <f>VLOOKUP(Ventas!$D516,Productos!$A$1:$D$16,4,FALSE)*Ventas!F516</f>
        <v>744</v>
      </c>
      <c r="D516" s="10">
        <f>VLOOKUP(Ventas!$D516,Productos!$A$1:$D$16,3,FALSE)*Ventas!F516</f>
        <v>372</v>
      </c>
      <c r="E516" s="10">
        <f t="shared" si="8"/>
        <v>372</v>
      </c>
      <c r="F516" s="9">
        <f>YEAR(Ventas!G516)</f>
        <v>2016</v>
      </c>
      <c r="G516" s="9">
        <f>MONTH(Ventas!G516)</f>
        <v>3</v>
      </c>
      <c r="H516" s="9" t="str">
        <f>VLOOKUP(Ventas!C516,Países!$A$2:$B$186,2,FALSE)</f>
        <v>Europe</v>
      </c>
      <c r="I516" s="9" t="str">
        <f>Ventas!E516</f>
        <v>Retail</v>
      </c>
    </row>
    <row r="517" spans="2:9" x14ac:dyDescent="0.25">
      <c r="B517" s="12">
        <f>Ventas!F517</f>
        <v>163</v>
      </c>
      <c r="C517" s="10">
        <f>VLOOKUP(Ventas!$D517,Productos!$A$1:$D$16,4,FALSE)*Ventas!F517</f>
        <v>1059.5</v>
      </c>
      <c r="D517" s="10">
        <f>VLOOKUP(Ventas!$D517,Productos!$A$1:$D$16,3,FALSE)*Ventas!F517</f>
        <v>570.5</v>
      </c>
      <c r="E517" s="10">
        <f t="shared" si="8"/>
        <v>489</v>
      </c>
      <c r="F517" s="9">
        <f>YEAR(Ventas!G517)</f>
        <v>2016</v>
      </c>
      <c r="G517" s="9">
        <f>MONTH(Ventas!G517)</f>
        <v>2</v>
      </c>
      <c r="H517" s="9" t="str">
        <f>VLOOKUP(Ventas!C517,Países!$A$2:$B$186,2,FALSE)</f>
        <v>Central America and the Caribbean</v>
      </c>
      <c r="I517" s="9" t="str">
        <f>Ventas!E517</f>
        <v>Online</v>
      </c>
    </row>
    <row r="518" spans="2:9" x14ac:dyDescent="0.25">
      <c r="B518" s="12">
        <f>Ventas!F518</f>
        <v>81</v>
      </c>
      <c r="C518" s="10">
        <f>VLOOKUP(Ventas!$D518,Productos!$A$1:$D$16,4,FALSE)*Ventas!F518</f>
        <v>486</v>
      </c>
      <c r="D518" s="10">
        <f>VLOOKUP(Ventas!$D518,Productos!$A$1:$D$16,3,FALSE)*Ventas!F518</f>
        <v>243</v>
      </c>
      <c r="E518" s="10">
        <f t="shared" si="8"/>
        <v>243</v>
      </c>
      <c r="F518" s="9">
        <f>YEAR(Ventas!G518)</f>
        <v>2016</v>
      </c>
      <c r="G518" s="9">
        <f>MONTH(Ventas!G518)</f>
        <v>1</v>
      </c>
      <c r="H518" s="9" t="str">
        <f>VLOOKUP(Ventas!C518,Países!$A$2:$B$186,2,FALSE)</f>
        <v>Sub-Saharan Africa</v>
      </c>
      <c r="I518" s="9" t="str">
        <f>Ventas!E518</f>
        <v>Online</v>
      </c>
    </row>
    <row r="519" spans="2:9" x14ac:dyDescent="0.25">
      <c r="B519" s="12">
        <f>Ventas!F519</f>
        <v>124</v>
      </c>
      <c r="C519" s="10">
        <f>VLOOKUP(Ventas!$D519,Productos!$A$1:$D$16,4,FALSE)*Ventas!F519</f>
        <v>866.76</v>
      </c>
      <c r="D519" s="10">
        <f>VLOOKUP(Ventas!$D519,Productos!$A$1:$D$16,3,FALSE)*Ventas!F519</f>
        <v>434</v>
      </c>
      <c r="E519" s="10">
        <f t="shared" si="8"/>
        <v>432.76</v>
      </c>
      <c r="F519" s="9">
        <f>YEAR(Ventas!G519)</f>
        <v>2016</v>
      </c>
      <c r="G519" s="9">
        <f>MONTH(Ventas!G519)</f>
        <v>3</v>
      </c>
      <c r="H519" s="9" t="str">
        <f>VLOOKUP(Ventas!C519,Países!$A$2:$B$186,2,FALSE)</f>
        <v>Sub-Saharan Africa</v>
      </c>
      <c r="I519" s="9" t="str">
        <f>Ventas!E519</f>
        <v>Online</v>
      </c>
    </row>
    <row r="520" spans="2:9" x14ac:dyDescent="0.25">
      <c r="B520" s="12">
        <f>Ventas!F520</f>
        <v>40</v>
      </c>
      <c r="C520" s="10">
        <f>VLOOKUP(Ventas!$D520,Productos!$A$1:$D$16,4,FALSE)*Ventas!F520</f>
        <v>360</v>
      </c>
      <c r="D520" s="10">
        <f>VLOOKUP(Ventas!$D520,Productos!$A$1:$D$16,3,FALSE)*Ventas!F520</f>
        <v>240</v>
      </c>
      <c r="E520" s="10">
        <f t="shared" si="8"/>
        <v>120</v>
      </c>
      <c r="F520" s="9">
        <f>YEAR(Ventas!G520)</f>
        <v>2016</v>
      </c>
      <c r="G520" s="9">
        <f>MONTH(Ventas!G520)</f>
        <v>3</v>
      </c>
      <c r="H520" s="9" t="str">
        <f>VLOOKUP(Ventas!C520,Países!$A$2:$B$186,2,FALSE)</f>
        <v>Sub-Saharan Africa</v>
      </c>
      <c r="I520" s="9" t="str">
        <f>Ventas!E520</f>
        <v>Retail</v>
      </c>
    </row>
    <row r="521" spans="2:9" x14ac:dyDescent="0.25">
      <c r="B521" s="12">
        <f>Ventas!F521</f>
        <v>198</v>
      </c>
      <c r="C521" s="10">
        <f>VLOOKUP(Ventas!$D521,Productos!$A$1:$D$16,4,FALSE)*Ventas!F521</f>
        <v>1287</v>
      </c>
      <c r="D521" s="10">
        <f>VLOOKUP(Ventas!$D521,Productos!$A$1:$D$16,3,FALSE)*Ventas!F521</f>
        <v>693</v>
      </c>
      <c r="E521" s="10">
        <f t="shared" si="8"/>
        <v>594</v>
      </c>
      <c r="F521" s="9">
        <f>YEAR(Ventas!G521)</f>
        <v>2016</v>
      </c>
      <c r="G521" s="9">
        <f>MONTH(Ventas!G521)</f>
        <v>3</v>
      </c>
      <c r="H521" s="9" t="str">
        <f>VLOOKUP(Ventas!C521,Países!$A$2:$B$186,2,FALSE)</f>
        <v>Asia</v>
      </c>
      <c r="I521" s="9" t="str">
        <f>Ventas!E521</f>
        <v>Online</v>
      </c>
    </row>
    <row r="522" spans="2:9" x14ac:dyDescent="0.25">
      <c r="B522" s="12">
        <f>Ventas!F522</f>
        <v>170</v>
      </c>
      <c r="C522" s="10">
        <f>VLOOKUP(Ventas!$D522,Productos!$A$1:$D$16,4,FALSE)*Ventas!F522</f>
        <v>1530</v>
      </c>
      <c r="D522" s="10">
        <f>VLOOKUP(Ventas!$D522,Productos!$A$1:$D$16,3,FALSE)*Ventas!F522</f>
        <v>1020</v>
      </c>
      <c r="E522" s="10">
        <f t="shared" si="8"/>
        <v>510</v>
      </c>
      <c r="F522" s="9">
        <f>YEAR(Ventas!G522)</f>
        <v>2016</v>
      </c>
      <c r="G522" s="9">
        <f>MONTH(Ventas!G522)</f>
        <v>3</v>
      </c>
      <c r="H522" s="9" t="str">
        <f>VLOOKUP(Ventas!C522,Países!$A$2:$B$186,2,FALSE)</f>
        <v>Central America and the Caribbean</v>
      </c>
      <c r="I522" s="9" t="str">
        <f>Ventas!E522</f>
        <v>Online</v>
      </c>
    </row>
    <row r="523" spans="2:9" x14ac:dyDescent="0.25">
      <c r="B523" s="12">
        <f>Ventas!F523</f>
        <v>127</v>
      </c>
      <c r="C523" s="10">
        <f>VLOOKUP(Ventas!$D523,Productos!$A$1:$D$16,4,FALSE)*Ventas!F523</f>
        <v>381</v>
      </c>
      <c r="D523" s="10">
        <f>VLOOKUP(Ventas!$D523,Productos!$A$1:$D$16,3,FALSE)*Ventas!F523</f>
        <v>190.5</v>
      </c>
      <c r="E523" s="10">
        <f t="shared" si="8"/>
        <v>190.5</v>
      </c>
      <c r="F523" s="9">
        <f>YEAR(Ventas!G523)</f>
        <v>2016</v>
      </c>
      <c r="G523" s="9">
        <f>MONTH(Ventas!G523)</f>
        <v>1</v>
      </c>
      <c r="H523" s="9" t="str">
        <f>VLOOKUP(Ventas!C523,Países!$A$2:$B$186,2,FALSE)</f>
        <v>Sub-Saharan Africa</v>
      </c>
      <c r="I523" s="9" t="str">
        <f>Ventas!E523</f>
        <v>Retail</v>
      </c>
    </row>
    <row r="524" spans="2:9" x14ac:dyDescent="0.25">
      <c r="B524" s="12">
        <f>Ventas!F524</f>
        <v>86</v>
      </c>
      <c r="C524" s="10">
        <f>VLOOKUP(Ventas!$D524,Productos!$A$1:$D$16,4,FALSE)*Ventas!F524</f>
        <v>559</v>
      </c>
      <c r="D524" s="10">
        <f>VLOOKUP(Ventas!$D524,Productos!$A$1:$D$16,3,FALSE)*Ventas!F524</f>
        <v>301</v>
      </c>
      <c r="E524" s="10">
        <f t="shared" si="8"/>
        <v>258</v>
      </c>
      <c r="F524" s="9">
        <f>YEAR(Ventas!G524)</f>
        <v>2016</v>
      </c>
      <c r="G524" s="9">
        <f>MONTH(Ventas!G524)</f>
        <v>2</v>
      </c>
      <c r="H524" s="9" t="str">
        <f>VLOOKUP(Ventas!C524,Países!$A$2:$B$186,2,FALSE)</f>
        <v>Central America and the Caribbean</v>
      </c>
      <c r="I524" s="9" t="str">
        <f>Ventas!E524</f>
        <v>Retail</v>
      </c>
    </row>
    <row r="525" spans="2:9" x14ac:dyDescent="0.25">
      <c r="B525" s="12">
        <f>Ventas!F525</f>
        <v>109</v>
      </c>
      <c r="C525" s="10">
        <f>VLOOKUP(Ventas!$D525,Productos!$A$1:$D$16,4,FALSE)*Ventas!F525</f>
        <v>327</v>
      </c>
      <c r="D525" s="10">
        <f>VLOOKUP(Ventas!$D525,Productos!$A$1:$D$16,3,FALSE)*Ventas!F525</f>
        <v>163.5</v>
      </c>
      <c r="E525" s="10">
        <f t="shared" si="8"/>
        <v>163.5</v>
      </c>
      <c r="F525" s="9">
        <f>YEAR(Ventas!G525)</f>
        <v>2016</v>
      </c>
      <c r="G525" s="9">
        <f>MONTH(Ventas!G525)</f>
        <v>1</v>
      </c>
      <c r="H525" s="9" t="str">
        <f>VLOOKUP(Ventas!C525,Países!$A$2:$B$186,2,FALSE)</f>
        <v>Sub-Saharan Africa</v>
      </c>
      <c r="I525" s="9" t="str">
        <f>Ventas!E525</f>
        <v>Direct</v>
      </c>
    </row>
    <row r="526" spans="2:9" x14ac:dyDescent="0.25">
      <c r="B526" s="12">
        <f>Ventas!F526</f>
        <v>194</v>
      </c>
      <c r="C526" s="10">
        <f>VLOOKUP(Ventas!$D526,Productos!$A$1:$D$16,4,FALSE)*Ventas!F526</f>
        <v>1261</v>
      </c>
      <c r="D526" s="10">
        <f>VLOOKUP(Ventas!$D526,Productos!$A$1:$D$16,3,FALSE)*Ventas!F526</f>
        <v>679</v>
      </c>
      <c r="E526" s="10">
        <f t="shared" si="8"/>
        <v>582</v>
      </c>
      <c r="F526" s="9">
        <f>YEAR(Ventas!G526)</f>
        <v>2016</v>
      </c>
      <c r="G526" s="9">
        <f>MONTH(Ventas!G526)</f>
        <v>1</v>
      </c>
      <c r="H526" s="9" t="str">
        <f>VLOOKUP(Ventas!C526,Países!$A$2:$B$186,2,FALSE)</f>
        <v>Europe</v>
      </c>
      <c r="I526" s="9" t="str">
        <f>Ventas!E526</f>
        <v>Online</v>
      </c>
    </row>
    <row r="527" spans="2:9" x14ac:dyDescent="0.25">
      <c r="B527" s="12">
        <f>Ventas!F527</f>
        <v>29</v>
      </c>
      <c r="C527" s="10">
        <f>VLOOKUP(Ventas!$D527,Productos!$A$1:$D$16,4,FALSE)*Ventas!F527</f>
        <v>188.5</v>
      </c>
      <c r="D527" s="10">
        <f>VLOOKUP(Ventas!$D527,Productos!$A$1:$D$16,3,FALSE)*Ventas!F527</f>
        <v>101.5</v>
      </c>
      <c r="E527" s="10">
        <f t="shared" si="8"/>
        <v>87</v>
      </c>
      <c r="F527" s="9">
        <f>YEAR(Ventas!G527)</f>
        <v>2016</v>
      </c>
      <c r="G527" s="9">
        <f>MONTH(Ventas!G527)</f>
        <v>2</v>
      </c>
      <c r="H527" s="9" t="str">
        <f>VLOOKUP(Ventas!C527,Países!$A$2:$B$186,2,FALSE)</f>
        <v>Sub-Saharan Africa</v>
      </c>
      <c r="I527" s="9" t="str">
        <f>Ventas!E527</f>
        <v>Online</v>
      </c>
    </row>
    <row r="528" spans="2:9" x14ac:dyDescent="0.25">
      <c r="B528" s="12">
        <f>Ventas!F528</f>
        <v>60</v>
      </c>
      <c r="C528" s="10">
        <f>VLOOKUP(Ventas!$D528,Productos!$A$1:$D$16,4,FALSE)*Ventas!F528</f>
        <v>540</v>
      </c>
      <c r="D528" s="10">
        <f>VLOOKUP(Ventas!$D528,Productos!$A$1:$D$16,3,FALSE)*Ventas!F528</f>
        <v>360</v>
      </c>
      <c r="E528" s="10">
        <f t="shared" si="8"/>
        <v>180</v>
      </c>
      <c r="F528" s="9">
        <f>YEAR(Ventas!G528)</f>
        <v>2016</v>
      </c>
      <c r="G528" s="9">
        <f>MONTH(Ventas!G528)</f>
        <v>3</v>
      </c>
      <c r="H528" s="9" t="str">
        <f>VLOOKUP(Ventas!C528,Países!$A$2:$B$186,2,FALSE)</f>
        <v>Sub-Saharan Africa</v>
      </c>
      <c r="I528" s="9" t="str">
        <f>Ventas!E528</f>
        <v>Online</v>
      </c>
    </row>
    <row r="529" spans="2:9" x14ac:dyDescent="0.25">
      <c r="B529" s="12">
        <f>Ventas!F529</f>
        <v>47</v>
      </c>
      <c r="C529" s="10">
        <f>VLOOKUP(Ventas!$D529,Productos!$A$1:$D$16,4,FALSE)*Ventas!F529</f>
        <v>94</v>
      </c>
      <c r="D529" s="10">
        <f>VLOOKUP(Ventas!$D529,Productos!$A$1:$D$16,3,FALSE)*Ventas!F529</f>
        <v>47</v>
      </c>
      <c r="E529" s="10">
        <f t="shared" si="8"/>
        <v>47</v>
      </c>
      <c r="F529" s="9">
        <f>YEAR(Ventas!G529)</f>
        <v>2016</v>
      </c>
      <c r="G529" s="9">
        <f>MONTH(Ventas!G529)</f>
        <v>1</v>
      </c>
      <c r="H529" s="9" t="str">
        <f>VLOOKUP(Ventas!C529,Países!$A$2:$B$186,2,FALSE)</f>
        <v>Australia and Oceania</v>
      </c>
      <c r="I529" s="9" t="str">
        <f>Ventas!E529</f>
        <v>Retail</v>
      </c>
    </row>
    <row r="530" spans="2:9" x14ac:dyDescent="0.25">
      <c r="B530" s="12">
        <f>Ventas!F530</f>
        <v>114</v>
      </c>
      <c r="C530" s="10">
        <f>VLOOKUP(Ventas!$D530,Productos!$A$1:$D$16,4,FALSE)*Ventas!F530</f>
        <v>1138.8600000000001</v>
      </c>
      <c r="D530" s="10">
        <f>VLOOKUP(Ventas!$D530,Productos!$A$1:$D$16,3,FALSE)*Ventas!F530</f>
        <v>570</v>
      </c>
      <c r="E530" s="10">
        <f t="shared" si="8"/>
        <v>568.86000000000013</v>
      </c>
      <c r="F530" s="9">
        <f>YEAR(Ventas!G530)</f>
        <v>2016</v>
      </c>
      <c r="G530" s="9">
        <f>MONTH(Ventas!G530)</f>
        <v>2</v>
      </c>
      <c r="H530" s="9" t="str">
        <f>VLOOKUP(Ventas!C530,Países!$A$2:$B$186,2,FALSE)</f>
        <v>Central America and the Caribbean</v>
      </c>
      <c r="I530" s="9" t="str">
        <f>Ventas!E530</f>
        <v>Online</v>
      </c>
    </row>
    <row r="531" spans="2:9" x14ac:dyDescent="0.25">
      <c r="B531" s="12">
        <f>Ventas!F531</f>
        <v>33</v>
      </c>
      <c r="C531" s="10">
        <f>VLOOKUP(Ventas!$D531,Productos!$A$1:$D$16,4,FALSE)*Ventas!F531</f>
        <v>230.67000000000002</v>
      </c>
      <c r="D531" s="10">
        <f>VLOOKUP(Ventas!$D531,Productos!$A$1:$D$16,3,FALSE)*Ventas!F531</f>
        <v>115.5</v>
      </c>
      <c r="E531" s="10">
        <f t="shared" si="8"/>
        <v>115.17000000000002</v>
      </c>
      <c r="F531" s="9">
        <f>YEAR(Ventas!G531)</f>
        <v>2016</v>
      </c>
      <c r="G531" s="9">
        <f>MONTH(Ventas!G531)</f>
        <v>2</v>
      </c>
      <c r="H531" s="9" t="str">
        <f>VLOOKUP(Ventas!C531,Países!$A$2:$B$186,2,FALSE)</f>
        <v>Asia</v>
      </c>
      <c r="I531" s="9" t="str">
        <f>Ventas!E531</f>
        <v>Online</v>
      </c>
    </row>
    <row r="532" spans="2:9" x14ac:dyDescent="0.25">
      <c r="B532" s="12">
        <f>Ventas!F532</f>
        <v>31</v>
      </c>
      <c r="C532" s="10">
        <f>VLOOKUP(Ventas!$D532,Productos!$A$1:$D$16,4,FALSE)*Ventas!F532</f>
        <v>201.5</v>
      </c>
      <c r="D532" s="10">
        <f>VLOOKUP(Ventas!$D532,Productos!$A$1:$D$16,3,FALSE)*Ventas!F532</f>
        <v>108.5</v>
      </c>
      <c r="E532" s="10">
        <f t="shared" si="8"/>
        <v>93</v>
      </c>
      <c r="F532" s="9">
        <f>YEAR(Ventas!G532)</f>
        <v>2016</v>
      </c>
      <c r="G532" s="9">
        <f>MONTH(Ventas!G532)</f>
        <v>2</v>
      </c>
      <c r="H532" s="9" t="str">
        <f>VLOOKUP(Ventas!C532,Países!$A$2:$B$186,2,FALSE)</f>
        <v>Australia and Oceania</v>
      </c>
      <c r="I532" s="9" t="str">
        <f>Ventas!E532</f>
        <v>Online</v>
      </c>
    </row>
    <row r="533" spans="2:9" x14ac:dyDescent="0.25">
      <c r="B533" s="12">
        <f>Ventas!F533</f>
        <v>12</v>
      </c>
      <c r="C533" s="10">
        <f>VLOOKUP(Ventas!$D533,Productos!$A$1:$D$16,4,FALSE)*Ventas!F533</f>
        <v>78</v>
      </c>
      <c r="D533" s="10">
        <f>VLOOKUP(Ventas!$D533,Productos!$A$1:$D$16,3,FALSE)*Ventas!F533</f>
        <v>42</v>
      </c>
      <c r="E533" s="10">
        <f t="shared" si="8"/>
        <v>36</v>
      </c>
      <c r="F533" s="9">
        <f>YEAR(Ventas!G533)</f>
        <v>2016</v>
      </c>
      <c r="G533" s="9">
        <f>MONTH(Ventas!G533)</f>
        <v>3</v>
      </c>
      <c r="H533" s="9" t="str">
        <f>VLOOKUP(Ventas!C533,Países!$A$2:$B$186,2,FALSE)</f>
        <v>Asia</v>
      </c>
      <c r="I533" s="9" t="str">
        <f>Ventas!E533</f>
        <v>Direct</v>
      </c>
    </row>
    <row r="534" spans="2:9" x14ac:dyDescent="0.25">
      <c r="B534" s="12">
        <f>Ventas!F534</f>
        <v>50</v>
      </c>
      <c r="C534" s="10">
        <f>VLOOKUP(Ventas!$D534,Productos!$A$1:$D$16,4,FALSE)*Ventas!F534</f>
        <v>450</v>
      </c>
      <c r="D534" s="10">
        <f>VLOOKUP(Ventas!$D534,Productos!$A$1:$D$16,3,FALSE)*Ventas!F534</f>
        <v>300</v>
      </c>
      <c r="E534" s="10">
        <f t="shared" si="8"/>
        <v>150</v>
      </c>
      <c r="F534" s="9">
        <f>YEAR(Ventas!G534)</f>
        <v>2016</v>
      </c>
      <c r="G534" s="9">
        <f>MONTH(Ventas!G534)</f>
        <v>3</v>
      </c>
      <c r="H534" s="9" t="str">
        <f>VLOOKUP(Ventas!C534,Países!$A$2:$B$186,2,FALSE)</f>
        <v>Asia</v>
      </c>
      <c r="I534" s="9" t="str">
        <f>Ventas!E534</f>
        <v>Online</v>
      </c>
    </row>
    <row r="535" spans="2:9" x14ac:dyDescent="0.25">
      <c r="B535" s="12">
        <f>Ventas!F535</f>
        <v>115</v>
      </c>
      <c r="C535" s="10">
        <f>VLOOKUP(Ventas!$D535,Productos!$A$1:$D$16,4,FALSE)*Ventas!F535</f>
        <v>458.85</v>
      </c>
      <c r="D535" s="10">
        <f>VLOOKUP(Ventas!$D535,Productos!$A$1:$D$16,3,FALSE)*Ventas!F535</f>
        <v>230</v>
      </c>
      <c r="E535" s="10">
        <f t="shared" si="8"/>
        <v>228.85000000000002</v>
      </c>
      <c r="F535" s="9">
        <f>YEAR(Ventas!G535)</f>
        <v>2016</v>
      </c>
      <c r="G535" s="9">
        <f>MONTH(Ventas!G535)</f>
        <v>2</v>
      </c>
      <c r="H535" s="9" t="str">
        <f>VLOOKUP(Ventas!C535,Países!$A$2:$B$186,2,FALSE)</f>
        <v>Europe</v>
      </c>
      <c r="I535" s="9" t="str">
        <f>Ventas!E535</f>
        <v>Direct</v>
      </c>
    </row>
    <row r="536" spans="2:9" x14ac:dyDescent="0.25">
      <c r="B536" s="12">
        <f>Ventas!F536</f>
        <v>64</v>
      </c>
      <c r="C536" s="10">
        <f>VLOOKUP(Ventas!$D536,Productos!$A$1:$D$16,4,FALSE)*Ventas!F536</f>
        <v>384</v>
      </c>
      <c r="D536" s="10">
        <f>VLOOKUP(Ventas!$D536,Productos!$A$1:$D$16,3,FALSE)*Ventas!F536</f>
        <v>192</v>
      </c>
      <c r="E536" s="10">
        <f t="shared" si="8"/>
        <v>192</v>
      </c>
      <c r="F536" s="9">
        <f>YEAR(Ventas!G536)</f>
        <v>2016</v>
      </c>
      <c r="G536" s="9">
        <f>MONTH(Ventas!G536)</f>
        <v>1</v>
      </c>
      <c r="H536" s="9" t="str">
        <f>VLOOKUP(Ventas!C536,Países!$A$2:$B$186,2,FALSE)</f>
        <v>Middle East and North Africa</v>
      </c>
      <c r="I536" s="9" t="str">
        <f>Ventas!E536</f>
        <v>Retail</v>
      </c>
    </row>
    <row r="537" spans="2:9" x14ac:dyDescent="0.25">
      <c r="B537" s="12">
        <f>Ventas!F537</f>
        <v>126</v>
      </c>
      <c r="C537" s="10">
        <f>VLOOKUP(Ventas!$D537,Productos!$A$1:$D$16,4,FALSE)*Ventas!F537</f>
        <v>819</v>
      </c>
      <c r="D537" s="10">
        <f>VLOOKUP(Ventas!$D537,Productos!$A$1:$D$16,3,FALSE)*Ventas!F537</f>
        <v>441</v>
      </c>
      <c r="E537" s="10">
        <f t="shared" si="8"/>
        <v>378</v>
      </c>
      <c r="F537" s="9">
        <f>YEAR(Ventas!G537)</f>
        <v>2016</v>
      </c>
      <c r="G537" s="9">
        <f>MONTH(Ventas!G537)</f>
        <v>3</v>
      </c>
      <c r="H537" s="9" t="str">
        <f>VLOOKUP(Ventas!C537,Países!$A$2:$B$186,2,FALSE)</f>
        <v>Sub-Saharan Africa</v>
      </c>
      <c r="I537" s="9" t="str">
        <f>Ventas!E537</f>
        <v>Retail</v>
      </c>
    </row>
    <row r="538" spans="2:9" x14ac:dyDescent="0.25">
      <c r="B538" s="12">
        <f>Ventas!F538</f>
        <v>177</v>
      </c>
      <c r="C538" s="10">
        <f>VLOOKUP(Ventas!$D538,Productos!$A$1:$D$16,4,FALSE)*Ventas!F538</f>
        <v>2566.5</v>
      </c>
      <c r="D538" s="10">
        <f>VLOOKUP(Ventas!$D538,Productos!$A$1:$D$16,3,FALSE)*Ventas!F538</f>
        <v>1416</v>
      </c>
      <c r="E538" s="10">
        <f t="shared" si="8"/>
        <v>1150.5</v>
      </c>
      <c r="F538" s="9">
        <f>YEAR(Ventas!G538)</f>
        <v>2016</v>
      </c>
      <c r="G538" s="9">
        <f>MONTH(Ventas!G538)</f>
        <v>2</v>
      </c>
      <c r="H538" s="9" t="str">
        <f>VLOOKUP(Ventas!C538,Países!$A$2:$B$186,2,FALSE)</f>
        <v>Middle East and North Africa</v>
      </c>
      <c r="I538" s="9" t="str">
        <f>Ventas!E538</f>
        <v>Online</v>
      </c>
    </row>
    <row r="539" spans="2:9" x14ac:dyDescent="0.25">
      <c r="B539" s="12">
        <f>Ventas!F539</f>
        <v>64</v>
      </c>
      <c r="C539" s="10">
        <f>VLOOKUP(Ventas!$D539,Productos!$A$1:$D$16,4,FALSE)*Ventas!F539</f>
        <v>447.36</v>
      </c>
      <c r="D539" s="10">
        <f>VLOOKUP(Ventas!$D539,Productos!$A$1:$D$16,3,FALSE)*Ventas!F539</f>
        <v>224</v>
      </c>
      <c r="E539" s="10">
        <f t="shared" si="8"/>
        <v>223.36</v>
      </c>
      <c r="F539" s="9">
        <f>YEAR(Ventas!G539)</f>
        <v>2016</v>
      </c>
      <c r="G539" s="9">
        <f>MONTH(Ventas!G539)</f>
        <v>2</v>
      </c>
      <c r="H539" s="9" t="str">
        <f>VLOOKUP(Ventas!C539,Países!$A$2:$B$186,2,FALSE)</f>
        <v>Middle East and North Africa</v>
      </c>
      <c r="I539" s="9" t="str">
        <f>Ventas!E539</f>
        <v>Retail</v>
      </c>
    </row>
    <row r="540" spans="2:9" x14ac:dyDescent="0.25">
      <c r="B540" s="12">
        <f>Ventas!F540</f>
        <v>44</v>
      </c>
      <c r="C540" s="10">
        <f>VLOOKUP(Ventas!$D540,Productos!$A$1:$D$16,4,FALSE)*Ventas!F540</f>
        <v>88</v>
      </c>
      <c r="D540" s="10">
        <f>VLOOKUP(Ventas!$D540,Productos!$A$1:$D$16,3,FALSE)*Ventas!F540</f>
        <v>44</v>
      </c>
      <c r="E540" s="10">
        <f t="shared" si="8"/>
        <v>44</v>
      </c>
      <c r="F540" s="9">
        <f>YEAR(Ventas!G540)</f>
        <v>2016</v>
      </c>
      <c r="G540" s="9">
        <f>MONTH(Ventas!G540)</f>
        <v>1</v>
      </c>
      <c r="H540" s="9" t="str">
        <f>VLOOKUP(Ventas!C540,Países!$A$2:$B$186,2,FALSE)</f>
        <v>Sub-Saharan Africa</v>
      </c>
      <c r="I540" s="9" t="str">
        <f>Ventas!E540</f>
        <v>Retail</v>
      </c>
    </row>
    <row r="541" spans="2:9" x14ac:dyDescent="0.25">
      <c r="B541" s="12">
        <f>Ventas!F541</f>
        <v>194</v>
      </c>
      <c r="C541" s="10">
        <f>VLOOKUP(Ventas!$D541,Productos!$A$1:$D$16,4,FALSE)*Ventas!F541</f>
        <v>1938.06</v>
      </c>
      <c r="D541" s="10">
        <f>VLOOKUP(Ventas!$D541,Productos!$A$1:$D$16,3,FALSE)*Ventas!F541</f>
        <v>970</v>
      </c>
      <c r="E541" s="10">
        <f t="shared" si="8"/>
        <v>968.06</v>
      </c>
      <c r="F541" s="9">
        <f>YEAR(Ventas!G541)</f>
        <v>2016</v>
      </c>
      <c r="G541" s="9">
        <f>MONTH(Ventas!G541)</f>
        <v>2</v>
      </c>
      <c r="H541" s="9" t="str">
        <f>VLOOKUP(Ventas!C541,Países!$A$2:$B$186,2,FALSE)</f>
        <v>Middle East and North Africa</v>
      </c>
      <c r="I541" s="9" t="str">
        <f>Ventas!E541</f>
        <v>Retail</v>
      </c>
    </row>
    <row r="542" spans="2:9" x14ac:dyDescent="0.25">
      <c r="B542" s="12">
        <f>Ventas!F542</f>
        <v>49</v>
      </c>
      <c r="C542" s="10">
        <f>VLOOKUP(Ventas!$D542,Productos!$A$1:$D$16,4,FALSE)*Ventas!F542</f>
        <v>342.51</v>
      </c>
      <c r="D542" s="10">
        <f>VLOOKUP(Ventas!$D542,Productos!$A$1:$D$16,3,FALSE)*Ventas!F542</f>
        <v>171.5</v>
      </c>
      <c r="E542" s="10">
        <f t="shared" si="8"/>
        <v>171.01</v>
      </c>
      <c r="F542" s="9">
        <f>YEAR(Ventas!G542)</f>
        <v>2016</v>
      </c>
      <c r="G542" s="9">
        <f>MONTH(Ventas!G542)</f>
        <v>2</v>
      </c>
      <c r="H542" s="9" t="str">
        <f>VLOOKUP(Ventas!C542,Países!$A$2:$B$186,2,FALSE)</f>
        <v>Sub-Saharan Africa</v>
      </c>
      <c r="I542" s="9" t="str">
        <f>Ventas!E542</f>
        <v>Retail</v>
      </c>
    </row>
    <row r="543" spans="2:9" x14ac:dyDescent="0.25">
      <c r="B543" s="12">
        <f>Ventas!F543</f>
        <v>209</v>
      </c>
      <c r="C543" s="10">
        <f>VLOOKUP(Ventas!$D543,Productos!$A$1:$D$16,4,FALSE)*Ventas!F543</f>
        <v>3030.5</v>
      </c>
      <c r="D543" s="10">
        <f>VLOOKUP(Ventas!$D543,Productos!$A$1:$D$16,3,FALSE)*Ventas!F543</f>
        <v>1672</v>
      </c>
      <c r="E543" s="10">
        <f t="shared" si="8"/>
        <v>1358.5</v>
      </c>
      <c r="F543" s="9">
        <f>YEAR(Ventas!G543)</f>
        <v>2016</v>
      </c>
      <c r="G543" s="9">
        <f>MONTH(Ventas!G543)</f>
        <v>1</v>
      </c>
      <c r="H543" s="9" t="str">
        <f>VLOOKUP(Ventas!C543,Países!$A$2:$B$186,2,FALSE)</f>
        <v>Middle East and North Africa</v>
      </c>
      <c r="I543" s="9" t="str">
        <f>Ventas!E543</f>
        <v>Online</v>
      </c>
    </row>
    <row r="544" spans="2:9" x14ac:dyDescent="0.25">
      <c r="B544" s="12">
        <f>Ventas!F544</f>
        <v>105</v>
      </c>
      <c r="C544" s="10">
        <f>VLOOKUP(Ventas!$D544,Productos!$A$1:$D$16,4,FALSE)*Ventas!F544</f>
        <v>630</v>
      </c>
      <c r="D544" s="10">
        <f>VLOOKUP(Ventas!$D544,Productos!$A$1:$D$16,3,FALSE)*Ventas!F544</f>
        <v>315</v>
      </c>
      <c r="E544" s="10">
        <f t="shared" si="8"/>
        <v>315</v>
      </c>
      <c r="F544" s="9">
        <f>YEAR(Ventas!G544)</f>
        <v>2016</v>
      </c>
      <c r="G544" s="9">
        <f>MONTH(Ventas!G544)</f>
        <v>3</v>
      </c>
      <c r="H544" s="9" t="str">
        <f>VLOOKUP(Ventas!C544,Países!$A$2:$B$186,2,FALSE)</f>
        <v>Europe</v>
      </c>
      <c r="I544" s="9" t="str">
        <f>Ventas!E544</f>
        <v>Online</v>
      </c>
    </row>
    <row r="545" spans="2:9" x14ac:dyDescent="0.25">
      <c r="B545" s="12">
        <f>Ventas!F545</f>
        <v>130</v>
      </c>
      <c r="C545" s="10">
        <f>VLOOKUP(Ventas!$D545,Productos!$A$1:$D$16,4,FALSE)*Ventas!F545</f>
        <v>260</v>
      </c>
      <c r="D545" s="10">
        <f>VLOOKUP(Ventas!$D545,Productos!$A$1:$D$16,3,FALSE)*Ventas!F545</f>
        <v>130</v>
      </c>
      <c r="E545" s="10">
        <f t="shared" si="8"/>
        <v>130</v>
      </c>
      <c r="F545" s="9">
        <f>YEAR(Ventas!G545)</f>
        <v>2016</v>
      </c>
      <c r="G545" s="9">
        <f>MONTH(Ventas!G545)</f>
        <v>1</v>
      </c>
      <c r="H545" s="9" t="str">
        <f>VLOOKUP(Ventas!C545,Países!$A$2:$B$186,2,FALSE)</f>
        <v>Sub-Saharan Africa</v>
      </c>
      <c r="I545" s="9" t="str">
        <f>Ventas!E545</f>
        <v>Online</v>
      </c>
    </row>
    <row r="546" spans="2:9" x14ac:dyDescent="0.25">
      <c r="B546" s="12">
        <f>Ventas!F546</f>
        <v>48</v>
      </c>
      <c r="C546" s="10">
        <f>VLOOKUP(Ventas!$D546,Productos!$A$1:$D$16,4,FALSE)*Ventas!F546</f>
        <v>432</v>
      </c>
      <c r="D546" s="10">
        <f>VLOOKUP(Ventas!$D546,Productos!$A$1:$D$16,3,FALSE)*Ventas!F546</f>
        <v>288</v>
      </c>
      <c r="E546" s="10">
        <f t="shared" si="8"/>
        <v>144</v>
      </c>
      <c r="F546" s="9">
        <f>YEAR(Ventas!G546)</f>
        <v>2016</v>
      </c>
      <c r="G546" s="9">
        <f>MONTH(Ventas!G546)</f>
        <v>3</v>
      </c>
      <c r="H546" s="9" t="str">
        <f>VLOOKUP(Ventas!C546,Países!$A$2:$B$186,2,FALSE)</f>
        <v>Europe</v>
      </c>
      <c r="I546" s="9" t="str">
        <f>Ventas!E546</f>
        <v>Online</v>
      </c>
    </row>
    <row r="547" spans="2:9" x14ac:dyDescent="0.25">
      <c r="B547" s="12">
        <f>Ventas!F547</f>
        <v>160</v>
      </c>
      <c r="C547" s="10">
        <f>VLOOKUP(Ventas!$D547,Productos!$A$1:$D$16,4,FALSE)*Ventas!F547</f>
        <v>2320</v>
      </c>
      <c r="D547" s="10">
        <f>VLOOKUP(Ventas!$D547,Productos!$A$1:$D$16,3,FALSE)*Ventas!F547</f>
        <v>1280</v>
      </c>
      <c r="E547" s="10">
        <f t="shared" si="8"/>
        <v>1040</v>
      </c>
      <c r="F547" s="9">
        <f>YEAR(Ventas!G547)</f>
        <v>2016</v>
      </c>
      <c r="G547" s="9">
        <f>MONTH(Ventas!G547)</f>
        <v>3</v>
      </c>
      <c r="H547" s="9" t="str">
        <f>VLOOKUP(Ventas!C547,Países!$A$2:$B$186,2,FALSE)</f>
        <v>Middle East and North Africa</v>
      </c>
      <c r="I547" s="9" t="str">
        <f>Ventas!E547</f>
        <v>Direct</v>
      </c>
    </row>
    <row r="548" spans="2:9" x14ac:dyDescent="0.25">
      <c r="B548" s="12">
        <f>Ventas!F548</f>
        <v>179</v>
      </c>
      <c r="C548" s="10">
        <f>VLOOKUP(Ventas!$D548,Productos!$A$1:$D$16,4,FALSE)*Ventas!F548</f>
        <v>2595.5</v>
      </c>
      <c r="D548" s="10">
        <f>VLOOKUP(Ventas!$D548,Productos!$A$1:$D$16,3,FALSE)*Ventas!F548</f>
        <v>1432</v>
      </c>
      <c r="E548" s="10">
        <f t="shared" si="8"/>
        <v>1163.5</v>
      </c>
      <c r="F548" s="9">
        <f>YEAR(Ventas!G548)</f>
        <v>2016</v>
      </c>
      <c r="G548" s="9">
        <f>MONTH(Ventas!G548)</f>
        <v>1</v>
      </c>
      <c r="H548" s="9" t="str">
        <f>VLOOKUP(Ventas!C548,Países!$A$2:$B$186,2,FALSE)</f>
        <v>Europe</v>
      </c>
      <c r="I548" s="9" t="str">
        <f>Ventas!E548</f>
        <v>Retail</v>
      </c>
    </row>
    <row r="549" spans="2:9" x14ac:dyDescent="0.25">
      <c r="B549" s="12">
        <f>Ventas!F549</f>
        <v>180</v>
      </c>
      <c r="C549" s="10">
        <f>VLOOKUP(Ventas!$D549,Productos!$A$1:$D$16,4,FALSE)*Ventas!F549</f>
        <v>1258.2</v>
      </c>
      <c r="D549" s="10">
        <f>VLOOKUP(Ventas!$D549,Productos!$A$1:$D$16,3,FALSE)*Ventas!F549</f>
        <v>630</v>
      </c>
      <c r="E549" s="10">
        <f t="shared" si="8"/>
        <v>628.20000000000005</v>
      </c>
      <c r="F549" s="9">
        <f>YEAR(Ventas!G549)</f>
        <v>2016</v>
      </c>
      <c r="G549" s="9">
        <f>MONTH(Ventas!G549)</f>
        <v>1</v>
      </c>
      <c r="H549" s="9" t="str">
        <f>VLOOKUP(Ventas!C549,Países!$A$2:$B$186,2,FALSE)</f>
        <v>Asia</v>
      </c>
      <c r="I549" s="9" t="str">
        <f>Ventas!E549</f>
        <v>Online</v>
      </c>
    </row>
    <row r="550" spans="2:9" x14ac:dyDescent="0.25">
      <c r="B550" s="12">
        <f>Ventas!F550</f>
        <v>171</v>
      </c>
      <c r="C550" s="10">
        <f>VLOOKUP(Ventas!$D550,Productos!$A$1:$D$16,4,FALSE)*Ventas!F550</f>
        <v>2479.5</v>
      </c>
      <c r="D550" s="10">
        <f>VLOOKUP(Ventas!$D550,Productos!$A$1:$D$16,3,FALSE)*Ventas!F550</f>
        <v>1368</v>
      </c>
      <c r="E550" s="10">
        <f t="shared" si="8"/>
        <v>1111.5</v>
      </c>
      <c r="F550" s="9">
        <f>YEAR(Ventas!G550)</f>
        <v>2016</v>
      </c>
      <c r="G550" s="9">
        <f>MONTH(Ventas!G550)</f>
        <v>3</v>
      </c>
      <c r="H550" s="9" t="str">
        <f>VLOOKUP(Ventas!C550,Países!$A$2:$B$186,2,FALSE)</f>
        <v>Middle East and North Africa</v>
      </c>
      <c r="I550" s="9" t="str">
        <f>Ventas!E550</f>
        <v>Retail</v>
      </c>
    </row>
    <row r="551" spans="2:9" x14ac:dyDescent="0.25">
      <c r="B551" s="12">
        <f>Ventas!F551</f>
        <v>107</v>
      </c>
      <c r="C551" s="10">
        <f>VLOOKUP(Ventas!$D551,Productos!$A$1:$D$16,4,FALSE)*Ventas!F551</f>
        <v>695.5</v>
      </c>
      <c r="D551" s="10">
        <f>VLOOKUP(Ventas!$D551,Productos!$A$1:$D$16,3,FALSE)*Ventas!F551</f>
        <v>374.5</v>
      </c>
      <c r="E551" s="10">
        <f t="shared" si="8"/>
        <v>321</v>
      </c>
      <c r="F551" s="9">
        <f>YEAR(Ventas!G551)</f>
        <v>2016</v>
      </c>
      <c r="G551" s="9">
        <f>MONTH(Ventas!G551)</f>
        <v>2</v>
      </c>
      <c r="H551" s="9" t="str">
        <f>VLOOKUP(Ventas!C551,Países!$A$2:$B$186,2,FALSE)</f>
        <v>Sub-Saharan Africa</v>
      </c>
      <c r="I551" s="9" t="str">
        <f>Ventas!E551</f>
        <v>Online</v>
      </c>
    </row>
    <row r="552" spans="2:9" x14ac:dyDescent="0.25">
      <c r="B552" s="12">
        <f>Ventas!F552</f>
        <v>189</v>
      </c>
      <c r="C552" s="10">
        <f>VLOOKUP(Ventas!$D552,Productos!$A$1:$D$16,4,FALSE)*Ventas!F552</f>
        <v>1321.1100000000001</v>
      </c>
      <c r="D552" s="10">
        <f>VLOOKUP(Ventas!$D552,Productos!$A$1:$D$16,3,FALSE)*Ventas!F552</f>
        <v>661.5</v>
      </c>
      <c r="E552" s="10">
        <f t="shared" si="8"/>
        <v>659.61000000000013</v>
      </c>
      <c r="F552" s="9">
        <f>YEAR(Ventas!G552)</f>
        <v>2016</v>
      </c>
      <c r="G552" s="9">
        <f>MONTH(Ventas!G552)</f>
        <v>2</v>
      </c>
      <c r="H552" s="9" t="str">
        <f>VLOOKUP(Ventas!C552,Países!$A$2:$B$186,2,FALSE)</f>
        <v>Asia</v>
      </c>
      <c r="I552" s="9" t="str">
        <f>Ventas!E552</f>
        <v>Online</v>
      </c>
    </row>
    <row r="553" spans="2:9" x14ac:dyDescent="0.25">
      <c r="B553" s="12">
        <f>Ventas!F553</f>
        <v>161</v>
      </c>
      <c r="C553" s="10">
        <f>VLOOKUP(Ventas!$D553,Productos!$A$1:$D$16,4,FALSE)*Ventas!F553</f>
        <v>483</v>
      </c>
      <c r="D553" s="10">
        <f>VLOOKUP(Ventas!$D553,Productos!$A$1:$D$16,3,FALSE)*Ventas!F553</f>
        <v>241.5</v>
      </c>
      <c r="E553" s="10">
        <f t="shared" si="8"/>
        <v>241.5</v>
      </c>
      <c r="F553" s="9">
        <f>YEAR(Ventas!G553)</f>
        <v>2016</v>
      </c>
      <c r="G553" s="9">
        <f>MONTH(Ventas!G553)</f>
        <v>1</v>
      </c>
      <c r="H553" s="9" t="str">
        <f>VLOOKUP(Ventas!C553,Países!$A$2:$B$186,2,FALSE)</f>
        <v>Sub-Saharan Africa</v>
      </c>
      <c r="I553" s="9" t="str">
        <f>Ventas!E553</f>
        <v>Retail</v>
      </c>
    </row>
    <row r="554" spans="2:9" x14ac:dyDescent="0.25">
      <c r="B554" s="12">
        <f>Ventas!F554</f>
        <v>150</v>
      </c>
      <c r="C554" s="10">
        <f>VLOOKUP(Ventas!$D554,Productos!$A$1:$D$16,4,FALSE)*Ventas!F554</f>
        <v>2175</v>
      </c>
      <c r="D554" s="10">
        <f>VLOOKUP(Ventas!$D554,Productos!$A$1:$D$16,3,FALSE)*Ventas!F554</f>
        <v>1200</v>
      </c>
      <c r="E554" s="10">
        <f t="shared" si="8"/>
        <v>975</v>
      </c>
      <c r="F554" s="9">
        <f>YEAR(Ventas!G554)</f>
        <v>2016</v>
      </c>
      <c r="G554" s="9">
        <f>MONTH(Ventas!G554)</f>
        <v>3</v>
      </c>
      <c r="H554" s="9" t="str">
        <f>VLOOKUP(Ventas!C554,Países!$A$2:$B$186,2,FALSE)</f>
        <v>Asia</v>
      </c>
      <c r="I554" s="9" t="str">
        <f>Ventas!E554</f>
        <v>Retail</v>
      </c>
    </row>
    <row r="555" spans="2:9" x14ac:dyDescent="0.25">
      <c r="B555" s="12">
        <f>Ventas!F555</f>
        <v>85</v>
      </c>
      <c r="C555" s="10">
        <f>VLOOKUP(Ventas!$D555,Productos!$A$1:$D$16,4,FALSE)*Ventas!F555</f>
        <v>594.15</v>
      </c>
      <c r="D555" s="10">
        <f>VLOOKUP(Ventas!$D555,Productos!$A$1:$D$16,3,FALSE)*Ventas!F555</f>
        <v>297.5</v>
      </c>
      <c r="E555" s="10">
        <f t="shared" si="8"/>
        <v>296.64999999999998</v>
      </c>
      <c r="F555" s="9">
        <f>YEAR(Ventas!G555)</f>
        <v>2016</v>
      </c>
      <c r="G555" s="9">
        <f>MONTH(Ventas!G555)</f>
        <v>2</v>
      </c>
      <c r="H555" s="9" t="str">
        <f>VLOOKUP(Ventas!C555,Países!$A$2:$B$186,2,FALSE)</f>
        <v>Europe</v>
      </c>
      <c r="I555" s="9" t="str">
        <f>Ventas!E555</f>
        <v>Retail</v>
      </c>
    </row>
    <row r="556" spans="2:9" x14ac:dyDescent="0.25">
      <c r="B556" s="12">
        <f>Ventas!F556</f>
        <v>85</v>
      </c>
      <c r="C556" s="10">
        <f>VLOOKUP(Ventas!$D556,Productos!$A$1:$D$16,4,FALSE)*Ventas!F556</f>
        <v>849.15</v>
      </c>
      <c r="D556" s="10">
        <f>VLOOKUP(Ventas!$D556,Productos!$A$1:$D$16,3,FALSE)*Ventas!F556</f>
        <v>425</v>
      </c>
      <c r="E556" s="10">
        <f t="shared" si="8"/>
        <v>424.15</v>
      </c>
      <c r="F556" s="9">
        <f>YEAR(Ventas!G556)</f>
        <v>2016</v>
      </c>
      <c r="G556" s="9">
        <f>MONTH(Ventas!G556)</f>
        <v>3</v>
      </c>
      <c r="H556" s="9" t="str">
        <f>VLOOKUP(Ventas!C556,Países!$A$2:$B$186,2,FALSE)</f>
        <v>Europe</v>
      </c>
      <c r="I556" s="9" t="str">
        <f>Ventas!E556</f>
        <v>Retail</v>
      </c>
    </row>
    <row r="557" spans="2:9" x14ac:dyDescent="0.25">
      <c r="B557" s="12">
        <f>Ventas!F557</f>
        <v>58</v>
      </c>
      <c r="C557" s="10">
        <f>VLOOKUP(Ventas!$D557,Productos!$A$1:$D$16,4,FALSE)*Ventas!F557</f>
        <v>261</v>
      </c>
      <c r="D557" s="10">
        <f>VLOOKUP(Ventas!$D557,Productos!$A$1:$D$16,3,FALSE)*Ventas!F557</f>
        <v>145</v>
      </c>
      <c r="E557" s="10">
        <f t="shared" si="8"/>
        <v>116</v>
      </c>
      <c r="F557" s="9">
        <f>YEAR(Ventas!G557)</f>
        <v>2016</v>
      </c>
      <c r="G557" s="9">
        <f>MONTH(Ventas!G557)</f>
        <v>2</v>
      </c>
      <c r="H557" s="9" t="str">
        <f>VLOOKUP(Ventas!C557,Países!$A$2:$B$186,2,FALSE)</f>
        <v>Europe</v>
      </c>
      <c r="I557" s="9" t="str">
        <f>Ventas!E557</f>
        <v>Retail</v>
      </c>
    </row>
    <row r="558" spans="2:9" x14ac:dyDescent="0.25">
      <c r="B558" s="12">
        <f>Ventas!F558</f>
        <v>93</v>
      </c>
      <c r="C558" s="10">
        <f>VLOOKUP(Ventas!$D558,Productos!$A$1:$D$16,4,FALSE)*Ventas!F558</f>
        <v>279</v>
      </c>
      <c r="D558" s="10">
        <f>VLOOKUP(Ventas!$D558,Productos!$A$1:$D$16,3,FALSE)*Ventas!F558</f>
        <v>139.5</v>
      </c>
      <c r="E558" s="10">
        <f t="shared" si="8"/>
        <v>139.5</v>
      </c>
      <c r="F558" s="9">
        <f>YEAR(Ventas!G558)</f>
        <v>2016</v>
      </c>
      <c r="G558" s="9">
        <f>MONTH(Ventas!G558)</f>
        <v>1</v>
      </c>
      <c r="H558" s="9" t="str">
        <f>VLOOKUP(Ventas!C558,Países!$A$2:$B$186,2,FALSE)</f>
        <v>Sub-Saharan Africa</v>
      </c>
      <c r="I558" s="9" t="str">
        <f>Ventas!E558</f>
        <v>Online</v>
      </c>
    </row>
    <row r="559" spans="2:9" x14ac:dyDescent="0.25">
      <c r="B559" s="12">
        <f>Ventas!F559</f>
        <v>154</v>
      </c>
      <c r="C559" s="10">
        <f>VLOOKUP(Ventas!$D559,Productos!$A$1:$D$16,4,FALSE)*Ventas!F559</f>
        <v>1001</v>
      </c>
      <c r="D559" s="10">
        <f>VLOOKUP(Ventas!$D559,Productos!$A$1:$D$16,3,FALSE)*Ventas!F559</f>
        <v>539</v>
      </c>
      <c r="E559" s="10">
        <f t="shared" si="8"/>
        <v>462</v>
      </c>
      <c r="F559" s="9">
        <f>YEAR(Ventas!G559)</f>
        <v>2016</v>
      </c>
      <c r="G559" s="9">
        <f>MONTH(Ventas!G559)</f>
        <v>1</v>
      </c>
      <c r="H559" s="9" t="str">
        <f>VLOOKUP(Ventas!C559,Países!$A$2:$B$186,2,FALSE)</f>
        <v>Europe</v>
      </c>
      <c r="I559" s="9" t="str">
        <f>Ventas!E559</f>
        <v>Retail</v>
      </c>
    </row>
    <row r="560" spans="2:9" x14ac:dyDescent="0.25">
      <c r="B560" s="12">
        <f>Ventas!F560</f>
        <v>194</v>
      </c>
      <c r="C560" s="10">
        <f>VLOOKUP(Ventas!$D560,Productos!$A$1:$D$16,4,FALSE)*Ventas!F560</f>
        <v>774.06000000000006</v>
      </c>
      <c r="D560" s="10">
        <f>VLOOKUP(Ventas!$D560,Productos!$A$1:$D$16,3,FALSE)*Ventas!F560</f>
        <v>388</v>
      </c>
      <c r="E560" s="10">
        <f t="shared" si="8"/>
        <v>386.06000000000006</v>
      </c>
      <c r="F560" s="9">
        <f>YEAR(Ventas!G560)</f>
        <v>2016</v>
      </c>
      <c r="G560" s="9">
        <f>MONTH(Ventas!G560)</f>
        <v>3</v>
      </c>
      <c r="H560" s="9" t="str">
        <f>VLOOKUP(Ventas!C560,Países!$A$2:$B$186,2,FALSE)</f>
        <v>Europe</v>
      </c>
      <c r="I560" s="9" t="str">
        <f>Ventas!E560</f>
        <v>Retail</v>
      </c>
    </row>
    <row r="561" spans="2:9" x14ac:dyDescent="0.25">
      <c r="B561" s="12">
        <f>Ventas!F561</f>
        <v>40</v>
      </c>
      <c r="C561" s="10">
        <f>VLOOKUP(Ventas!$D561,Productos!$A$1:$D$16,4,FALSE)*Ventas!F561</f>
        <v>279.60000000000002</v>
      </c>
      <c r="D561" s="10">
        <f>VLOOKUP(Ventas!$D561,Productos!$A$1:$D$16,3,FALSE)*Ventas!F561</f>
        <v>140</v>
      </c>
      <c r="E561" s="10">
        <f t="shared" si="8"/>
        <v>139.60000000000002</v>
      </c>
      <c r="F561" s="9">
        <f>YEAR(Ventas!G561)</f>
        <v>2016</v>
      </c>
      <c r="G561" s="9">
        <f>MONTH(Ventas!G561)</f>
        <v>1</v>
      </c>
      <c r="H561" s="9" t="str">
        <f>VLOOKUP(Ventas!C561,Países!$A$2:$B$186,2,FALSE)</f>
        <v>Central America and the Caribbean</v>
      </c>
      <c r="I561" s="9" t="str">
        <f>Ventas!E561</f>
        <v>Retail</v>
      </c>
    </row>
    <row r="562" spans="2:9" x14ac:dyDescent="0.25">
      <c r="B562" s="12">
        <f>Ventas!F562</f>
        <v>193</v>
      </c>
      <c r="C562" s="10">
        <f>VLOOKUP(Ventas!$D562,Productos!$A$1:$D$16,4,FALSE)*Ventas!F562</f>
        <v>579</v>
      </c>
      <c r="D562" s="10">
        <f>VLOOKUP(Ventas!$D562,Productos!$A$1:$D$16,3,FALSE)*Ventas!F562</f>
        <v>289.5</v>
      </c>
      <c r="E562" s="10">
        <f t="shared" si="8"/>
        <v>289.5</v>
      </c>
      <c r="F562" s="9">
        <f>YEAR(Ventas!G562)</f>
        <v>2016</v>
      </c>
      <c r="G562" s="9">
        <f>MONTH(Ventas!G562)</f>
        <v>2</v>
      </c>
      <c r="H562" s="9" t="str">
        <f>VLOOKUP(Ventas!C562,Países!$A$2:$B$186,2,FALSE)</f>
        <v>Central America and the Caribbean</v>
      </c>
      <c r="I562" s="9" t="str">
        <f>Ventas!E562</f>
        <v>Retail</v>
      </c>
    </row>
    <row r="563" spans="2:9" x14ac:dyDescent="0.25">
      <c r="B563" s="12">
        <f>Ventas!F563</f>
        <v>79</v>
      </c>
      <c r="C563" s="10">
        <f>VLOOKUP(Ventas!$D563,Productos!$A$1:$D$16,4,FALSE)*Ventas!F563</f>
        <v>711</v>
      </c>
      <c r="D563" s="10">
        <f>VLOOKUP(Ventas!$D563,Productos!$A$1:$D$16,3,FALSE)*Ventas!F563</f>
        <v>474</v>
      </c>
      <c r="E563" s="10">
        <f t="shared" si="8"/>
        <v>237</v>
      </c>
      <c r="F563" s="9">
        <f>YEAR(Ventas!G563)</f>
        <v>2016</v>
      </c>
      <c r="G563" s="9">
        <f>MONTH(Ventas!G563)</f>
        <v>3</v>
      </c>
      <c r="H563" s="9" t="str">
        <f>VLOOKUP(Ventas!C563,Países!$A$2:$B$186,2,FALSE)</f>
        <v>Sub-Saharan Africa</v>
      </c>
      <c r="I563" s="9" t="str">
        <f>Ventas!E563</f>
        <v>Retail</v>
      </c>
    </row>
    <row r="564" spans="2:9" x14ac:dyDescent="0.25">
      <c r="B564" s="12">
        <f>Ventas!F564</f>
        <v>118</v>
      </c>
      <c r="C564" s="10">
        <f>VLOOKUP(Ventas!$D564,Productos!$A$1:$D$16,4,FALSE)*Ventas!F564</f>
        <v>767</v>
      </c>
      <c r="D564" s="10">
        <f>VLOOKUP(Ventas!$D564,Productos!$A$1:$D$16,3,FALSE)*Ventas!F564</f>
        <v>413</v>
      </c>
      <c r="E564" s="10">
        <f t="shared" si="8"/>
        <v>354</v>
      </c>
      <c r="F564" s="9">
        <f>YEAR(Ventas!G564)</f>
        <v>2016</v>
      </c>
      <c r="G564" s="9">
        <f>MONTH(Ventas!G564)</f>
        <v>1</v>
      </c>
      <c r="H564" s="9" t="str">
        <f>VLOOKUP(Ventas!C564,Países!$A$2:$B$186,2,FALSE)</f>
        <v>Sub-Saharan Africa</v>
      </c>
      <c r="I564" s="9" t="str">
        <f>Ventas!E564</f>
        <v>Online</v>
      </c>
    </row>
    <row r="565" spans="2:9" x14ac:dyDescent="0.25">
      <c r="B565" s="12">
        <f>Ventas!F565</f>
        <v>182</v>
      </c>
      <c r="C565" s="10">
        <f>VLOOKUP(Ventas!$D565,Productos!$A$1:$D$16,4,FALSE)*Ventas!F565</f>
        <v>1183</v>
      </c>
      <c r="D565" s="10">
        <f>VLOOKUP(Ventas!$D565,Productos!$A$1:$D$16,3,FALSE)*Ventas!F565</f>
        <v>637</v>
      </c>
      <c r="E565" s="10">
        <f t="shared" si="8"/>
        <v>546</v>
      </c>
      <c r="F565" s="9">
        <f>YEAR(Ventas!G565)</f>
        <v>2016</v>
      </c>
      <c r="G565" s="9">
        <f>MONTH(Ventas!G565)</f>
        <v>1</v>
      </c>
      <c r="H565" s="9" t="str">
        <f>VLOOKUP(Ventas!C565,Países!$A$2:$B$186,2,FALSE)</f>
        <v>Sub-Saharan Africa</v>
      </c>
      <c r="I565" s="9" t="str">
        <f>Ventas!E565</f>
        <v>Online</v>
      </c>
    </row>
    <row r="566" spans="2:9" x14ac:dyDescent="0.25">
      <c r="B566" s="12">
        <f>Ventas!F566</f>
        <v>199</v>
      </c>
      <c r="C566" s="10">
        <f>VLOOKUP(Ventas!$D566,Productos!$A$1:$D$16,4,FALSE)*Ventas!F566</f>
        <v>794.01</v>
      </c>
      <c r="D566" s="10">
        <f>VLOOKUP(Ventas!$D566,Productos!$A$1:$D$16,3,FALSE)*Ventas!F566</f>
        <v>398</v>
      </c>
      <c r="E566" s="10">
        <f t="shared" si="8"/>
        <v>396.01</v>
      </c>
      <c r="F566" s="9">
        <f>YEAR(Ventas!G566)</f>
        <v>2016</v>
      </c>
      <c r="G566" s="9">
        <f>MONTH(Ventas!G566)</f>
        <v>3</v>
      </c>
      <c r="H566" s="9" t="str">
        <f>VLOOKUP(Ventas!C566,Países!$A$2:$B$186,2,FALSE)</f>
        <v>Europe</v>
      </c>
      <c r="I566" s="9" t="str">
        <f>Ventas!E566</f>
        <v>Online</v>
      </c>
    </row>
    <row r="567" spans="2:9" x14ac:dyDescent="0.25">
      <c r="B567" s="12">
        <f>Ventas!F567</f>
        <v>83</v>
      </c>
      <c r="C567" s="10">
        <f>VLOOKUP(Ventas!$D567,Productos!$A$1:$D$16,4,FALSE)*Ventas!F567</f>
        <v>829.17000000000007</v>
      </c>
      <c r="D567" s="10">
        <f>VLOOKUP(Ventas!$D567,Productos!$A$1:$D$16,3,FALSE)*Ventas!F567</f>
        <v>415</v>
      </c>
      <c r="E567" s="10">
        <f t="shared" si="8"/>
        <v>414.17000000000007</v>
      </c>
      <c r="F567" s="9">
        <f>YEAR(Ventas!G567)</f>
        <v>2016</v>
      </c>
      <c r="G567" s="9">
        <f>MONTH(Ventas!G567)</f>
        <v>1</v>
      </c>
      <c r="H567" s="9" t="str">
        <f>VLOOKUP(Ventas!C567,Países!$A$2:$B$186,2,FALSE)</f>
        <v>Central America and the Caribbean</v>
      </c>
      <c r="I567" s="9" t="str">
        <f>Ventas!E567</f>
        <v>Retail</v>
      </c>
    </row>
    <row r="568" spans="2:9" x14ac:dyDescent="0.25">
      <c r="B568" s="12">
        <f>Ventas!F568</f>
        <v>115</v>
      </c>
      <c r="C568" s="10">
        <f>VLOOKUP(Ventas!$D568,Productos!$A$1:$D$16,4,FALSE)*Ventas!F568</f>
        <v>230</v>
      </c>
      <c r="D568" s="10">
        <f>VLOOKUP(Ventas!$D568,Productos!$A$1:$D$16,3,FALSE)*Ventas!F568</f>
        <v>115</v>
      </c>
      <c r="E568" s="10">
        <f t="shared" si="8"/>
        <v>115</v>
      </c>
      <c r="F568" s="9">
        <f>YEAR(Ventas!G568)</f>
        <v>2016</v>
      </c>
      <c r="G568" s="9">
        <f>MONTH(Ventas!G568)</f>
        <v>3</v>
      </c>
      <c r="H568" s="9" t="str">
        <f>VLOOKUP(Ventas!C568,Países!$A$2:$B$186,2,FALSE)</f>
        <v>Australia and Oceania</v>
      </c>
      <c r="I568" s="9" t="str">
        <f>Ventas!E568</f>
        <v>Online</v>
      </c>
    </row>
    <row r="569" spans="2:9" x14ac:dyDescent="0.25">
      <c r="B569" s="12">
        <f>Ventas!F569</f>
        <v>137</v>
      </c>
      <c r="C569" s="10">
        <f>VLOOKUP(Ventas!$D569,Productos!$A$1:$D$16,4,FALSE)*Ventas!F569</f>
        <v>822</v>
      </c>
      <c r="D569" s="10">
        <f>VLOOKUP(Ventas!$D569,Productos!$A$1:$D$16,3,FALSE)*Ventas!F569</f>
        <v>411</v>
      </c>
      <c r="E569" s="10">
        <f t="shared" si="8"/>
        <v>411</v>
      </c>
      <c r="F569" s="9">
        <f>YEAR(Ventas!G569)</f>
        <v>2016</v>
      </c>
      <c r="G569" s="9">
        <f>MONTH(Ventas!G569)</f>
        <v>2</v>
      </c>
      <c r="H569" s="9" t="str">
        <f>VLOOKUP(Ventas!C569,Países!$A$2:$B$186,2,FALSE)</f>
        <v>Sub-Saharan Africa</v>
      </c>
      <c r="I569" s="9" t="str">
        <f>Ventas!E569</f>
        <v>Online</v>
      </c>
    </row>
    <row r="570" spans="2:9" x14ac:dyDescent="0.25">
      <c r="B570" s="12">
        <f>Ventas!F570</f>
        <v>37</v>
      </c>
      <c r="C570" s="10">
        <f>VLOOKUP(Ventas!$D570,Productos!$A$1:$D$16,4,FALSE)*Ventas!F570</f>
        <v>74</v>
      </c>
      <c r="D570" s="10">
        <f>VLOOKUP(Ventas!$D570,Productos!$A$1:$D$16,3,FALSE)*Ventas!F570</f>
        <v>37</v>
      </c>
      <c r="E570" s="10">
        <f t="shared" si="8"/>
        <v>37</v>
      </c>
      <c r="F570" s="9">
        <f>YEAR(Ventas!G570)</f>
        <v>2016</v>
      </c>
      <c r="G570" s="9">
        <f>MONTH(Ventas!G570)</f>
        <v>1</v>
      </c>
      <c r="H570" s="9" t="str">
        <f>VLOOKUP(Ventas!C570,Países!$A$2:$B$186,2,FALSE)</f>
        <v>Middle East and North Africa</v>
      </c>
      <c r="I570" s="9" t="str">
        <f>Ventas!E570</f>
        <v>Online</v>
      </c>
    </row>
    <row r="571" spans="2:9" x14ac:dyDescent="0.25">
      <c r="B571" s="12">
        <f>Ventas!F571</f>
        <v>140</v>
      </c>
      <c r="C571" s="10">
        <f>VLOOKUP(Ventas!$D571,Productos!$A$1:$D$16,4,FALSE)*Ventas!F571</f>
        <v>840</v>
      </c>
      <c r="D571" s="10">
        <f>VLOOKUP(Ventas!$D571,Productos!$A$1:$D$16,3,FALSE)*Ventas!F571</f>
        <v>420</v>
      </c>
      <c r="E571" s="10">
        <f t="shared" si="8"/>
        <v>420</v>
      </c>
      <c r="F571" s="9">
        <f>YEAR(Ventas!G571)</f>
        <v>2016</v>
      </c>
      <c r="G571" s="9">
        <f>MONTH(Ventas!G571)</f>
        <v>2</v>
      </c>
      <c r="H571" s="9" t="str">
        <f>VLOOKUP(Ventas!C571,Países!$A$2:$B$186,2,FALSE)</f>
        <v>Central America and the Caribbean</v>
      </c>
      <c r="I571" s="9" t="str">
        <f>Ventas!E571</f>
        <v>Direct</v>
      </c>
    </row>
    <row r="572" spans="2:9" x14ac:dyDescent="0.25">
      <c r="B572" s="12">
        <f>Ventas!F572</f>
        <v>49</v>
      </c>
      <c r="C572" s="10">
        <f>VLOOKUP(Ventas!$D572,Productos!$A$1:$D$16,4,FALSE)*Ventas!F572</f>
        <v>195.51000000000002</v>
      </c>
      <c r="D572" s="10">
        <f>VLOOKUP(Ventas!$D572,Productos!$A$1:$D$16,3,FALSE)*Ventas!F572</f>
        <v>98</v>
      </c>
      <c r="E572" s="10">
        <f t="shared" si="8"/>
        <v>97.510000000000019</v>
      </c>
      <c r="F572" s="9">
        <f>YEAR(Ventas!G572)</f>
        <v>2016</v>
      </c>
      <c r="G572" s="9">
        <f>MONTH(Ventas!G572)</f>
        <v>1</v>
      </c>
      <c r="H572" s="9" t="str">
        <f>VLOOKUP(Ventas!C572,Países!$A$2:$B$186,2,FALSE)</f>
        <v>Sub-Saharan Africa</v>
      </c>
      <c r="I572" s="9" t="str">
        <f>Ventas!E572</f>
        <v>Retail</v>
      </c>
    </row>
    <row r="573" spans="2:9" x14ac:dyDescent="0.25">
      <c r="B573" s="12">
        <f>Ventas!F573</f>
        <v>74</v>
      </c>
      <c r="C573" s="10">
        <f>VLOOKUP(Ventas!$D573,Productos!$A$1:$D$16,4,FALSE)*Ventas!F573</f>
        <v>517.26</v>
      </c>
      <c r="D573" s="10">
        <f>VLOOKUP(Ventas!$D573,Productos!$A$1:$D$16,3,FALSE)*Ventas!F573</f>
        <v>259</v>
      </c>
      <c r="E573" s="10">
        <f t="shared" si="8"/>
        <v>258.26</v>
      </c>
      <c r="F573" s="9">
        <f>YEAR(Ventas!G573)</f>
        <v>2016</v>
      </c>
      <c r="G573" s="9">
        <f>MONTH(Ventas!G573)</f>
        <v>3</v>
      </c>
      <c r="H573" s="9" t="str">
        <f>VLOOKUP(Ventas!C573,Países!$A$2:$B$186,2,FALSE)</f>
        <v>Middle East and North Africa</v>
      </c>
      <c r="I573" s="9" t="str">
        <f>Ventas!E573</f>
        <v>Online</v>
      </c>
    </row>
    <row r="574" spans="2:9" x14ac:dyDescent="0.25">
      <c r="B574" s="12">
        <f>Ventas!F574</f>
        <v>23</v>
      </c>
      <c r="C574" s="10">
        <f>VLOOKUP(Ventas!$D574,Productos!$A$1:$D$16,4,FALSE)*Ventas!F574</f>
        <v>103.5</v>
      </c>
      <c r="D574" s="10">
        <f>VLOOKUP(Ventas!$D574,Productos!$A$1:$D$16,3,FALSE)*Ventas!F574</f>
        <v>57.5</v>
      </c>
      <c r="E574" s="10">
        <f t="shared" si="8"/>
        <v>46</v>
      </c>
      <c r="F574" s="9">
        <f>YEAR(Ventas!G574)</f>
        <v>2016</v>
      </c>
      <c r="G574" s="9">
        <f>MONTH(Ventas!G574)</f>
        <v>2</v>
      </c>
      <c r="H574" s="9" t="str">
        <f>VLOOKUP(Ventas!C574,Países!$A$2:$B$186,2,FALSE)</f>
        <v>Asia</v>
      </c>
      <c r="I574" s="9" t="str">
        <f>Ventas!E574</f>
        <v>Retail</v>
      </c>
    </row>
    <row r="575" spans="2:9" x14ac:dyDescent="0.25">
      <c r="B575" s="12">
        <f>Ventas!F575</f>
        <v>116</v>
      </c>
      <c r="C575" s="10">
        <f>VLOOKUP(Ventas!$D575,Productos!$A$1:$D$16,4,FALSE)*Ventas!F575</f>
        <v>232</v>
      </c>
      <c r="D575" s="10">
        <f>VLOOKUP(Ventas!$D575,Productos!$A$1:$D$16,3,FALSE)*Ventas!F575</f>
        <v>116</v>
      </c>
      <c r="E575" s="10">
        <f t="shared" si="8"/>
        <v>116</v>
      </c>
      <c r="F575" s="9">
        <f>YEAR(Ventas!G575)</f>
        <v>2016</v>
      </c>
      <c r="G575" s="9">
        <f>MONTH(Ventas!G575)</f>
        <v>3</v>
      </c>
      <c r="H575" s="9" t="str">
        <f>VLOOKUP(Ventas!C575,Países!$A$2:$B$186,2,FALSE)</f>
        <v>Europe</v>
      </c>
      <c r="I575" s="9" t="str">
        <f>Ventas!E575</f>
        <v>Online</v>
      </c>
    </row>
    <row r="576" spans="2:9" x14ac:dyDescent="0.25">
      <c r="B576" s="12">
        <f>Ventas!F576</f>
        <v>190</v>
      </c>
      <c r="C576" s="10">
        <f>VLOOKUP(Ventas!$D576,Productos!$A$1:$D$16,4,FALSE)*Ventas!F576</f>
        <v>2755</v>
      </c>
      <c r="D576" s="10">
        <f>VLOOKUP(Ventas!$D576,Productos!$A$1:$D$16,3,FALSE)*Ventas!F576</f>
        <v>1520</v>
      </c>
      <c r="E576" s="10">
        <f t="shared" si="8"/>
        <v>1235</v>
      </c>
      <c r="F576" s="9">
        <f>YEAR(Ventas!G576)</f>
        <v>2016</v>
      </c>
      <c r="G576" s="9">
        <f>MONTH(Ventas!G576)</f>
        <v>3</v>
      </c>
      <c r="H576" s="9" t="str">
        <f>VLOOKUP(Ventas!C576,Países!$A$2:$B$186,2,FALSE)</f>
        <v>Sub-Saharan Africa</v>
      </c>
      <c r="I576" s="9" t="str">
        <f>Ventas!E576</f>
        <v>Retail</v>
      </c>
    </row>
    <row r="577" spans="2:9" x14ac:dyDescent="0.25">
      <c r="B577" s="12">
        <f>Ventas!F577</f>
        <v>151</v>
      </c>
      <c r="C577" s="10">
        <f>VLOOKUP(Ventas!$D577,Productos!$A$1:$D$16,4,FALSE)*Ventas!F577</f>
        <v>1055.49</v>
      </c>
      <c r="D577" s="10">
        <f>VLOOKUP(Ventas!$D577,Productos!$A$1:$D$16,3,FALSE)*Ventas!F577</f>
        <v>528.5</v>
      </c>
      <c r="E577" s="10">
        <f t="shared" si="8"/>
        <v>526.99</v>
      </c>
      <c r="F577" s="9">
        <f>YEAR(Ventas!G577)</f>
        <v>2016</v>
      </c>
      <c r="G577" s="9">
        <f>MONTH(Ventas!G577)</f>
        <v>2</v>
      </c>
      <c r="H577" s="9" t="str">
        <f>VLOOKUP(Ventas!C577,Países!$A$2:$B$186,2,FALSE)</f>
        <v>Sub-Saharan Africa</v>
      </c>
      <c r="I577" s="9" t="str">
        <f>Ventas!E577</f>
        <v>Online</v>
      </c>
    </row>
    <row r="578" spans="2:9" x14ac:dyDescent="0.25">
      <c r="B578" s="12">
        <f>Ventas!F578</f>
        <v>133</v>
      </c>
      <c r="C578" s="10">
        <f>VLOOKUP(Ventas!$D578,Productos!$A$1:$D$16,4,FALSE)*Ventas!F578</f>
        <v>598.5</v>
      </c>
      <c r="D578" s="10">
        <f>VLOOKUP(Ventas!$D578,Productos!$A$1:$D$16,3,FALSE)*Ventas!F578</f>
        <v>332.5</v>
      </c>
      <c r="E578" s="10">
        <f t="shared" si="8"/>
        <v>266</v>
      </c>
      <c r="F578" s="9">
        <f>YEAR(Ventas!G578)</f>
        <v>2016</v>
      </c>
      <c r="G578" s="9">
        <f>MONTH(Ventas!G578)</f>
        <v>3</v>
      </c>
      <c r="H578" s="9" t="str">
        <f>VLOOKUP(Ventas!C578,Países!$A$2:$B$186,2,FALSE)</f>
        <v>Australia and Oceania</v>
      </c>
      <c r="I578" s="9" t="str">
        <f>Ventas!E578</f>
        <v>Retail</v>
      </c>
    </row>
    <row r="579" spans="2:9" x14ac:dyDescent="0.25">
      <c r="B579" s="12">
        <f>Ventas!F579</f>
        <v>182</v>
      </c>
      <c r="C579" s="10">
        <f>VLOOKUP(Ventas!$D579,Productos!$A$1:$D$16,4,FALSE)*Ventas!F579</f>
        <v>364</v>
      </c>
      <c r="D579" s="10">
        <f>VLOOKUP(Ventas!$D579,Productos!$A$1:$D$16,3,FALSE)*Ventas!F579</f>
        <v>182</v>
      </c>
      <c r="E579" s="10">
        <f t="shared" ref="E579:E642" si="9">C579-D579</f>
        <v>182</v>
      </c>
      <c r="F579" s="9">
        <f>YEAR(Ventas!G579)</f>
        <v>2016</v>
      </c>
      <c r="G579" s="9">
        <f>MONTH(Ventas!G579)</f>
        <v>1</v>
      </c>
      <c r="H579" s="9" t="str">
        <f>VLOOKUP(Ventas!C579,Países!$A$2:$B$186,2,FALSE)</f>
        <v>Asia</v>
      </c>
      <c r="I579" s="9" t="str">
        <f>Ventas!E579</f>
        <v>Online</v>
      </c>
    </row>
    <row r="580" spans="2:9" x14ac:dyDescent="0.25">
      <c r="B580" s="12">
        <f>Ventas!F580</f>
        <v>203</v>
      </c>
      <c r="C580" s="10">
        <f>VLOOKUP(Ventas!$D580,Productos!$A$1:$D$16,4,FALSE)*Ventas!F580</f>
        <v>1418.97</v>
      </c>
      <c r="D580" s="10">
        <f>VLOOKUP(Ventas!$D580,Productos!$A$1:$D$16,3,FALSE)*Ventas!F580</f>
        <v>710.5</v>
      </c>
      <c r="E580" s="10">
        <f t="shared" si="9"/>
        <v>708.47</v>
      </c>
      <c r="F580" s="9">
        <f>YEAR(Ventas!G580)</f>
        <v>2016</v>
      </c>
      <c r="G580" s="9">
        <f>MONTH(Ventas!G580)</f>
        <v>1</v>
      </c>
      <c r="H580" s="9" t="str">
        <f>VLOOKUP(Ventas!C580,Países!$A$2:$B$186,2,FALSE)</f>
        <v>Europe</v>
      </c>
      <c r="I580" s="9" t="str">
        <f>Ventas!E580</f>
        <v>Online</v>
      </c>
    </row>
    <row r="581" spans="2:9" x14ac:dyDescent="0.25">
      <c r="B581" s="12">
        <f>Ventas!F581</f>
        <v>170</v>
      </c>
      <c r="C581" s="10">
        <f>VLOOKUP(Ventas!$D581,Productos!$A$1:$D$16,4,FALSE)*Ventas!F581</f>
        <v>678.30000000000007</v>
      </c>
      <c r="D581" s="10">
        <f>VLOOKUP(Ventas!$D581,Productos!$A$1:$D$16,3,FALSE)*Ventas!F581</f>
        <v>340</v>
      </c>
      <c r="E581" s="10">
        <f t="shared" si="9"/>
        <v>338.30000000000007</v>
      </c>
      <c r="F581" s="9">
        <f>YEAR(Ventas!G581)</f>
        <v>2015</v>
      </c>
      <c r="G581" s="9">
        <f>MONTH(Ventas!G581)</f>
        <v>12</v>
      </c>
      <c r="H581" s="9" t="str">
        <f>VLOOKUP(Ventas!C581,Países!$A$2:$B$186,2,FALSE)</f>
        <v>Central America and the Caribbean</v>
      </c>
      <c r="I581" s="9" t="str">
        <f>Ventas!E581</f>
        <v>Online</v>
      </c>
    </row>
    <row r="582" spans="2:9" x14ac:dyDescent="0.25">
      <c r="B582" s="12">
        <f>Ventas!F582</f>
        <v>190</v>
      </c>
      <c r="C582" s="10">
        <f>VLOOKUP(Ventas!$D582,Productos!$A$1:$D$16,4,FALSE)*Ventas!F582</f>
        <v>1140</v>
      </c>
      <c r="D582" s="10">
        <f>VLOOKUP(Ventas!$D582,Productos!$A$1:$D$16,3,FALSE)*Ventas!F582</f>
        <v>570</v>
      </c>
      <c r="E582" s="10">
        <f t="shared" si="9"/>
        <v>570</v>
      </c>
      <c r="F582" s="9">
        <f>YEAR(Ventas!G582)</f>
        <v>2016</v>
      </c>
      <c r="G582" s="9">
        <f>MONTH(Ventas!G582)</f>
        <v>2</v>
      </c>
      <c r="H582" s="9" t="str">
        <f>VLOOKUP(Ventas!C582,Países!$A$2:$B$186,2,FALSE)</f>
        <v>Asia</v>
      </c>
      <c r="I582" s="9" t="str">
        <f>Ventas!E582</f>
        <v>Online</v>
      </c>
    </row>
    <row r="583" spans="2:9" x14ac:dyDescent="0.25">
      <c r="B583" s="12">
        <f>Ventas!F583</f>
        <v>211</v>
      </c>
      <c r="C583" s="10">
        <f>VLOOKUP(Ventas!$D583,Productos!$A$1:$D$16,4,FALSE)*Ventas!F583</f>
        <v>1474.89</v>
      </c>
      <c r="D583" s="10">
        <f>VLOOKUP(Ventas!$D583,Productos!$A$1:$D$16,3,FALSE)*Ventas!F583</f>
        <v>738.5</v>
      </c>
      <c r="E583" s="10">
        <f t="shared" si="9"/>
        <v>736.3900000000001</v>
      </c>
      <c r="F583" s="9">
        <f>YEAR(Ventas!G583)</f>
        <v>2016</v>
      </c>
      <c r="G583" s="9">
        <f>MONTH(Ventas!G583)</f>
        <v>1</v>
      </c>
      <c r="H583" s="9" t="str">
        <f>VLOOKUP(Ventas!C583,Países!$A$2:$B$186,2,FALSE)</f>
        <v>Europe</v>
      </c>
      <c r="I583" s="9" t="str">
        <f>Ventas!E583</f>
        <v>Retail</v>
      </c>
    </row>
    <row r="584" spans="2:9" x14ac:dyDescent="0.25">
      <c r="B584" s="12">
        <f>Ventas!F584</f>
        <v>179</v>
      </c>
      <c r="C584" s="10">
        <f>VLOOKUP(Ventas!$D584,Productos!$A$1:$D$16,4,FALSE)*Ventas!F584</f>
        <v>1074</v>
      </c>
      <c r="D584" s="10">
        <f>VLOOKUP(Ventas!$D584,Productos!$A$1:$D$16,3,FALSE)*Ventas!F584</f>
        <v>537</v>
      </c>
      <c r="E584" s="10">
        <f t="shared" si="9"/>
        <v>537</v>
      </c>
      <c r="F584" s="9">
        <f>YEAR(Ventas!G584)</f>
        <v>2016</v>
      </c>
      <c r="G584" s="9">
        <f>MONTH(Ventas!G584)</f>
        <v>2</v>
      </c>
      <c r="H584" s="9" t="str">
        <f>VLOOKUP(Ventas!C584,Países!$A$2:$B$186,2,FALSE)</f>
        <v>Europe</v>
      </c>
      <c r="I584" s="9" t="str">
        <f>Ventas!E584</f>
        <v>Online</v>
      </c>
    </row>
    <row r="585" spans="2:9" x14ac:dyDescent="0.25">
      <c r="B585" s="12">
        <f>Ventas!F585</f>
        <v>142</v>
      </c>
      <c r="C585" s="10">
        <f>VLOOKUP(Ventas!$D585,Productos!$A$1:$D$16,4,FALSE)*Ventas!F585</f>
        <v>639</v>
      </c>
      <c r="D585" s="10">
        <f>VLOOKUP(Ventas!$D585,Productos!$A$1:$D$16,3,FALSE)*Ventas!F585</f>
        <v>355</v>
      </c>
      <c r="E585" s="10">
        <f t="shared" si="9"/>
        <v>284</v>
      </c>
      <c r="F585" s="9">
        <f>YEAR(Ventas!G585)</f>
        <v>2016</v>
      </c>
      <c r="G585" s="9">
        <f>MONTH(Ventas!G585)</f>
        <v>1</v>
      </c>
      <c r="H585" s="9" t="str">
        <f>VLOOKUP(Ventas!C585,Países!$A$2:$B$186,2,FALSE)</f>
        <v>Europe</v>
      </c>
      <c r="I585" s="9" t="str">
        <f>Ventas!E585</f>
        <v>Retail</v>
      </c>
    </row>
    <row r="586" spans="2:9" x14ac:dyDescent="0.25">
      <c r="B586" s="12">
        <f>Ventas!F586</f>
        <v>19</v>
      </c>
      <c r="C586" s="10">
        <f>VLOOKUP(Ventas!$D586,Productos!$A$1:$D$16,4,FALSE)*Ventas!F586</f>
        <v>57</v>
      </c>
      <c r="D586" s="10">
        <f>VLOOKUP(Ventas!$D586,Productos!$A$1:$D$16,3,FALSE)*Ventas!F586</f>
        <v>28.5</v>
      </c>
      <c r="E586" s="10">
        <f t="shared" si="9"/>
        <v>28.5</v>
      </c>
      <c r="F586" s="9">
        <f>YEAR(Ventas!G586)</f>
        <v>2016</v>
      </c>
      <c r="G586" s="9">
        <f>MONTH(Ventas!G586)</f>
        <v>3</v>
      </c>
      <c r="H586" s="9" t="str">
        <f>VLOOKUP(Ventas!C586,Países!$A$2:$B$186,2,FALSE)</f>
        <v>Australia and Oceania</v>
      </c>
      <c r="I586" s="9" t="str">
        <f>Ventas!E586</f>
        <v>Retail</v>
      </c>
    </row>
    <row r="587" spans="2:9" x14ac:dyDescent="0.25">
      <c r="B587" s="12">
        <f>Ventas!F587</f>
        <v>108</v>
      </c>
      <c r="C587" s="10">
        <f>VLOOKUP(Ventas!$D587,Productos!$A$1:$D$16,4,FALSE)*Ventas!F587</f>
        <v>702</v>
      </c>
      <c r="D587" s="10">
        <f>VLOOKUP(Ventas!$D587,Productos!$A$1:$D$16,3,FALSE)*Ventas!F587</f>
        <v>378</v>
      </c>
      <c r="E587" s="10">
        <f t="shared" si="9"/>
        <v>324</v>
      </c>
      <c r="F587" s="9">
        <f>YEAR(Ventas!G587)</f>
        <v>2016</v>
      </c>
      <c r="G587" s="9">
        <f>MONTH(Ventas!G587)</f>
        <v>1</v>
      </c>
      <c r="H587" s="9" t="str">
        <f>VLOOKUP(Ventas!C587,Países!$A$2:$B$186,2,FALSE)</f>
        <v>Middle East and North Africa</v>
      </c>
      <c r="I587" s="9" t="str">
        <f>Ventas!E587</f>
        <v>Online</v>
      </c>
    </row>
    <row r="588" spans="2:9" x14ac:dyDescent="0.25">
      <c r="B588" s="12">
        <f>Ventas!F588</f>
        <v>62</v>
      </c>
      <c r="C588" s="10">
        <f>VLOOKUP(Ventas!$D588,Productos!$A$1:$D$16,4,FALSE)*Ventas!F588</f>
        <v>619.38</v>
      </c>
      <c r="D588" s="10">
        <f>VLOOKUP(Ventas!$D588,Productos!$A$1:$D$16,3,FALSE)*Ventas!F588</f>
        <v>310</v>
      </c>
      <c r="E588" s="10">
        <f t="shared" si="9"/>
        <v>309.38</v>
      </c>
      <c r="F588" s="9">
        <f>YEAR(Ventas!G588)</f>
        <v>2016</v>
      </c>
      <c r="G588" s="9">
        <f>MONTH(Ventas!G588)</f>
        <v>1</v>
      </c>
      <c r="H588" s="9" t="str">
        <f>VLOOKUP(Ventas!C588,Países!$A$2:$B$186,2,FALSE)</f>
        <v>Australia and Oceania</v>
      </c>
      <c r="I588" s="9" t="str">
        <f>Ventas!E588</f>
        <v>Online</v>
      </c>
    </row>
    <row r="589" spans="2:9" x14ac:dyDescent="0.25">
      <c r="B589" s="12">
        <f>Ventas!F589</f>
        <v>50</v>
      </c>
      <c r="C589" s="10">
        <f>VLOOKUP(Ventas!$D589,Productos!$A$1:$D$16,4,FALSE)*Ventas!F589</f>
        <v>300</v>
      </c>
      <c r="D589" s="10">
        <f>VLOOKUP(Ventas!$D589,Productos!$A$1:$D$16,3,FALSE)*Ventas!F589</f>
        <v>150</v>
      </c>
      <c r="E589" s="10">
        <f t="shared" si="9"/>
        <v>150</v>
      </c>
      <c r="F589" s="9">
        <f>YEAR(Ventas!G589)</f>
        <v>2016</v>
      </c>
      <c r="G589" s="9">
        <f>MONTH(Ventas!G589)</f>
        <v>2</v>
      </c>
      <c r="H589" s="9" t="str">
        <f>VLOOKUP(Ventas!C589,Países!$A$2:$B$186,2,FALSE)</f>
        <v>Middle East and North Africa</v>
      </c>
      <c r="I589" s="9" t="str">
        <f>Ventas!E589</f>
        <v>Online</v>
      </c>
    </row>
    <row r="590" spans="2:9" x14ac:dyDescent="0.25">
      <c r="B590" s="12">
        <f>Ventas!F590</f>
        <v>156</v>
      </c>
      <c r="C590" s="10">
        <f>VLOOKUP(Ventas!$D590,Productos!$A$1:$D$16,4,FALSE)*Ventas!F590</f>
        <v>1404</v>
      </c>
      <c r="D590" s="10">
        <f>VLOOKUP(Ventas!$D590,Productos!$A$1:$D$16,3,FALSE)*Ventas!F590</f>
        <v>936</v>
      </c>
      <c r="E590" s="10">
        <f t="shared" si="9"/>
        <v>468</v>
      </c>
      <c r="F590" s="9">
        <f>YEAR(Ventas!G590)</f>
        <v>2016</v>
      </c>
      <c r="G590" s="9">
        <f>MONTH(Ventas!G590)</f>
        <v>3</v>
      </c>
      <c r="H590" s="9" t="str">
        <f>VLOOKUP(Ventas!C590,Países!$A$2:$B$186,2,FALSE)</f>
        <v>Sub-Saharan Africa</v>
      </c>
      <c r="I590" s="9" t="str">
        <f>Ventas!E590</f>
        <v>Retail</v>
      </c>
    </row>
    <row r="591" spans="2:9" x14ac:dyDescent="0.25">
      <c r="B591" s="12">
        <f>Ventas!F591</f>
        <v>171</v>
      </c>
      <c r="C591" s="10">
        <f>VLOOKUP(Ventas!$D591,Productos!$A$1:$D$16,4,FALSE)*Ventas!F591</f>
        <v>682.29000000000008</v>
      </c>
      <c r="D591" s="10">
        <f>VLOOKUP(Ventas!$D591,Productos!$A$1:$D$16,3,FALSE)*Ventas!F591</f>
        <v>342</v>
      </c>
      <c r="E591" s="10">
        <f t="shared" si="9"/>
        <v>340.29000000000008</v>
      </c>
      <c r="F591" s="9">
        <f>YEAR(Ventas!G591)</f>
        <v>2016</v>
      </c>
      <c r="G591" s="9">
        <f>MONTH(Ventas!G591)</f>
        <v>2</v>
      </c>
      <c r="H591" s="9" t="str">
        <f>VLOOKUP(Ventas!C591,Países!$A$2:$B$186,2,FALSE)</f>
        <v>Central America and the Caribbean</v>
      </c>
      <c r="I591" s="9" t="str">
        <f>Ventas!E591</f>
        <v>Online</v>
      </c>
    </row>
    <row r="592" spans="2:9" x14ac:dyDescent="0.25">
      <c r="B592" s="12">
        <f>Ventas!F592</f>
        <v>164</v>
      </c>
      <c r="C592" s="10">
        <f>VLOOKUP(Ventas!$D592,Productos!$A$1:$D$16,4,FALSE)*Ventas!F592</f>
        <v>1066</v>
      </c>
      <c r="D592" s="10">
        <f>VLOOKUP(Ventas!$D592,Productos!$A$1:$D$16,3,FALSE)*Ventas!F592</f>
        <v>574</v>
      </c>
      <c r="E592" s="10">
        <f t="shared" si="9"/>
        <v>492</v>
      </c>
      <c r="F592" s="9">
        <f>YEAR(Ventas!G592)</f>
        <v>2016</v>
      </c>
      <c r="G592" s="9">
        <f>MONTH(Ventas!G592)</f>
        <v>1</v>
      </c>
      <c r="H592" s="9" t="str">
        <f>VLOOKUP(Ventas!C592,Países!$A$2:$B$186,2,FALSE)</f>
        <v>Europe</v>
      </c>
      <c r="I592" s="9" t="str">
        <f>Ventas!E592</f>
        <v>Online</v>
      </c>
    </row>
    <row r="593" spans="2:9" x14ac:dyDescent="0.25">
      <c r="B593" s="12">
        <f>Ventas!F593</f>
        <v>34</v>
      </c>
      <c r="C593" s="10">
        <f>VLOOKUP(Ventas!$D593,Productos!$A$1:$D$16,4,FALSE)*Ventas!F593</f>
        <v>306</v>
      </c>
      <c r="D593" s="10">
        <f>VLOOKUP(Ventas!$D593,Productos!$A$1:$D$16,3,FALSE)*Ventas!F593</f>
        <v>204</v>
      </c>
      <c r="E593" s="10">
        <f t="shared" si="9"/>
        <v>102</v>
      </c>
      <c r="F593" s="9">
        <f>YEAR(Ventas!G593)</f>
        <v>2016</v>
      </c>
      <c r="G593" s="9">
        <f>MONTH(Ventas!G593)</f>
        <v>3</v>
      </c>
      <c r="H593" s="9" t="str">
        <f>VLOOKUP(Ventas!C593,Países!$A$2:$B$186,2,FALSE)</f>
        <v>Asia</v>
      </c>
      <c r="I593" s="9" t="str">
        <f>Ventas!E593</f>
        <v>Online</v>
      </c>
    </row>
    <row r="594" spans="2:9" x14ac:dyDescent="0.25">
      <c r="B594" s="12">
        <f>Ventas!F594</f>
        <v>189</v>
      </c>
      <c r="C594" s="10">
        <f>VLOOKUP(Ventas!$D594,Productos!$A$1:$D$16,4,FALSE)*Ventas!F594</f>
        <v>567</v>
      </c>
      <c r="D594" s="10">
        <f>VLOOKUP(Ventas!$D594,Productos!$A$1:$D$16,3,FALSE)*Ventas!F594</f>
        <v>283.5</v>
      </c>
      <c r="E594" s="10">
        <f t="shared" si="9"/>
        <v>283.5</v>
      </c>
      <c r="F594" s="9">
        <f>YEAR(Ventas!G594)</f>
        <v>2016</v>
      </c>
      <c r="G594" s="9">
        <f>MONTH(Ventas!G594)</f>
        <v>1</v>
      </c>
      <c r="H594" s="9" t="str">
        <f>VLOOKUP(Ventas!C594,Países!$A$2:$B$186,2,FALSE)</f>
        <v>Sub-Saharan Africa</v>
      </c>
      <c r="I594" s="9" t="str">
        <f>Ventas!E594</f>
        <v>Online</v>
      </c>
    </row>
    <row r="595" spans="2:9" x14ac:dyDescent="0.25">
      <c r="B595" s="12">
        <f>Ventas!F595</f>
        <v>145</v>
      </c>
      <c r="C595" s="10">
        <f>VLOOKUP(Ventas!$D595,Productos!$A$1:$D$16,4,FALSE)*Ventas!F595</f>
        <v>435</v>
      </c>
      <c r="D595" s="10">
        <f>VLOOKUP(Ventas!$D595,Productos!$A$1:$D$16,3,FALSE)*Ventas!F595</f>
        <v>217.5</v>
      </c>
      <c r="E595" s="10">
        <f t="shared" si="9"/>
        <v>217.5</v>
      </c>
      <c r="F595" s="9">
        <f>YEAR(Ventas!G595)</f>
        <v>2016</v>
      </c>
      <c r="G595" s="9">
        <f>MONTH(Ventas!G595)</f>
        <v>1</v>
      </c>
      <c r="H595" s="9" t="str">
        <f>VLOOKUP(Ventas!C595,Países!$A$2:$B$186,2,FALSE)</f>
        <v>Sub-Saharan Africa</v>
      </c>
      <c r="I595" s="9" t="str">
        <f>Ventas!E595</f>
        <v>Retail</v>
      </c>
    </row>
    <row r="596" spans="2:9" x14ac:dyDescent="0.25">
      <c r="B596" s="12">
        <f>Ventas!F596</f>
        <v>92</v>
      </c>
      <c r="C596" s="10">
        <f>VLOOKUP(Ventas!$D596,Productos!$A$1:$D$16,4,FALSE)*Ventas!F596</f>
        <v>919.08</v>
      </c>
      <c r="D596" s="10">
        <f>VLOOKUP(Ventas!$D596,Productos!$A$1:$D$16,3,FALSE)*Ventas!F596</f>
        <v>460</v>
      </c>
      <c r="E596" s="10">
        <f t="shared" si="9"/>
        <v>459.08000000000004</v>
      </c>
      <c r="F596" s="9">
        <f>YEAR(Ventas!G596)</f>
        <v>2016</v>
      </c>
      <c r="G596" s="9">
        <f>MONTH(Ventas!G596)</f>
        <v>1</v>
      </c>
      <c r="H596" s="9" t="str">
        <f>VLOOKUP(Ventas!C596,Países!$A$2:$B$186,2,FALSE)</f>
        <v>Europe</v>
      </c>
      <c r="I596" s="9" t="str">
        <f>Ventas!E596</f>
        <v>Online</v>
      </c>
    </row>
    <row r="597" spans="2:9" x14ac:dyDescent="0.25">
      <c r="B597" s="12">
        <f>Ventas!F597</f>
        <v>45</v>
      </c>
      <c r="C597" s="10">
        <f>VLOOKUP(Ventas!$D597,Productos!$A$1:$D$16,4,FALSE)*Ventas!F597</f>
        <v>135</v>
      </c>
      <c r="D597" s="10">
        <f>VLOOKUP(Ventas!$D597,Productos!$A$1:$D$16,3,FALSE)*Ventas!F597</f>
        <v>67.5</v>
      </c>
      <c r="E597" s="10">
        <f t="shared" si="9"/>
        <v>67.5</v>
      </c>
      <c r="F597" s="9">
        <f>YEAR(Ventas!G597)</f>
        <v>2015</v>
      </c>
      <c r="G597" s="9">
        <f>MONTH(Ventas!G597)</f>
        <v>12</v>
      </c>
      <c r="H597" s="9" t="str">
        <f>VLOOKUP(Ventas!C597,Países!$A$2:$B$186,2,FALSE)</f>
        <v>Asia</v>
      </c>
      <c r="I597" s="9" t="str">
        <f>Ventas!E597</f>
        <v>Retail</v>
      </c>
    </row>
    <row r="598" spans="2:9" x14ac:dyDescent="0.25">
      <c r="B598" s="12">
        <f>Ventas!F598</f>
        <v>81</v>
      </c>
      <c r="C598" s="10">
        <f>VLOOKUP(Ventas!$D598,Productos!$A$1:$D$16,4,FALSE)*Ventas!F598</f>
        <v>729</v>
      </c>
      <c r="D598" s="10">
        <f>VLOOKUP(Ventas!$D598,Productos!$A$1:$D$16,3,FALSE)*Ventas!F598</f>
        <v>486</v>
      </c>
      <c r="E598" s="10">
        <f t="shared" si="9"/>
        <v>243</v>
      </c>
      <c r="F598" s="9">
        <f>YEAR(Ventas!G598)</f>
        <v>2016</v>
      </c>
      <c r="G598" s="9">
        <f>MONTH(Ventas!G598)</f>
        <v>1</v>
      </c>
      <c r="H598" s="9" t="str">
        <f>VLOOKUP(Ventas!C598,Países!$A$2:$B$186,2,FALSE)</f>
        <v>Sub-Saharan Africa</v>
      </c>
      <c r="I598" s="9" t="str">
        <f>Ventas!E598</f>
        <v>Retail</v>
      </c>
    </row>
    <row r="599" spans="2:9" x14ac:dyDescent="0.25">
      <c r="B599" s="12">
        <f>Ventas!F599</f>
        <v>185</v>
      </c>
      <c r="C599" s="10">
        <f>VLOOKUP(Ventas!$D599,Productos!$A$1:$D$16,4,FALSE)*Ventas!F599</f>
        <v>1202.5</v>
      </c>
      <c r="D599" s="10">
        <f>VLOOKUP(Ventas!$D599,Productos!$A$1:$D$16,3,FALSE)*Ventas!F599</f>
        <v>647.5</v>
      </c>
      <c r="E599" s="10">
        <f t="shared" si="9"/>
        <v>555</v>
      </c>
      <c r="F599" s="9">
        <f>YEAR(Ventas!G599)</f>
        <v>2016</v>
      </c>
      <c r="G599" s="9">
        <f>MONTH(Ventas!G599)</f>
        <v>2</v>
      </c>
      <c r="H599" s="9" t="str">
        <f>VLOOKUP(Ventas!C599,Países!$A$2:$B$186,2,FALSE)</f>
        <v>Sub-Saharan Africa</v>
      </c>
      <c r="I599" s="9" t="str">
        <f>Ventas!E599</f>
        <v>Direct</v>
      </c>
    </row>
    <row r="600" spans="2:9" x14ac:dyDescent="0.25">
      <c r="B600" s="12">
        <f>Ventas!F600</f>
        <v>161</v>
      </c>
      <c r="C600" s="10">
        <f>VLOOKUP(Ventas!$D600,Productos!$A$1:$D$16,4,FALSE)*Ventas!F600</f>
        <v>724.5</v>
      </c>
      <c r="D600" s="10">
        <f>VLOOKUP(Ventas!$D600,Productos!$A$1:$D$16,3,FALSE)*Ventas!F600</f>
        <v>402.5</v>
      </c>
      <c r="E600" s="10">
        <f t="shared" si="9"/>
        <v>322</v>
      </c>
      <c r="F600" s="9">
        <f>YEAR(Ventas!G600)</f>
        <v>2016</v>
      </c>
      <c r="G600" s="9">
        <f>MONTH(Ventas!G600)</f>
        <v>1</v>
      </c>
      <c r="H600" s="9" t="str">
        <f>VLOOKUP(Ventas!C600,Países!$A$2:$B$186,2,FALSE)</f>
        <v>Sub-Saharan Africa</v>
      </c>
      <c r="I600" s="9" t="str">
        <f>Ventas!E600</f>
        <v>Retail</v>
      </c>
    </row>
    <row r="601" spans="2:9" x14ac:dyDescent="0.25">
      <c r="B601" s="12">
        <f>Ventas!F601</f>
        <v>12</v>
      </c>
      <c r="C601" s="10">
        <f>VLOOKUP(Ventas!$D601,Productos!$A$1:$D$16,4,FALSE)*Ventas!F601</f>
        <v>72</v>
      </c>
      <c r="D601" s="10">
        <f>VLOOKUP(Ventas!$D601,Productos!$A$1:$D$16,3,FALSE)*Ventas!F601</f>
        <v>36</v>
      </c>
      <c r="E601" s="10">
        <f t="shared" si="9"/>
        <v>36</v>
      </c>
      <c r="F601" s="9">
        <f>YEAR(Ventas!G601)</f>
        <v>2015</v>
      </c>
      <c r="G601" s="9">
        <f>MONTH(Ventas!G601)</f>
        <v>12</v>
      </c>
      <c r="H601" s="9" t="str">
        <f>VLOOKUP(Ventas!C601,Países!$A$2:$B$186,2,FALSE)</f>
        <v>Sub-Saharan Africa</v>
      </c>
      <c r="I601" s="9" t="str">
        <f>Ventas!E601</f>
        <v>Retail</v>
      </c>
    </row>
    <row r="602" spans="2:9" x14ac:dyDescent="0.25">
      <c r="B602" s="12">
        <f>Ventas!F602</f>
        <v>25</v>
      </c>
      <c r="C602" s="10">
        <f>VLOOKUP(Ventas!$D602,Productos!$A$1:$D$16,4,FALSE)*Ventas!F602</f>
        <v>249.75</v>
      </c>
      <c r="D602" s="10">
        <f>VLOOKUP(Ventas!$D602,Productos!$A$1:$D$16,3,FALSE)*Ventas!F602</f>
        <v>125</v>
      </c>
      <c r="E602" s="10">
        <f t="shared" si="9"/>
        <v>124.75</v>
      </c>
      <c r="F602" s="9">
        <f>YEAR(Ventas!G602)</f>
        <v>2015</v>
      </c>
      <c r="G602" s="9">
        <f>MONTH(Ventas!G602)</f>
        <v>11</v>
      </c>
      <c r="H602" s="9" t="str">
        <f>VLOOKUP(Ventas!C602,Países!$A$2:$B$186,2,FALSE)</f>
        <v>Australia and Oceania</v>
      </c>
      <c r="I602" s="9" t="str">
        <f>Ventas!E602</f>
        <v>Direct</v>
      </c>
    </row>
    <row r="603" spans="2:9" x14ac:dyDescent="0.25">
      <c r="B603" s="12">
        <f>Ventas!F603</f>
        <v>184</v>
      </c>
      <c r="C603" s="10">
        <f>VLOOKUP(Ventas!$D603,Productos!$A$1:$D$16,4,FALSE)*Ventas!F603</f>
        <v>552</v>
      </c>
      <c r="D603" s="10">
        <f>VLOOKUP(Ventas!$D603,Productos!$A$1:$D$16,3,FALSE)*Ventas!F603</f>
        <v>276</v>
      </c>
      <c r="E603" s="10">
        <f t="shared" si="9"/>
        <v>276</v>
      </c>
      <c r="F603" s="9">
        <f>YEAR(Ventas!G603)</f>
        <v>2015</v>
      </c>
      <c r="G603" s="9">
        <f>MONTH(Ventas!G603)</f>
        <v>12</v>
      </c>
      <c r="H603" s="9" t="str">
        <f>VLOOKUP(Ventas!C603,Países!$A$2:$B$186,2,FALSE)</f>
        <v>Asia</v>
      </c>
      <c r="I603" s="9" t="str">
        <f>Ventas!E603</f>
        <v>Retail</v>
      </c>
    </row>
    <row r="604" spans="2:9" x14ac:dyDescent="0.25">
      <c r="B604" s="12">
        <f>Ventas!F604</f>
        <v>9</v>
      </c>
      <c r="C604" s="10">
        <f>VLOOKUP(Ventas!$D604,Productos!$A$1:$D$16,4,FALSE)*Ventas!F604</f>
        <v>58.5</v>
      </c>
      <c r="D604" s="10">
        <f>VLOOKUP(Ventas!$D604,Productos!$A$1:$D$16,3,FALSE)*Ventas!F604</f>
        <v>31.5</v>
      </c>
      <c r="E604" s="10">
        <f t="shared" si="9"/>
        <v>27</v>
      </c>
      <c r="F604" s="9">
        <f>YEAR(Ventas!G604)</f>
        <v>2015</v>
      </c>
      <c r="G604" s="9">
        <f>MONTH(Ventas!G604)</f>
        <v>9</v>
      </c>
      <c r="H604" s="9" t="str">
        <f>VLOOKUP(Ventas!C604,Países!$A$2:$B$186,2,FALSE)</f>
        <v>Europe</v>
      </c>
      <c r="I604" s="9" t="str">
        <f>Ventas!E604</f>
        <v>Online</v>
      </c>
    </row>
    <row r="605" spans="2:9" x14ac:dyDescent="0.25">
      <c r="B605" s="12">
        <f>Ventas!F605</f>
        <v>37</v>
      </c>
      <c r="C605" s="10">
        <f>VLOOKUP(Ventas!$D605,Productos!$A$1:$D$16,4,FALSE)*Ventas!F605</f>
        <v>240.5</v>
      </c>
      <c r="D605" s="10">
        <f>VLOOKUP(Ventas!$D605,Productos!$A$1:$D$16,3,FALSE)*Ventas!F605</f>
        <v>129.5</v>
      </c>
      <c r="E605" s="10">
        <f t="shared" si="9"/>
        <v>111</v>
      </c>
      <c r="F605" s="9">
        <f>YEAR(Ventas!G605)</f>
        <v>2015</v>
      </c>
      <c r="G605" s="9">
        <f>MONTH(Ventas!G605)</f>
        <v>12</v>
      </c>
      <c r="H605" s="9" t="str">
        <f>VLOOKUP(Ventas!C605,Países!$A$2:$B$186,2,FALSE)</f>
        <v>Sub-Saharan Africa</v>
      </c>
      <c r="I605" s="9" t="str">
        <f>Ventas!E605</f>
        <v>Online</v>
      </c>
    </row>
    <row r="606" spans="2:9" x14ac:dyDescent="0.25">
      <c r="B606" s="12">
        <f>Ventas!F606</f>
        <v>69</v>
      </c>
      <c r="C606" s="10">
        <f>VLOOKUP(Ventas!$D606,Productos!$A$1:$D$16,4,FALSE)*Ventas!F606</f>
        <v>275.31</v>
      </c>
      <c r="D606" s="10">
        <f>VLOOKUP(Ventas!$D606,Productos!$A$1:$D$16,3,FALSE)*Ventas!F606</f>
        <v>138</v>
      </c>
      <c r="E606" s="10">
        <f t="shared" si="9"/>
        <v>137.31</v>
      </c>
      <c r="F606" s="9">
        <f>YEAR(Ventas!G606)</f>
        <v>2015</v>
      </c>
      <c r="G606" s="9">
        <f>MONTH(Ventas!G606)</f>
        <v>10</v>
      </c>
      <c r="H606" s="9" t="str">
        <f>VLOOKUP(Ventas!C606,Países!$A$2:$B$186,2,FALSE)</f>
        <v>Sub-Saharan Africa</v>
      </c>
      <c r="I606" s="9" t="str">
        <f>Ventas!E606</f>
        <v>Retail</v>
      </c>
    </row>
    <row r="607" spans="2:9" x14ac:dyDescent="0.25">
      <c r="B607" s="12">
        <f>Ventas!F607</f>
        <v>132</v>
      </c>
      <c r="C607" s="10">
        <f>VLOOKUP(Ventas!$D607,Productos!$A$1:$D$16,4,FALSE)*Ventas!F607</f>
        <v>594</v>
      </c>
      <c r="D607" s="10">
        <f>VLOOKUP(Ventas!$D607,Productos!$A$1:$D$16,3,FALSE)*Ventas!F607</f>
        <v>330</v>
      </c>
      <c r="E607" s="10">
        <f t="shared" si="9"/>
        <v>264</v>
      </c>
      <c r="F607" s="9">
        <f>YEAR(Ventas!G607)</f>
        <v>2015</v>
      </c>
      <c r="G607" s="9">
        <f>MONTH(Ventas!G607)</f>
        <v>11</v>
      </c>
      <c r="H607" s="9" t="str">
        <f>VLOOKUP(Ventas!C607,Países!$A$2:$B$186,2,FALSE)</f>
        <v>Australia and Oceania</v>
      </c>
      <c r="I607" s="9" t="str">
        <f>Ventas!E607</f>
        <v>Online</v>
      </c>
    </row>
    <row r="608" spans="2:9" x14ac:dyDescent="0.25">
      <c r="B608" s="12">
        <f>Ventas!F608</f>
        <v>141</v>
      </c>
      <c r="C608" s="10">
        <f>VLOOKUP(Ventas!$D608,Productos!$A$1:$D$16,4,FALSE)*Ventas!F608</f>
        <v>634.5</v>
      </c>
      <c r="D608" s="10">
        <f>VLOOKUP(Ventas!$D608,Productos!$A$1:$D$16,3,FALSE)*Ventas!F608</f>
        <v>352.5</v>
      </c>
      <c r="E608" s="10">
        <f t="shared" si="9"/>
        <v>282</v>
      </c>
      <c r="F608" s="9">
        <f>YEAR(Ventas!G608)</f>
        <v>2015</v>
      </c>
      <c r="G608" s="9">
        <f>MONTH(Ventas!G608)</f>
        <v>9</v>
      </c>
      <c r="H608" s="9" t="str">
        <f>VLOOKUP(Ventas!C608,Países!$A$2:$B$186,2,FALSE)</f>
        <v>Europe</v>
      </c>
      <c r="I608" s="9" t="str">
        <f>Ventas!E608</f>
        <v>Online</v>
      </c>
    </row>
    <row r="609" spans="2:9" x14ac:dyDescent="0.25">
      <c r="B609" s="12">
        <f>Ventas!F609</f>
        <v>44</v>
      </c>
      <c r="C609" s="10">
        <f>VLOOKUP(Ventas!$D609,Productos!$A$1:$D$16,4,FALSE)*Ventas!F609</f>
        <v>396</v>
      </c>
      <c r="D609" s="10">
        <f>VLOOKUP(Ventas!$D609,Productos!$A$1:$D$16,3,FALSE)*Ventas!F609</f>
        <v>264</v>
      </c>
      <c r="E609" s="10">
        <f t="shared" si="9"/>
        <v>132</v>
      </c>
      <c r="F609" s="9">
        <f>YEAR(Ventas!G609)</f>
        <v>2015</v>
      </c>
      <c r="G609" s="9">
        <f>MONTH(Ventas!G609)</f>
        <v>12</v>
      </c>
      <c r="H609" s="9" t="str">
        <f>VLOOKUP(Ventas!C609,Países!$A$2:$B$186,2,FALSE)</f>
        <v>Asia</v>
      </c>
      <c r="I609" s="9" t="str">
        <f>Ventas!E609</f>
        <v>Online</v>
      </c>
    </row>
    <row r="610" spans="2:9" x14ac:dyDescent="0.25">
      <c r="B610" s="12">
        <f>Ventas!F610</f>
        <v>210</v>
      </c>
      <c r="C610" s="10">
        <f>VLOOKUP(Ventas!$D610,Productos!$A$1:$D$16,4,FALSE)*Ventas!F610</f>
        <v>837.90000000000009</v>
      </c>
      <c r="D610" s="10">
        <f>VLOOKUP(Ventas!$D610,Productos!$A$1:$D$16,3,FALSE)*Ventas!F610</f>
        <v>420</v>
      </c>
      <c r="E610" s="10">
        <f t="shared" si="9"/>
        <v>417.90000000000009</v>
      </c>
      <c r="F610" s="9">
        <f>YEAR(Ventas!G610)</f>
        <v>2015</v>
      </c>
      <c r="G610" s="9">
        <f>MONTH(Ventas!G610)</f>
        <v>12</v>
      </c>
      <c r="H610" s="9" t="str">
        <f>VLOOKUP(Ventas!C610,Países!$A$2:$B$186,2,FALSE)</f>
        <v>Asia</v>
      </c>
      <c r="I610" s="9" t="str">
        <f>Ventas!E610</f>
        <v>Online</v>
      </c>
    </row>
    <row r="611" spans="2:9" x14ac:dyDescent="0.25">
      <c r="B611" s="12">
        <f>Ventas!F611</f>
        <v>152</v>
      </c>
      <c r="C611" s="10">
        <f>VLOOKUP(Ventas!$D611,Productos!$A$1:$D$16,4,FALSE)*Ventas!F611</f>
        <v>606.48</v>
      </c>
      <c r="D611" s="10">
        <f>VLOOKUP(Ventas!$D611,Productos!$A$1:$D$16,3,FALSE)*Ventas!F611</f>
        <v>304</v>
      </c>
      <c r="E611" s="10">
        <f t="shared" si="9"/>
        <v>302.48</v>
      </c>
      <c r="F611" s="9">
        <f>YEAR(Ventas!G611)</f>
        <v>2015</v>
      </c>
      <c r="G611" s="9">
        <f>MONTH(Ventas!G611)</f>
        <v>9</v>
      </c>
      <c r="H611" s="9" t="str">
        <f>VLOOKUP(Ventas!C611,Países!$A$2:$B$186,2,FALSE)</f>
        <v>Australia and Oceania</v>
      </c>
      <c r="I611" s="9" t="str">
        <f>Ventas!E611</f>
        <v>Retail</v>
      </c>
    </row>
    <row r="612" spans="2:9" x14ac:dyDescent="0.25">
      <c r="B612" s="12">
        <f>Ventas!F612</f>
        <v>67</v>
      </c>
      <c r="C612" s="10">
        <f>VLOOKUP(Ventas!$D612,Productos!$A$1:$D$16,4,FALSE)*Ventas!F612</f>
        <v>971.5</v>
      </c>
      <c r="D612" s="10">
        <f>VLOOKUP(Ventas!$D612,Productos!$A$1:$D$16,3,FALSE)*Ventas!F612</f>
        <v>536</v>
      </c>
      <c r="E612" s="10">
        <f t="shared" si="9"/>
        <v>435.5</v>
      </c>
      <c r="F612" s="9">
        <f>YEAR(Ventas!G612)</f>
        <v>2015</v>
      </c>
      <c r="G612" s="9">
        <f>MONTH(Ventas!G612)</f>
        <v>9</v>
      </c>
      <c r="H612" s="9" t="str">
        <f>VLOOKUP(Ventas!C612,Países!$A$2:$B$186,2,FALSE)</f>
        <v>Sub-Saharan Africa</v>
      </c>
      <c r="I612" s="9" t="str">
        <f>Ventas!E612</f>
        <v>Retail</v>
      </c>
    </row>
    <row r="613" spans="2:9" x14ac:dyDescent="0.25">
      <c r="B613" s="12">
        <f>Ventas!F613</f>
        <v>41</v>
      </c>
      <c r="C613" s="10">
        <f>VLOOKUP(Ventas!$D613,Productos!$A$1:$D$16,4,FALSE)*Ventas!F613</f>
        <v>163.59</v>
      </c>
      <c r="D613" s="10">
        <f>VLOOKUP(Ventas!$D613,Productos!$A$1:$D$16,3,FALSE)*Ventas!F613</f>
        <v>82</v>
      </c>
      <c r="E613" s="10">
        <f t="shared" si="9"/>
        <v>81.59</v>
      </c>
      <c r="F613" s="9">
        <f>YEAR(Ventas!G613)</f>
        <v>2015</v>
      </c>
      <c r="G613" s="9">
        <f>MONTH(Ventas!G613)</f>
        <v>12</v>
      </c>
      <c r="H613" s="9" t="str">
        <f>VLOOKUP(Ventas!C613,Países!$A$2:$B$186,2,FALSE)</f>
        <v>Australia and Oceania</v>
      </c>
      <c r="I613" s="9" t="str">
        <f>Ventas!E613</f>
        <v>Online</v>
      </c>
    </row>
    <row r="614" spans="2:9" x14ac:dyDescent="0.25">
      <c r="B614" s="12">
        <f>Ventas!F614</f>
        <v>61</v>
      </c>
      <c r="C614" s="10">
        <f>VLOOKUP(Ventas!$D614,Productos!$A$1:$D$16,4,FALSE)*Ventas!F614</f>
        <v>122</v>
      </c>
      <c r="D614" s="10">
        <f>VLOOKUP(Ventas!$D614,Productos!$A$1:$D$16,3,FALSE)*Ventas!F614</f>
        <v>61</v>
      </c>
      <c r="E614" s="10">
        <f t="shared" si="9"/>
        <v>61</v>
      </c>
      <c r="F614" s="9">
        <f>YEAR(Ventas!G614)</f>
        <v>2015</v>
      </c>
      <c r="G614" s="9">
        <f>MONTH(Ventas!G614)</f>
        <v>11</v>
      </c>
      <c r="H614" s="9" t="str">
        <f>VLOOKUP(Ventas!C614,Países!$A$2:$B$186,2,FALSE)</f>
        <v>Europe</v>
      </c>
      <c r="I614" s="9" t="str">
        <f>Ventas!E614</f>
        <v>Retail</v>
      </c>
    </row>
    <row r="615" spans="2:9" x14ac:dyDescent="0.25">
      <c r="B615" s="12">
        <f>Ventas!F615</f>
        <v>92</v>
      </c>
      <c r="C615" s="10">
        <f>VLOOKUP(Ventas!$D615,Productos!$A$1:$D$16,4,FALSE)*Ventas!F615</f>
        <v>276</v>
      </c>
      <c r="D615" s="10">
        <f>VLOOKUP(Ventas!$D615,Productos!$A$1:$D$16,3,FALSE)*Ventas!F615</f>
        <v>138</v>
      </c>
      <c r="E615" s="10">
        <f t="shared" si="9"/>
        <v>138</v>
      </c>
      <c r="F615" s="9">
        <f>YEAR(Ventas!G615)</f>
        <v>2015</v>
      </c>
      <c r="G615" s="9">
        <f>MONTH(Ventas!G615)</f>
        <v>9</v>
      </c>
      <c r="H615" s="9" t="str">
        <f>VLOOKUP(Ventas!C615,Países!$A$2:$B$186,2,FALSE)</f>
        <v>Central America and the Caribbean</v>
      </c>
      <c r="I615" s="9" t="str">
        <f>Ventas!E615</f>
        <v>Direct</v>
      </c>
    </row>
    <row r="616" spans="2:9" x14ac:dyDescent="0.25">
      <c r="B616" s="12">
        <f>Ventas!F616</f>
        <v>119</v>
      </c>
      <c r="C616" s="10">
        <f>VLOOKUP(Ventas!$D616,Productos!$A$1:$D$16,4,FALSE)*Ventas!F616</f>
        <v>535.5</v>
      </c>
      <c r="D616" s="10">
        <f>VLOOKUP(Ventas!$D616,Productos!$A$1:$D$16,3,FALSE)*Ventas!F616</f>
        <v>297.5</v>
      </c>
      <c r="E616" s="10">
        <f t="shared" si="9"/>
        <v>238</v>
      </c>
      <c r="F616" s="9">
        <f>YEAR(Ventas!G616)</f>
        <v>2015</v>
      </c>
      <c r="G616" s="9">
        <f>MONTH(Ventas!G616)</f>
        <v>10</v>
      </c>
      <c r="H616" s="9" t="str">
        <f>VLOOKUP(Ventas!C616,Países!$A$2:$B$186,2,FALSE)</f>
        <v>Sub-Saharan Africa</v>
      </c>
      <c r="I616" s="9" t="str">
        <f>Ventas!E616</f>
        <v>Online</v>
      </c>
    </row>
    <row r="617" spans="2:9" x14ac:dyDescent="0.25">
      <c r="B617" s="12">
        <f>Ventas!F617</f>
        <v>119</v>
      </c>
      <c r="C617" s="10">
        <f>VLOOKUP(Ventas!$D617,Productos!$A$1:$D$16,4,FALSE)*Ventas!F617</f>
        <v>1071</v>
      </c>
      <c r="D617" s="10">
        <f>VLOOKUP(Ventas!$D617,Productos!$A$1:$D$16,3,FALSE)*Ventas!F617</f>
        <v>714</v>
      </c>
      <c r="E617" s="10">
        <f t="shared" si="9"/>
        <v>357</v>
      </c>
      <c r="F617" s="9">
        <f>YEAR(Ventas!G617)</f>
        <v>2015</v>
      </c>
      <c r="G617" s="9">
        <f>MONTH(Ventas!G617)</f>
        <v>11</v>
      </c>
      <c r="H617" s="9" t="str">
        <f>VLOOKUP(Ventas!C617,Países!$A$2:$B$186,2,FALSE)</f>
        <v>Middle East and North Africa</v>
      </c>
      <c r="I617" s="9" t="str">
        <f>Ventas!E617</f>
        <v>Online</v>
      </c>
    </row>
    <row r="618" spans="2:9" x14ac:dyDescent="0.25">
      <c r="B618" s="12">
        <f>Ventas!F618</f>
        <v>66</v>
      </c>
      <c r="C618" s="10">
        <f>VLOOKUP(Ventas!$D618,Productos!$A$1:$D$16,4,FALSE)*Ventas!F618</f>
        <v>396</v>
      </c>
      <c r="D618" s="10">
        <f>VLOOKUP(Ventas!$D618,Productos!$A$1:$D$16,3,FALSE)*Ventas!F618</f>
        <v>198</v>
      </c>
      <c r="E618" s="10">
        <f t="shared" si="9"/>
        <v>198</v>
      </c>
      <c r="F618" s="9">
        <f>YEAR(Ventas!G618)</f>
        <v>2015</v>
      </c>
      <c r="G618" s="9">
        <f>MONTH(Ventas!G618)</f>
        <v>11</v>
      </c>
      <c r="H618" s="9" t="str">
        <f>VLOOKUP(Ventas!C618,Países!$A$2:$B$186,2,FALSE)</f>
        <v>Europe</v>
      </c>
      <c r="I618" s="9" t="str">
        <f>Ventas!E618</f>
        <v>Direct</v>
      </c>
    </row>
    <row r="619" spans="2:9" x14ac:dyDescent="0.25">
      <c r="B619" s="12">
        <f>Ventas!F619</f>
        <v>9</v>
      </c>
      <c r="C619" s="10">
        <f>VLOOKUP(Ventas!$D619,Productos!$A$1:$D$16,4,FALSE)*Ventas!F619</f>
        <v>27</v>
      </c>
      <c r="D619" s="10">
        <f>VLOOKUP(Ventas!$D619,Productos!$A$1:$D$16,3,FALSE)*Ventas!F619</f>
        <v>13.5</v>
      </c>
      <c r="E619" s="10">
        <f t="shared" si="9"/>
        <v>13.5</v>
      </c>
      <c r="F619" s="9">
        <f>YEAR(Ventas!G619)</f>
        <v>2015</v>
      </c>
      <c r="G619" s="9">
        <f>MONTH(Ventas!G619)</f>
        <v>9</v>
      </c>
      <c r="H619" s="9" t="str">
        <f>VLOOKUP(Ventas!C619,Países!$A$2:$B$186,2,FALSE)</f>
        <v>Europe</v>
      </c>
      <c r="I619" s="9" t="str">
        <f>Ventas!E619</f>
        <v>Retail</v>
      </c>
    </row>
    <row r="620" spans="2:9" x14ac:dyDescent="0.25">
      <c r="B620" s="12">
        <f>Ventas!F620</f>
        <v>96</v>
      </c>
      <c r="C620" s="10">
        <f>VLOOKUP(Ventas!$D620,Productos!$A$1:$D$16,4,FALSE)*Ventas!F620</f>
        <v>432</v>
      </c>
      <c r="D620" s="10">
        <f>VLOOKUP(Ventas!$D620,Productos!$A$1:$D$16,3,FALSE)*Ventas!F620</f>
        <v>240</v>
      </c>
      <c r="E620" s="10">
        <f t="shared" si="9"/>
        <v>192</v>
      </c>
      <c r="F620" s="9">
        <f>YEAR(Ventas!G620)</f>
        <v>2015</v>
      </c>
      <c r="G620" s="9">
        <f>MONTH(Ventas!G620)</f>
        <v>9</v>
      </c>
      <c r="H620" s="9" t="str">
        <f>VLOOKUP(Ventas!C620,Países!$A$2:$B$186,2,FALSE)</f>
        <v>Middle East and North Africa</v>
      </c>
      <c r="I620" s="9" t="str">
        <f>Ventas!E620</f>
        <v>Online</v>
      </c>
    </row>
    <row r="621" spans="2:9" x14ac:dyDescent="0.25">
      <c r="B621" s="12">
        <f>Ventas!F621</f>
        <v>104</v>
      </c>
      <c r="C621" s="10">
        <f>VLOOKUP(Ventas!$D621,Productos!$A$1:$D$16,4,FALSE)*Ventas!F621</f>
        <v>414.96000000000004</v>
      </c>
      <c r="D621" s="10">
        <f>VLOOKUP(Ventas!$D621,Productos!$A$1:$D$16,3,FALSE)*Ventas!F621</f>
        <v>208</v>
      </c>
      <c r="E621" s="10">
        <f t="shared" si="9"/>
        <v>206.96000000000004</v>
      </c>
      <c r="F621" s="9">
        <f>YEAR(Ventas!G621)</f>
        <v>2015</v>
      </c>
      <c r="G621" s="9">
        <f>MONTH(Ventas!G621)</f>
        <v>12</v>
      </c>
      <c r="H621" s="9" t="str">
        <f>VLOOKUP(Ventas!C621,Países!$A$2:$B$186,2,FALSE)</f>
        <v>Sub-Saharan Africa</v>
      </c>
      <c r="I621" s="9" t="str">
        <f>Ventas!E621</f>
        <v>Online</v>
      </c>
    </row>
    <row r="622" spans="2:9" x14ac:dyDescent="0.25">
      <c r="B622" s="12">
        <f>Ventas!F622</f>
        <v>180</v>
      </c>
      <c r="C622" s="10">
        <f>VLOOKUP(Ventas!$D622,Productos!$A$1:$D$16,4,FALSE)*Ventas!F622</f>
        <v>360</v>
      </c>
      <c r="D622" s="10">
        <f>VLOOKUP(Ventas!$D622,Productos!$A$1:$D$16,3,FALSE)*Ventas!F622</f>
        <v>180</v>
      </c>
      <c r="E622" s="10">
        <f t="shared" si="9"/>
        <v>180</v>
      </c>
      <c r="F622" s="9">
        <f>YEAR(Ventas!G622)</f>
        <v>2015</v>
      </c>
      <c r="G622" s="9">
        <f>MONTH(Ventas!G622)</f>
        <v>9</v>
      </c>
      <c r="H622" s="9" t="str">
        <f>VLOOKUP(Ventas!C622,Países!$A$2:$B$186,2,FALSE)</f>
        <v>Middle East and North Africa</v>
      </c>
      <c r="I622" s="9" t="str">
        <f>Ventas!E622</f>
        <v>Online</v>
      </c>
    </row>
    <row r="623" spans="2:9" x14ac:dyDescent="0.25">
      <c r="B623" s="12">
        <f>Ventas!F623</f>
        <v>7</v>
      </c>
      <c r="C623" s="10">
        <f>VLOOKUP(Ventas!$D623,Productos!$A$1:$D$16,4,FALSE)*Ventas!F623</f>
        <v>31.5</v>
      </c>
      <c r="D623" s="10">
        <f>VLOOKUP(Ventas!$D623,Productos!$A$1:$D$16,3,FALSE)*Ventas!F623</f>
        <v>17.5</v>
      </c>
      <c r="E623" s="10">
        <f t="shared" si="9"/>
        <v>14</v>
      </c>
      <c r="F623" s="9">
        <f>YEAR(Ventas!G623)</f>
        <v>2015</v>
      </c>
      <c r="G623" s="9">
        <f>MONTH(Ventas!G623)</f>
        <v>10</v>
      </c>
      <c r="H623" s="9" t="str">
        <f>VLOOKUP(Ventas!C623,Países!$A$2:$B$186,2,FALSE)</f>
        <v>Sub-Saharan Africa</v>
      </c>
      <c r="I623" s="9" t="str">
        <f>Ventas!E623</f>
        <v>Online</v>
      </c>
    </row>
    <row r="624" spans="2:9" x14ac:dyDescent="0.25">
      <c r="B624" s="12">
        <f>Ventas!F624</f>
        <v>109</v>
      </c>
      <c r="C624" s="10">
        <f>VLOOKUP(Ventas!$D624,Productos!$A$1:$D$16,4,FALSE)*Ventas!F624</f>
        <v>761.91</v>
      </c>
      <c r="D624" s="10">
        <f>VLOOKUP(Ventas!$D624,Productos!$A$1:$D$16,3,FALSE)*Ventas!F624</f>
        <v>381.5</v>
      </c>
      <c r="E624" s="10">
        <f t="shared" si="9"/>
        <v>380.40999999999997</v>
      </c>
      <c r="F624" s="9">
        <f>YEAR(Ventas!G624)</f>
        <v>2015</v>
      </c>
      <c r="G624" s="9">
        <f>MONTH(Ventas!G624)</f>
        <v>11</v>
      </c>
      <c r="H624" s="9" t="str">
        <f>VLOOKUP(Ventas!C624,Países!$A$2:$B$186,2,FALSE)</f>
        <v>Sub-Saharan Africa</v>
      </c>
      <c r="I624" s="9" t="str">
        <f>Ventas!E624</f>
        <v>Direct</v>
      </c>
    </row>
    <row r="625" spans="2:9" x14ac:dyDescent="0.25">
      <c r="B625" s="12">
        <f>Ventas!F625</f>
        <v>146</v>
      </c>
      <c r="C625" s="10">
        <f>VLOOKUP(Ventas!$D625,Productos!$A$1:$D$16,4,FALSE)*Ventas!F625</f>
        <v>292</v>
      </c>
      <c r="D625" s="10">
        <f>VLOOKUP(Ventas!$D625,Productos!$A$1:$D$16,3,FALSE)*Ventas!F625</f>
        <v>146</v>
      </c>
      <c r="E625" s="10">
        <f t="shared" si="9"/>
        <v>146</v>
      </c>
      <c r="F625" s="9">
        <f>YEAR(Ventas!G625)</f>
        <v>2015</v>
      </c>
      <c r="G625" s="9">
        <f>MONTH(Ventas!G625)</f>
        <v>9</v>
      </c>
      <c r="H625" s="9" t="str">
        <f>VLOOKUP(Ventas!C625,Países!$A$2:$B$186,2,FALSE)</f>
        <v>Europe</v>
      </c>
      <c r="I625" s="9" t="str">
        <f>Ventas!E625</f>
        <v>Retail</v>
      </c>
    </row>
    <row r="626" spans="2:9" x14ac:dyDescent="0.25">
      <c r="B626" s="12">
        <f>Ventas!F626</f>
        <v>141</v>
      </c>
      <c r="C626" s="10">
        <f>VLOOKUP(Ventas!$D626,Productos!$A$1:$D$16,4,FALSE)*Ventas!F626</f>
        <v>985.59</v>
      </c>
      <c r="D626" s="10">
        <f>VLOOKUP(Ventas!$D626,Productos!$A$1:$D$16,3,FALSE)*Ventas!F626</f>
        <v>493.5</v>
      </c>
      <c r="E626" s="10">
        <f t="shared" si="9"/>
        <v>492.09000000000003</v>
      </c>
      <c r="F626" s="9">
        <f>YEAR(Ventas!G626)</f>
        <v>2015</v>
      </c>
      <c r="G626" s="9">
        <f>MONTH(Ventas!G626)</f>
        <v>10</v>
      </c>
      <c r="H626" s="9" t="str">
        <f>VLOOKUP(Ventas!C626,Países!$A$2:$B$186,2,FALSE)</f>
        <v>Europe</v>
      </c>
      <c r="I626" s="9" t="str">
        <f>Ventas!E626</f>
        <v>Retail</v>
      </c>
    </row>
    <row r="627" spans="2:9" x14ac:dyDescent="0.25">
      <c r="B627" s="12">
        <f>Ventas!F627</f>
        <v>201</v>
      </c>
      <c r="C627" s="10">
        <f>VLOOKUP(Ventas!$D627,Productos!$A$1:$D$16,4,FALSE)*Ventas!F627</f>
        <v>801.99</v>
      </c>
      <c r="D627" s="10">
        <f>VLOOKUP(Ventas!$D627,Productos!$A$1:$D$16,3,FALSE)*Ventas!F627</f>
        <v>402</v>
      </c>
      <c r="E627" s="10">
        <f t="shared" si="9"/>
        <v>399.99</v>
      </c>
      <c r="F627" s="9">
        <f>YEAR(Ventas!G627)</f>
        <v>2015</v>
      </c>
      <c r="G627" s="9">
        <f>MONTH(Ventas!G627)</f>
        <v>11</v>
      </c>
      <c r="H627" s="9" t="str">
        <f>VLOOKUP(Ventas!C627,Países!$A$2:$B$186,2,FALSE)</f>
        <v>Middle East and North Africa</v>
      </c>
      <c r="I627" s="9" t="str">
        <f>Ventas!E627</f>
        <v>Online</v>
      </c>
    </row>
    <row r="628" spans="2:9" x14ac:dyDescent="0.25">
      <c r="B628" s="12">
        <f>Ventas!F628</f>
        <v>132</v>
      </c>
      <c r="C628" s="10">
        <f>VLOOKUP(Ventas!$D628,Productos!$A$1:$D$16,4,FALSE)*Ventas!F628</f>
        <v>1914</v>
      </c>
      <c r="D628" s="10">
        <f>VLOOKUP(Ventas!$D628,Productos!$A$1:$D$16,3,FALSE)*Ventas!F628</f>
        <v>1056</v>
      </c>
      <c r="E628" s="10">
        <f t="shared" si="9"/>
        <v>858</v>
      </c>
      <c r="F628" s="9">
        <f>YEAR(Ventas!G628)</f>
        <v>2015</v>
      </c>
      <c r="G628" s="9">
        <f>MONTH(Ventas!G628)</f>
        <v>10</v>
      </c>
      <c r="H628" s="9" t="str">
        <f>VLOOKUP(Ventas!C628,Países!$A$2:$B$186,2,FALSE)</f>
        <v>Middle East and North Africa</v>
      </c>
      <c r="I628" s="9" t="str">
        <f>Ventas!E628</f>
        <v>Online</v>
      </c>
    </row>
    <row r="629" spans="2:9" x14ac:dyDescent="0.25">
      <c r="B629" s="12">
        <f>Ventas!F629</f>
        <v>148</v>
      </c>
      <c r="C629" s="10">
        <f>VLOOKUP(Ventas!$D629,Productos!$A$1:$D$16,4,FALSE)*Ventas!F629</f>
        <v>1034.52</v>
      </c>
      <c r="D629" s="10">
        <f>VLOOKUP(Ventas!$D629,Productos!$A$1:$D$16,3,FALSE)*Ventas!F629</f>
        <v>518</v>
      </c>
      <c r="E629" s="10">
        <f t="shared" si="9"/>
        <v>516.52</v>
      </c>
      <c r="F629" s="9">
        <f>YEAR(Ventas!G629)</f>
        <v>2015</v>
      </c>
      <c r="G629" s="9">
        <f>MONTH(Ventas!G629)</f>
        <v>12</v>
      </c>
      <c r="H629" s="9" t="str">
        <f>VLOOKUP(Ventas!C629,Países!$A$2:$B$186,2,FALSE)</f>
        <v>Australia and Oceania</v>
      </c>
      <c r="I629" s="9" t="str">
        <f>Ventas!E629</f>
        <v>Retail</v>
      </c>
    </row>
    <row r="630" spans="2:9" x14ac:dyDescent="0.25">
      <c r="B630" s="12">
        <f>Ventas!F630</f>
        <v>184</v>
      </c>
      <c r="C630" s="10">
        <f>VLOOKUP(Ventas!$D630,Productos!$A$1:$D$16,4,FALSE)*Ventas!F630</f>
        <v>1196</v>
      </c>
      <c r="D630" s="10">
        <f>VLOOKUP(Ventas!$D630,Productos!$A$1:$D$16,3,FALSE)*Ventas!F630</f>
        <v>644</v>
      </c>
      <c r="E630" s="10">
        <f t="shared" si="9"/>
        <v>552</v>
      </c>
      <c r="F630" s="9">
        <f>YEAR(Ventas!G630)</f>
        <v>2015</v>
      </c>
      <c r="G630" s="9">
        <f>MONTH(Ventas!G630)</f>
        <v>10</v>
      </c>
      <c r="H630" s="9" t="str">
        <f>VLOOKUP(Ventas!C630,Países!$A$2:$B$186,2,FALSE)</f>
        <v>Europe</v>
      </c>
      <c r="I630" s="9" t="str">
        <f>Ventas!E630</f>
        <v>Retail</v>
      </c>
    </row>
    <row r="631" spans="2:9" x14ac:dyDescent="0.25">
      <c r="B631" s="12">
        <f>Ventas!F631</f>
        <v>197</v>
      </c>
      <c r="C631" s="10">
        <f>VLOOKUP(Ventas!$D631,Productos!$A$1:$D$16,4,FALSE)*Ventas!F631</f>
        <v>1280.5</v>
      </c>
      <c r="D631" s="10">
        <f>VLOOKUP(Ventas!$D631,Productos!$A$1:$D$16,3,FALSE)*Ventas!F631</f>
        <v>689.5</v>
      </c>
      <c r="E631" s="10">
        <f t="shared" si="9"/>
        <v>591</v>
      </c>
      <c r="F631" s="9">
        <f>YEAR(Ventas!G631)</f>
        <v>2015</v>
      </c>
      <c r="G631" s="9">
        <f>MONTH(Ventas!G631)</f>
        <v>11</v>
      </c>
      <c r="H631" s="9" t="str">
        <f>VLOOKUP(Ventas!C631,Países!$A$2:$B$186,2,FALSE)</f>
        <v>Middle East and North Africa</v>
      </c>
      <c r="I631" s="9" t="str">
        <f>Ventas!E631</f>
        <v>Online</v>
      </c>
    </row>
    <row r="632" spans="2:9" x14ac:dyDescent="0.25">
      <c r="B632" s="12">
        <f>Ventas!F632</f>
        <v>72</v>
      </c>
      <c r="C632" s="10">
        <f>VLOOKUP(Ventas!$D632,Productos!$A$1:$D$16,4,FALSE)*Ventas!F632</f>
        <v>468</v>
      </c>
      <c r="D632" s="10">
        <f>VLOOKUP(Ventas!$D632,Productos!$A$1:$D$16,3,FALSE)*Ventas!F632</f>
        <v>252</v>
      </c>
      <c r="E632" s="10">
        <f t="shared" si="9"/>
        <v>216</v>
      </c>
      <c r="F632" s="9">
        <f>YEAR(Ventas!G632)</f>
        <v>2015</v>
      </c>
      <c r="G632" s="9">
        <f>MONTH(Ventas!G632)</f>
        <v>11</v>
      </c>
      <c r="H632" s="9" t="str">
        <f>VLOOKUP(Ventas!C632,Países!$A$2:$B$186,2,FALSE)</f>
        <v>Sub-Saharan Africa</v>
      </c>
      <c r="I632" s="9" t="str">
        <f>Ventas!E632</f>
        <v>Online</v>
      </c>
    </row>
    <row r="633" spans="2:9" x14ac:dyDescent="0.25">
      <c r="B633" s="12">
        <f>Ventas!F633</f>
        <v>46</v>
      </c>
      <c r="C633" s="10">
        <f>VLOOKUP(Ventas!$D633,Productos!$A$1:$D$16,4,FALSE)*Ventas!F633</f>
        <v>667</v>
      </c>
      <c r="D633" s="10">
        <f>VLOOKUP(Ventas!$D633,Productos!$A$1:$D$16,3,FALSE)*Ventas!F633</f>
        <v>368</v>
      </c>
      <c r="E633" s="10">
        <f t="shared" si="9"/>
        <v>299</v>
      </c>
      <c r="F633" s="9">
        <f>YEAR(Ventas!G633)</f>
        <v>2015</v>
      </c>
      <c r="G633" s="9">
        <f>MONTH(Ventas!G633)</f>
        <v>9</v>
      </c>
      <c r="H633" s="9" t="str">
        <f>VLOOKUP(Ventas!C633,Países!$A$2:$B$186,2,FALSE)</f>
        <v>Sub-Saharan Africa</v>
      </c>
      <c r="I633" s="9" t="str">
        <f>Ventas!E633</f>
        <v>Online</v>
      </c>
    </row>
    <row r="634" spans="2:9" x14ac:dyDescent="0.25">
      <c r="B634" s="12">
        <f>Ventas!F634</f>
        <v>104</v>
      </c>
      <c r="C634" s="10">
        <f>VLOOKUP(Ventas!$D634,Productos!$A$1:$D$16,4,FALSE)*Ventas!F634</f>
        <v>208</v>
      </c>
      <c r="D634" s="10">
        <f>VLOOKUP(Ventas!$D634,Productos!$A$1:$D$16,3,FALSE)*Ventas!F634</f>
        <v>104</v>
      </c>
      <c r="E634" s="10">
        <f t="shared" si="9"/>
        <v>104</v>
      </c>
      <c r="F634" s="9">
        <f>YEAR(Ventas!G634)</f>
        <v>2015</v>
      </c>
      <c r="G634" s="9">
        <f>MONTH(Ventas!G634)</f>
        <v>11</v>
      </c>
      <c r="H634" s="9" t="str">
        <f>VLOOKUP(Ventas!C634,Países!$A$2:$B$186,2,FALSE)</f>
        <v>Sub-Saharan Africa</v>
      </c>
      <c r="I634" s="9" t="str">
        <f>Ventas!E634</f>
        <v>Online</v>
      </c>
    </row>
    <row r="635" spans="2:9" x14ac:dyDescent="0.25">
      <c r="B635" s="12">
        <f>Ventas!F635</f>
        <v>197</v>
      </c>
      <c r="C635" s="10">
        <f>VLOOKUP(Ventas!$D635,Productos!$A$1:$D$16,4,FALSE)*Ventas!F635</f>
        <v>591</v>
      </c>
      <c r="D635" s="10">
        <f>VLOOKUP(Ventas!$D635,Productos!$A$1:$D$16,3,FALSE)*Ventas!F635</f>
        <v>295.5</v>
      </c>
      <c r="E635" s="10">
        <f t="shared" si="9"/>
        <v>295.5</v>
      </c>
      <c r="F635" s="9">
        <f>YEAR(Ventas!G635)</f>
        <v>2015</v>
      </c>
      <c r="G635" s="9">
        <f>MONTH(Ventas!G635)</f>
        <v>11</v>
      </c>
      <c r="H635" s="9" t="str">
        <f>VLOOKUP(Ventas!C635,Países!$A$2:$B$186,2,FALSE)</f>
        <v>Europe</v>
      </c>
      <c r="I635" s="9" t="str">
        <f>Ventas!E635</f>
        <v>Online</v>
      </c>
    </row>
    <row r="636" spans="2:9" x14ac:dyDescent="0.25">
      <c r="B636" s="12">
        <f>Ventas!F636</f>
        <v>3</v>
      </c>
      <c r="C636" s="10">
        <f>VLOOKUP(Ventas!$D636,Productos!$A$1:$D$16,4,FALSE)*Ventas!F636</f>
        <v>13.5</v>
      </c>
      <c r="D636" s="10">
        <f>VLOOKUP(Ventas!$D636,Productos!$A$1:$D$16,3,FALSE)*Ventas!F636</f>
        <v>7.5</v>
      </c>
      <c r="E636" s="10">
        <f t="shared" si="9"/>
        <v>6</v>
      </c>
      <c r="F636" s="9">
        <f>YEAR(Ventas!G636)</f>
        <v>2015</v>
      </c>
      <c r="G636" s="9">
        <f>MONTH(Ventas!G636)</f>
        <v>9</v>
      </c>
      <c r="H636" s="9" t="str">
        <f>VLOOKUP(Ventas!C636,Países!$A$2:$B$186,2,FALSE)</f>
        <v>Europe</v>
      </c>
      <c r="I636" s="9" t="str">
        <f>Ventas!E636</f>
        <v>Online</v>
      </c>
    </row>
    <row r="637" spans="2:9" x14ac:dyDescent="0.25">
      <c r="B637" s="12">
        <f>Ventas!F637</f>
        <v>202</v>
      </c>
      <c r="C637" s="10">
        <f>VLOOKUP(Ventas!$D637,Productos!$A$1:$D$16,4,FALSE)*Ventas!F637</f>
        <v>1818</v>
      </c>
      <c r="D637" s="10">
        <f>VLOOKUP(Ventas!$D637,Productos!$A$1:$D$16,3,FALSE)*Ventas!F637</f>
        <v>1212</v>
      </c>
      <c r="E637" s="10">
        <f t="shared" si="9"/>
        <v>606</v>
      </c>
      <c r="F637" s="9">
        <f>YEAR(Ventas!G637)</f>
        <v>2015</v>
      </c>
      <c r="G637" s="9">
        <f>MONTH(Ventas!G637)</f>
        <v>11</v>
      </c>
      <c r="H637" s="9" t="str">
        <f>VLOOKUP(Ventas!C637,Países!$A$2:$B$186,2,FALSE)</f>
        <v>Sub-Saharan Africa</v>
      </c>
      <c r="I637" s="9" t="str">
        <f>Ventas!E637</f>
        <v>Retail</v>
      </c>
    </row>
    <row r="638" spans="2:9" x14ac:dyDescent="0.25">
      <c r="B638" s="12">
        <f>Ventas!F638</f>
        <v>127</v>
      </c>
      <c r="C638" s="10">
        <f>VLOOKUP(Ventas!$D638,Productos!$A$1:$D$16,4,FALSE)*Ventas!F638</f>
        <v>887.73</v>
      </c>
      <c r="D638" s="10">
        <f>VLOOKUP(Ventas!$D638,Productos!$A$1:$D$16,3,FALSE)*Ventas!F638</f>
        <v>444.5</v>
      </c>
      <c r="E638" s="10">
        <f t="shared" si="9"/>
        <v>443.23</v>
      </c>
      <c r="F638" s="9">
        <f>YEAR(Ventas!G638)</f>
        <v>2015</v>
      </c>
      <c r="G638" s="9">
        <f>MONTH(Ventas!G638)</f>
        <v>11</v>
      </c>
      <c r="H638" s="9" t="str">
        <f>VLOOKUP(Ventas!C638,Países!$A$2:$B$186,2,FALSE)</f>
        <v>Middle East and North Africa</v>
      </c>
      <c r="I638" s="9" t="str">
        <f>Ventas!E638</f>
        <v>Online</v>
      </c>
    </row>
    <row r="639" spans="2:9" x14ac:dyDescent="0.25">
      <c r="B639" s="12">
        <f>Ventas!F639</f>
        <v>178</v>
      </c>
      <c r="C639" s="10">
        <f>VLOOKUP(Ventas!$D639,Productos!$A$1:$D$16,4,FALSE)*Ventas!F639</f>
        <v>356</v>
      </c>
      <c r="D639" s="10">
        <f>VLOOKUP(Ventas!$D639,Productos!$A$1:$D$16,3,FALSE)*Ventas!F639</f>
        <v>178</v>
      </c>
      <c r="E639" s="10">
        <f t="shared" si="9"/>
        <v>178</v>
      </c>
      <c r="F639" s="9">
        <f>YEAR(Ventas!G639)</f>
        <v>2015</v>
      </c>
      <c r="G639" s="9">
        <f>MONTH(Ventas!G639)</f>
        <v>12</v>
      </c>
      <c r="H639" s="9" t="str">
        <f>VLOOKUP(Ventas!C639,Países!$A$2:$B$186,2,FALSE)</f>
        <v>Europe</v>
      </c>
      <c r="I639" s="9" t="str">
        <f>Ventas!E639</f>
        <v>Online</v>
      </c>
    </row>
    <row r="640" spans="2:9" x14ac:dyDescent="0.25">
      <c r="B640" s="12">
        <f>Ventas!F640</f>
        <v>54</v>
      </c>
      <c r="C640" s="10">
        <f>VLOOKUP(Ventas!$D640,Productos!$A$1:$D$16,4,FALSE)*Ventas!F640</f>
        <v>215.46</v>
      </c>
      <c r="D640" s="10">
        <f>VLOOKUP(Ventas!$D640,Productos!$A$1:$D$16,3,FALSE)*Ventas!F640</f>
        <v>108</v>
      </c>
      <c r="E640" s="10">
        <f t="shared" si="9"/>
        <v>107.46000000000001</v>
      </c>
      <c r="F640" s="9">
        <f>YEAR(Ventas!G640)</f>
        <v>2015</v>
      </c>
      <c r="G640" s="9">
        <f>MONTH(Ventas!G640)</f>
        <v>12</v>
      </c>
      <c r="H640" s="9" t="str">
        <f>VLOOKUP(Ventas!C640,Países!$A$2:$B$186,2,FALSE)</f>
        <v>Sub-Saharan Africa</v>
      </c>
      <c r="I640" s="9" t="str">
        <f>Ventas!E640</f>
        <v>Online</v>
      </c>
    </row>
    <row r="641" spans="2:9" x14ac:dyDescent="0.25">
      <c r="B641" s="12">
        <f>Ventas!F641</f>
        <v>169</v>
      </c>
      <c r="C641" s="10">
        <f>VLOOKUP(Ventas!$D641,Productos!$A$1:$D$16,4,FALSE)*Ventas!F641</f>
        <v>507</v>
      </c>
      <c r="D641" s="10">
        <f>VLOOKUP(Ventas!$D641,Productos!$A$1:$D$16,3,FALSE)*Ventas!F641</f>
        <v>253.5</v>
      </c>
      <c r="E641" s="10">
        <f t="shared" si="9"/>
        <v>253.5</v>
      </c>
      <c r="F641" s="9">
        <f>YEAR(Ventas!G641)</f>
        <v>2015</v>
      </c>
      <c r="G641" s="9">
        <f>MONTH(Ventas!G641)</f>
        <v>9</v>
      </c>
      <c r="H641" s="9" t="str">
        <f>VLOOKUP(Ventas!C641,Países!$A$2:$B$186,2,FALSE)</f>
        <v>Sub-Saharan Africa</v>
      </c>
      <c r="I641" s="9" t="str">
        <f>Ventas!E641</f>
        <v>Online</v>
      </c>
    </row>
    <row r="642" spans="2:9" x14ac:dyDescent="0.25">
      <c r="B642" s="12">
        <f>Ventas!F642</f>
        <v>128</v>
      </c>
      <c r="C642" s="10">
        <f>VLOOKUP(Ventas!$D642,Productos!$A$1:$D$16,4,FALSE)*Ventas!F642</f>
        <v>832</v>
      </c>
      <c r="D642" s="10">
        <f>VLOOKUP(Ventas!$D642,Productos!$A$1:$D$16,3,FALSE)*Ventas!F642</f>
        <v>448</v>
      </c>
      <c r="E642" s="10">
        <f t="shared" si="9"/>
        <v>384</v>
      </c>
      <c r="F642" s="9">
        <f>YEAR(Ventas!G642)</f>
        <v>2015</v>
      </c>
      <c r="G642" s="9">
        <f>MONTH(Ventas!G642)</f>
        <v>9</v>
      </c>
      <c r="H642" s="9" t="str">
        <f>VLOOKUP(Ventas!C642,Países!$A$2:$B$186,2,FALSE)</f>
        <v>Middle East and North Africa</v>
      </c>
      <c r="I642" s="9" t="str">
        <f>Ventas!E642</f>
        <v>Online</v>
      </c>
    </row>
    <row r="643" spans="2:9" x14ac:dyDescent="0.25">
      <c r="B643" s="12">
        <f>Ventas!F643</f>
        <v>2</v>
      </c>
      <c r="C643" s="10">
        <f>VLOOKUP(Ventas!$D643,Productos!$A$1:$D$16,4,FALSE)*Ventas!F643</f>
        <v>9</v>
      </c>
      <c r="D643" s="10">
        <f>VLOOKUP(Ventas!$D643,Productos!$A$1:$D$16,3,FALSE)*Ventas!F643</f>
        <v>5</v>
      </c>
      <c r="E643" s="10">
        <f t="shared" ref="E643:E706" si="10">C643-D643</f>
        <v>4</v>
      </c>
      <c r="F643" s="9">
        <f>YEAR(Ventas!G643)</f>
        <v>2015</v>
      </c>
      <c r="G643" s="9">
        <f>MONTH(Ventas!G643)</f>
        <v>9</v>
      </c>
      <c r="H643" s="9" t="str">
        <f>VLOOKUP(Ventas!C643,Países!$A$2:$B$186,2,FALSE)</f>
        <v>Europe</v>
      </c>
      <c r="I643" s="9" t="str">
        <f>Ventas!E643</f>
        <v>Retail</v>
      </c>
    </row>
    <row r="644" spans="2:9" x14ac:dyDescent="0.25">
      <c r="B644" s="12">
        <f>Ventas!F644</f>
        <v>149</v>
      </c>
      <c r="C644" s="10">
        <f>VLOOKUP(Ventas!$D644,Productos!$A$1:$D$16,4,FALSE)*Ventas!F644</f>
        <v>594.51</v>
      </c>
      <c r="D644" s="10">
        <f>VLOOKUP(Ventas!$D644,Productos!$A$1:$D$16,3,FALSE)*Ventas!F644</f>
        <v>298</v>
      </c>
      <c r="E644" s="10">
        <f t="shared" si="10"/>
        <v>296.51</v>
      </c>
      <c r="F644" s="9">
        <f>YEAR(Ventas!G644)</f>
        <v>2015</v>
      </c>
      <c r="G644" s="9">
        <f>MONTH(Ventas!G644)</f>
        <v>11</v>
      </c>
      <c r="H644" s="9" t="str">
        <f>VLOOKUP(Ventas!C644,Países!$A$2:$B$186,2,FALSE)</f>
        <v>Australia and Oceania</v>
      </c>
      <c r="I644" s="9" t="str">
        <f>Ventas!E644</f>
        <v>Retail</v>
      </c>
    </row>
    <row r="645" spans="2:9" x14ac:dyDescent="0.25">
      <c r="B645" s="12">
        <f>Ventas!F645</f>
        <v>56</v>
      </c>
      <c r="C645" s="10">
        <f>VLOOKUP(Ventas!$D645,Productos!$A$1:$D$16,4,FALSE)*Ventas!F645</f>
        <v>364</v>
      </c>
      <c r="D645" s="10">
        <f>VLOOKUP(Ventas!$D645,Productos!$A$1:$D$16,3,FALSE)*Ventas!F645</f>
        <v>196</v>
      </c>
      <c r="E645" s="10">
        <f t="shared" si="10"/>
        <v>168</v>
      </c>
      <c r="F645" s="9">
        <f>YEAR(Ventas!G645)</f>
        <v>2015</v>
      </c>
      <c r="G645" s="9">
        <f>MONTH(Ventas!G645)</f>
        <v>12</v>
      </c>
      <c r="H645" s="9" t="str">
        <f>VLOOKUP(Ventas!C645,Países!$A$2:$B$186,2,FALSE)</f>
        <v>Sub-Saharan Africa</v>
      </c>
      <c r="I645" s="9" t="str">
        <f>Ventas!E645</f>
        <v>Retail</v>
      </c>
    </row>
    <row r="646" spans="2:9" x14ac:dyDescent="0.25">
      <c r="B646" s="12">
        <f>Ventas!F646</f>
        <v>155</v>
      </c>
      <c r="C646" s="10">
        <f>VLOOKUP(Ventas!$D646,Productos!$A$1:$D$16,4,FALSE)*Ventas!F646</f>
        <v>930</v>
      </c>
      <c r="D646" s="10">
        <f>VLOOKUP(Ventas!$D646,Productos!$A$1:$D$16,3,FALSE)*Ventas!F646</f>
        <v>465</v>
      </c>
      <c r="E646" s="10">
        <f t="shared" si="10"/>
        <v>465</v>
      </c>
      <c r="F646" s="9">
        <f>YEAR(Ventas!G646)</f>
        <v>2015</v>
      </c>
      <c r="G646" s="9">
        <f>MONTH(Ventas!G646)</f>
        <v>10</v>
      </c>
      <c r="H646" s="9" t="str">
        <f>VLOOKUP(Ventas!C646,Países!$A$2:$B$186,2,FALSE)</f>
        <v>Asia</v>
      </c>
      <c r="I646" s="9" t="str">
        <f>Ventas!E646</f>
        <v>Online</v>
      </c>
    </row>
    <row r="647" spans="2:9" x14ac:dyDescent="0.25">
      <c r="B647" s="12">
        <f>Ventas!F647</f>
        <v>162</v>
      </c>
      <c r="C647" s="10">
        <f>VLOOKUP(Ventas!$D647,Productos!$A$1:$D$16,4,FALSE)*Ventas!F647</f>
        <v>324</v>
      </c>
      <c r="D647" s="10">
        <f>VLOOKUP(Ventas!$D647,Productos!$A$1:$D$16,3,FALSE)*Ventas!F647</f>
        <v>162</v>
      </c>
      <c r="E647" s="10">
        <f t="shared" si="10"/>
        <v>162</v>
      </c>
      <c r="F647" s="9">
        <f>YEAR(Ventas!G647)</f>
        <v>2015</v>
      </c>
      <c r="G647" s="9">
        <f>MONTH(Ventas!G647)</f>
        <v>12</v>
      </c>
      <c r="H647" s="9" t="str">
        <f>VLOOKUP(Ventas!C647,Países!$A$2:$B$186,2,FALSE)</f>
        <v>Asia</v>
      </c>
      <c r="I647" s="9" t="str">
        <f>Ventas!E647</f>
        <v>Retail</v>
      </c>
    </row>
    <row r="648" spans="2:9" x14ac:dyDescent="0.25">
      <c r="B648" s="12">
        <f>Ventas!F648</f>
        <v>102</v>
      </c>
      <c r="C648" s="10">
        <f>VLOOKUP(Ventas!$D648,Productos!$A$1:$D$16,4,FALSE)*Ventas!F648</f>
        <v>918</v>
      </c>
      <c r="D648" s="10">
        <f>VLOOKUP(Ventas!$D648,Productos!$A$1:$D$16,3,FALSE)*Ventas!F648</f>
        <v>612</v>
      </c>
      <c r="E648" s="10">
        <f t="shared" si="10"/>
        <v>306</v>
      </c>
      <c r="F648" s="9">
        <f>YEAR(Ventas!G648)</f>
        <v>2015</v>
      </c>
      <c r="G648" s="9">
        <f>MONTH(Ventas!G648)</f>
        <v>10</v>
      </c>
      <c r="H648" s="9" t="str">
        <f>VLOOKUP(Ventas!C648,Países!$A$2:$B$186,2,FALSE)</f>
        <v>Central America and the Caribbean</v>
      </c>
      <c r="I648" s="9" t="str">
        <f>Ventas!E648</f>
        <v>Direct</v>
      </c>
    </row>
    <row r="649" spans="2:9" x14ac:dyDescent="0.25">
      <c r="B649" s="12">
        <f>Ventas!F649</f>
        <v>66</v>
      </c>
      <c r="C649" s="10">
        <f>VLOOKUP(Ventas!$D649,Productos!$A$1:$D$16,4,FALSE)*Ventas!F649</f>
        <v>461.34000000000003</v>
      </c>
      <c r="D649" s="10">
        <f>VLOOKUP(Ventas!$D649,Productos!$A$1:$D$16,3,FALSE)*Ventas!F649</f>
        <v>231</v>
      </c>
      <c r="E649" s="10">
        <f t="shared" si="10"/>
        <v>230.34000000000003</v>
      </c>
      <c r="F649" s="9">
        <f>YEAR(Ventas!G649)</f>
        <v>2015</v>
      </c>
      <c r="G649" s="9">
        <f>MONTH(Ventas!G649)</f>
        <v>10</v>
      </c>
      <c r="H649" s="9" t="str">
        <f>VLOOKUP(Ventas!C649,Países!$A$2:$B$186,2,FALSE)</f>
        <v>Middle East and North Africa</v>
      </c>
      <c r="I649" s="9" t="str">
        <f>Ventas!E649</f>
        <v>Retail</v>
      </c>
    </row>
    <row r="650" spans="2:9" x14ac:dyDescent="0.25">
      <c r="B650" s="12">
        <f>Ventas!F650</f>
        <v>82</v>
      </c>
      <c r="C650" s="10">
        <f>VLOOKUP(Ventas!$D650,Productos!$A$1:$D$16,4,FALSE)*Ventas!F650</f>
        <v>1189</v>
      </c>
      <c r="D650" s="10">
        <f>VLOOKUP(Ventas!$D650,Productos!$A$1:$D$16,3,FALSE)*Ventas!F650</f>
        <v>656</v>
      </c>
      <c r="E650" s="10">
        <f t="shared" si="10"/>
        <v>533</v>
      </c>
      <c r="F650" s="9">
        <f>YEAR(Ventas!G650)</f>
        <v>2015</v>
      </c>
      <c r="G650" s="9">
        <f>MONTH(Ventas!G650)</f>
        <v>10</v>
      </c>
      <c r="H650" s="9" t="str">
        <f>VLOOKUP(Ventas!C650,Países!$A$2:$B$186,2,FALSE)</f>
        <v>Asia</v>
      </c>
      <c r="I650" s="9" t="str">
        <f>Ventas!E650</f>
        <v>Online</v>
      </c>
    </row>
    <row r="651" spans="2:9" x14ac:dyDescent="0.25">
      <c r="B651" s="12">
        <f>Ventas!F651</f>
        <v>180</v>
      </c>
      <c r="C651" s="10">
        <f>VLOOKUP(Ventas!$D651,Productos!$A$1:$D$16,4,FALSE)*Ventas!F651</f>
        <v>540</v>
      </c>
      <c r="D651" s="10">
        <f>VLOOKUP(Ventas!$D651,Productos!$A$1:$D$16,3,FALSE)*Ventas!F651</f>
        <v>270</v>
      </c>
      <c r="E651" s="10">
        <f t="shared" si="10"/>
        <v>270</v>
      </c>
      <c r="F651" s="9">
        <f>YEAR(Ventas!G651)</f>
        <v>2015</v>
      </c>
      <c r="G651" s="9">
        <f>MONTH(Ventas!G651)</f>
        <v>10</v>
      </c>
      <c r="H651" s="9" t="str">
        <f>VLOOKUP(Ventas!C651,Países!$A$2:$B$186,2,FALSE)</f>
        <v>Central America and the Caribbean</v>
      </c>
      <c r="I651" s="9" t="str">
        <f>Ventas!E651</f>
        <v>Online</v>
      </c>
    </row>
    <row r="652" spans="2:9" x14ac:dyDescent="0.25">
      <c r="B652" s="12">
        <f>Ventas!F652</f>
        <v>39</v>
      </c>
      <c r="C652" s="10">
        <f>VLOOKUP(Ventas!$D652,Productos!$A$1:$D$16,4,FALSE)*Ventas!F652</f>
        <v>389.61</v>
      </c>
      <c r="D652" s="10">
        <f>VLOOKUP(Ventas!$D652,Productos!$A$1:$D$16,3,FALSE)*Ventas!F652</f>
        <v>195</v>
      </c>
      <c r="E652" s="10">
        <f t="shared" si="10"/>
        <v>194.61</v>
      </c>
      <c r="F652" s="9">
        <f>YEAR(Ventas!G652)</f>
        <v>2015</v>
      </c>
      <c r="G652" s="9">
        <f>MONTH(Ventas!G652)</f>
        <v>12</v>
      </c>
      <c r="H652" s="9" t="str">
        <f>VLOOKUP(Ventas!C652,Países!$A$2:$B$186,2,FALSE)</f>
        <v>Middle East and North Africa</v>
      </c>
      <c r="I652" s="9" t="str">
        <f>Ventas!E652</f>
        <v>Retail</v>
      </c>
    </row>
    <row r="653" spans="2:9" x14ac:dyDescent="0.25">
      <c r="B653" s="12">
        <f>Ventas!F653</f>
        <v>6</v>
      </c>
      <c r="C653" s="10">
        <f>VLOOKUP(Ventas!$D653,Productos!$A$1:$D$16,4,FALSE)*Ventas!F653</f>
        <v>27</v>
      </c>
      <c r="D653" s="10">
        <f>VLOOKUP(Ventas!$D653,Productos!$A$1:$D$16,3,FALSE)*Ventas!F653</f>
        <v>15</v>
      </c>
      <c r="E653" s="10">
        <f t="shared" si="10"/>
        <v>12</v>
      </c>
      <c r="F653" s="9">
        <f>YEAR(Ventas!G653)</f>
        <v>2015</v>
      </c>
      <c r="G653" s="9">
        <f>MONTH(Ventas!G653)</f>
        <v>10</v>
      </c>
      <c r="H653" s="9" t="str">
        <f>VLOOKUP(Ventas!C653,Países!$A$2:$B$186,2,FALSE)</f>
        <v>North America</v>
      </c>
      <c r="I653" s="9" t="str">
        <f>Ventas!E653</f>
        <v>Retail</v>
      </c>
    </row>
    <row r="654" spans="2:9" x14ac:dyDescent="0.25">
      <c r="B654" s="12">
        <f>Ventas!F654</f>
        <v>131</v>
      </c>
      <c r="C654" s="10">
        <f>VLOOKUP(Ventas!$D654,Productos!$A$1:$D$16,4,FALSE)*Ventas!F654</f>
        <v>851.5</v>
      </c>
      <c r="D654" s="10">
        <f>VLOOKUP(Ventas!$D654,Productos!$A$1:$D$16,3,FALSE)*Ventas!F654</f>
        <v>458.5</v>
      </c>
      <c r="E654" s="10">
        <f t="shared" si="10"/>
        <v>393</v>
      </c>
      <c r="F654" s="9">
        <f>YEAR(Ventas!G654)</f>
        <v>2015</v>
      </c>
      <c r="G654" s="9">
        <f>MONTH(Ventas!G654)</f>
        <v>12</v>
      </c>
      <c r="H654" s="9" t="str">
        <f>VLOOKUP(Ventas!C654,Países!$A$2:$B$186,2,FALSE)</f>
        <v>Central America and the Caribbean</v>
      </c>
      <c r="I654" s="9" t="str">
        <f>Ventas!E654</f>
        <v>Retail</v>
      </c>
    </row>
    <row r="655" spans="2:9" x14ac:dyDescent="0.25">
      <c r="B655" s="12">
        <f>Ventas!F655</f>
        <v>134</v>
      </c>
      <c r="C655" s="10">
        <f>VLOOKUP(Ventas!$D655,Productos!$A$1:$D$16,4,FALSE)*Ventas!F655</f>
        <v>268</v>
      </c>
      <c r="D655" s="10">
        <f>VLOOKUP(Ventas!$D655,Productos!$A$1:$D$16,3,FALSE)*Ventas!F655</f>
        <v>134</v>
      </c>
      <c r="E655" s="10">
        <f t="shared" si="10"/>
        <v>134</v>
      </c>
      <c r="F655" s="9">
        <f>YEAR(Ventas!G655)</f>
        <v>2015</v>
      </c>
      <c r="G655" s="9">
        <f>MONTH(Ventas!G655)</f>
        <v>11</v>
      </c>
      <c r="H655" s="9" t="str">
        <f>VLOOKUP(Ventas!C655,Países!$A$2:$B$186,2,FALSE)</f>
        <v>Asia</v>
      </c>
      <c r="I655" s="9" t="str">
        <f>Ventas!E655</f>
        <v>Retail</v>
      </c>
    </row>
    <row r="656" spans="2:9" x14ac:dyDescent="0.25">
      <c r="B656" s="12">
        <f>Ventas!F656</f>
        <v>212</v>
      </c>
      <c r="C656" s="10">
        <f>VLOOKUP(Ventas!$D656,Productos!$A$1:$D$16,4,FALSE)*Ventas!F656</f>
        <v>1272</v>
      </c>
      <c r="D656" s="10">
        <f>VLOOKUP(Ventas!$D656,Productos!$A$1:$D$16,3,FALSE)*Ventas!F656</f>
        <v>636</v>
      </c>
      <c r="E656" s="10">
        <f t="shared" si="10"/>
        <v>636</v>
      </c>
      <c r="F656" s="9">
        <f>YEAR(Ventas!G656)</f>
        <v>2015</v>
      </c>
      <c r="G656" s="9">
        <f>MONTH(Ventas!G656)</f>
        <v>11</v>
      </c>
      <c r="H656" s="9" t="str">
        <f>VLOOKUP(Ventas!C656,Países!$A$2:$B$186,2,FALSE)</f>
        <v>Middle East and North Africa</v>
      </c>
      <c r="I656" s="9" t="str">
        <f>Ventas!E656</f>
        <v>Online</v>
      </c>
    </row>
    <row r="657" spans="2:9" x14ac:dyDescent="0.25">
      <c r="B657" s="12">
        <f>Ventas!F657</f>
        <v>106</v>
      </c>
      <c r="C657" s="10">
        <f>VLOOKUP(Ventas!$D657,Productos!$A$1:$D$16,4,FALSE)*Ventas!F657</f>
        <v>1537</v>
      </c>
      <c r="D657" s="10">
        <f>VLOOKUP(Ventas!$D657,Productos!$A$1:$D$16,3,FALSE)*Ventas!F657</f>
        <v>848</v>
      </c>
      <c r="E657" s="10">
        <f t="shared" si="10"/>
        <v>689</v>
      </c>
      <c r="F657" s="9">
        <f>YEAR(Ventas!G657)</f>
        <v>2015</v>
      </c>
      <c r="G657" s="9">
        <f>MONTH(Ventas!G657)</f>
        <v>10</v>
      </c>
      <c r="H657" s="9" t="str">
        <f>VLOOKUP(Ventas!C657,Países!$A$2:$B$186,2,FALSE)</f>
        <v>Europe</v>
      </c>
      <c r="I657" s="9" t="str">
        <f>Ventas!E657</f>
        <v>Direct</v>
      </c>
    </row>
    <row r="658" spans="2:9" x14ac:dyDescent="0.25">
      <c r="B658" s="12">
        <f>Ventas!F658</f>
        <v>204</v>
      </c>
      <c r="C658" s="10">
        <f>VLOOKUP(Ventas!$D658,Productos!$A$1:$D$16,4,FALSE)*Ventas!F658</f>
        <v>813.96</v>
      </c>
      <c r="D658" s="10">
        <f>VLOOKUP(Ventas!$D658,Productos!$A$1:$D$16,3,FALSE)*Ventas!F658</f>
        <v>408</v>
      </c>
      <c r="E658" s="10">
        <f t="shared" si="10"/>
        <v>405.96000000000004</v>
      </c>
      <c r="F658" s="9">
        <f>YEAR(Ventas!G658)</f>
        <v>2015</v>
      </c>
      <c r="G658" s="9">
        <f>MONTH(Ventas!G658)</f>
        <v>9</v>
      </c>
      <c r="H658" s="9" t="str">
        <f>VLOOKUP(Ventas!C658,Países!$A$2:$B$186,2,FALSE)</f>
        <v>Asia</v>
      </c>
      <c r="I658" s="9" t="str">
        <f>Ventas!E658</f>
        <v>Online</v>
      </c>
    </row>
    <row r="659" spans="2:9" x14ac:dyDescent="0.25">
      <c r="B659" s="12">
        <f>Ventas!F659</f>
        <v>120</v>
      </c>
      <c r="C659" s="10">
        <f>VLOOKUP(Ventas!$D659,Productos!$A$1:$D$16,4,FALSE)*Ventas!F659</f>
        <v>360</v>
      </c>
      <c r="D659" s="10">
        <f>VLOOKUP(Ventas!$D659,Productos!$A$1:$D$16,3,FALSE)*Ventas!F659</f>
        <v>180</v>
      </c>
      <c r="E659" s="10">
        <f t="shared" si="10"/>
        <v>180</v>
      </c>
      <c r="F659" s="9">
        <f>YEAR(Ventas!G659)</f>
        <v>2015</v>
      </c>
      <c r="G659" s="9">
        <f>MONTH(Ventas!G659)</f>
        <v>9</v>
      </c>
      <c r="H659" s="9" t="str">
        <f>VLOOKUP(Ventas!C659,Países!$A$2:$B$186,2,FALSE)</f>
        <v>Asia</v>
      </c>
      <c r="I659" s="9" t="str">
        <f>Ventas!E659</f>
        <v>Retail</v>
      </c>
    </row>
    <row r="660" spans="2:9" x14ac:dyDescent="0.25">
      <c r="B660" s="12">
        <f>Ventas!F660</f>
        <v>196</v>
      </c>
      <c r="C660" s="10">
        <f>VLOOKUP(Ventas!$D660,Productos!$A$1:$D$16,4,FALSE)*Ventas!F660</f>
        <v>1274</v>
      </c>
      <c r="D660" s="10">
        <f>VLOOKUP(Ventas!$D660,Productos!$A$1:$D$16,3,FALSE)*Ventas!F660</f>
        <v>686</v>
      </c>
      <c r="E660" s="10">
        <f t="shared" si="10"/>
        <v>588</v>
      </c>
      <c r="F660" s="9">
        <f>YEAR(Ventas!G660)</f>
        <v>2015</v>
      </c>
      <c r="G660" s="9">
        <f>MONTH(Ventas!G660)</f>
        <v>12</v>
      </c>
      <c r="H660" s="9" t="str">
        <f>VLOOKUP(Ventas!C660,Países!$A$2:$B$186,2,FALSE)</f>
        <v>Asia</v>
      </c>
      <c r="I660" s="9" t="str">
        <f>Ventas!E660</f>
        <v>Retail</v>
      </c>
    </row>
    <row r="661" spans="2:9" x14ac:dyDescent="0.25">
      <c r="B661" s="12">
        <f>Ventas!F661</f>
        <v>145</v>
      </c>
      <c r="C661" s="10">
        <f>VLOOKUP(Ventas!$D661,Productos!$A$1:$D$16,4,FALSE)*Ventas!F661</f>
        <v>1305</v>
      </c>
      <c r="D661" s="10">
        <f>VLOOKUP(Ventas!$D661,Productos!$A$1:$D$16,3,FALSE)*Ventas!F661</f>
        <v>870</v>
      </c>
      <c r="E661" s="10">
        <f t="shared" si="10"/>
        <v>435</v>
      </c>
      <c r="F661" s="9">
        <f>YEAR(Ventas!G661)</f>
        <v>2015</v>
      </c>
      <c r="G661" s="9">
        <f>MONTH(Ventas!G661)</f>
        <v>10</v>
      </c>
      <c r="H661" s="9" t="str">
        <f>VLOOKUP(Ventas!C661,Países!$A$2:$B$186,2,FALSE)</f>
        <v>Middle East and North Africa</v>
      </c>
      <c r="I661" s="9" t="str">
        <f>Ventas!E661</f>
        <v>Retail</v>
      </c>
    </row>
    <row r="662" spans="2:9" x14ac:dyDescent="0.25">
      <c r="B662" s="12">
        <f>Ventas!F662</f>
        <v>159</v>
      </c>
      <c r="C662" s="10">
        <f>VLOOKUP(Ventas!$D662,Productos!$A$1:$D$16,4,FALSE)*Ventas!F662</f>
        <v>1111.4100000000001</v>
      </c>
      <c r="D662" s="10">
        <f>VLOOKUP(Ventas!$D662,Productos!$A$1:$D$16,3,FALSE)*Ventas!F662</f>
        <v>556.5</v>
      </c>
      <c r="E662" s="10">
        <f t="shared" si="10"/>
        <v>554.91000000000008</v>
      </c>
      <c r="F662" s="9">
        <f>YEAR(Ventas!G662)</f>
        <v>2015</v>
      </c>
      <c r="G662" s="9">
        <f>MONTH(Ventas!G662)</f>
        <v>11</v>
      </c>
      <c r="H662" s="9" t="str">
        <f>VLOOKUP(Ventas!C662,Países!$A$2:$B$186,2,FALSE)</f>
        <v>Asia</v>
      </c>
      <c r="I662" s="9" t="str">
        <f>Ventas!E662</f>
        <v>Direct</v>
      </c>
    </row>
    <row r="663" spans="2:9" x14ac:dyDescent="0.25">
      <c r="B663" s="12">
        <f>Ventas!F663</f>
        <v>196</v>
      </c>
      <c r="C663" s="10">
        <f>VLOOKUP(Ventas!$D663,Productos!$A$1:$D$16,4,FALSE)*Ventas!F663</f>
        <v>1764</v>
      </c>
      <c r="D663" s="10">
        <f>VLOOKUP(Ventas!$D663,Productos!$A$1:$D$16,3,FALSE)*Ventas!F663</f>
        <v>1176</v>
      </c>
      <c r="E663" s="10">
        <f t="shared" si="10"/>
        <v>588</v>
      </c>
      <c r="F663" s="9">
        <f>YEAR(Ventas!G663)</f>
        <v>2015</v>
      </c>
      <c r="G663" s="9">
        <f>MONTH(Ventas!G663)</f>
        <v>12</v>
      </c>
      <c r="H663" s="9" t="str">
        <f>VLOOKUP(Ventas!C663,Países!$A$2:$B$186,2,FALSE)</f>
        <v>Asia</v>
      </c>
      <c r="I663" s="9" t="str">
        <f>Ventas!E663</f>
        <v>Online</v>
      </c>
    </row>
    <row r="664" spans="2:9" x14ac:dyDescent="0.25">
      <c r="B664" s="12">
        <f>Ventas!F664</f>
        <v>120</v>
      </c>
      <c r="C664" s="10">
        <f>VLOOKUP(Ventas!$D664,Productos!$A$1:$D$16,4,FALSE)*Ventas!F664</f>
        <v>720</v>
      </c>
      <c r="D664" s="10">
        <f>VLOOKUP(Ventas!$D664,Productos!$A$1:$D$16,3,FALSE)*Ventas!F664</f>
        <v>360</v>
      </c>
      <c r="E664" s="10">
        <f t="shared" si="10"/>
        <v>360</v>
      </c>
      <c r="F664" s="9">
        <f>YEAR(Ventas!G664)</f>
        <v>2015</v>
      </c>
      <c r="G664" s="9">
        <f>MONTH(Ventas!G664)</f>
        <v>12</v>
      </c>
      <c r="H664" s="9" t="str">
        <f>VLOOKUP(Ventas!C664,Países!$A$2:$B$186,2,FALSE)</f>
        <v>Europe</v>
      </c>
      <c r="I664" s="9" t="str">
        <f>Ventas!E664</f>
        <v>Online</v>
      </c>
    </row>
    <row r="665" spans="2:9" x14ac:dyDescent="0.25">
      <c r="B665" s="12">
        <f>Ventas!F665</f>
        <v>118</v>
      </c>
      <c r="C665" s="10">
        <f>VLOOKUP(Ventas!$D665,Productos!$A$1:$D$16,4,FALSE)*Ventas!F665</f>
        <v>236</v>
      </c>
      <c r="D665" s="10">
        <f>VLOOKUP(Ventas!$D665,Productos!$A$1:$D$16,3,FALSE)*Ventas!F665</f>
        <v>118</v>
      </c>
      <c r="E665" s="10">
        <f t="shared" si="10"/>
        <v>118</v>
      </c>
      <c r="F665" s="9">
        <f>YEAR(Ventas!G665)</f>
        <v>2015</v>
      </c>
      <c r="G665" s="9">
        <f>MONTH(Ventas!G665)</f>
        <v>12</v>
      </c>
      <c r="H665" s="9" t="str">
        <f>VLOOKUP(Ventas!C665,Países!$A$2:$B$186,2,FALSE)</f>
        <v>Australia and Oceania</v>
      </c>
      <c r="I665" s="9" t="str">
        <f>Ventas!E665</f>
        <v>Online</v>
      </c>
    </row>
    <row r="666" spans="2:9" x14ac:dyDescent="0.25">
      <c r="B666" s="12">
        <f>Ventas!F666</f>
        <v>152</v>
      </c>
      <c r="C666" s="10">
        <f>VLOOKUP(Ventas!$D666,Productos!$A$1:$D$16,4,FALSE)*Ventas!F666</f>
        <v>2204</v>
      </c>
      <c r="D666" s="10">
        <f>VLOOKUP(Ventas!$D666,Productos!$A$1:$D$16,3,FALSE)*Ventas!F666</f>
        <v>1216</v>
      </c>
      <c r="E666" s="10">
        <f t="shared" si="10"/>
        <v>988</v>
      </c>
      <c r="F666" s="9">
        <f>YEAR(Ventas!G666)</f>
        <v>2015</v>
      </c>
      <c r="G666" s="9">
        <f>MONTH(Ventas!G666)</f>
        <v>12</v>
      </c>
      <c r="H666" s="9" t="str">
        <f>VLOOKUP(Ventas!C666,Países!$A$2:$B$186,2,FALSE)</f>
        <v>Sub-Saharan Africa</v>
      </c>
      <c r="I666" s="9" t="str">
        <f>Ventas!E666</f>
        <v>Online</v>
      </c>
    </row>
    <row r="667" spans="2:9" x14ac:dyDescent="0.25">
      <c r="B667" s="12">
        <f>Ventas!F667</f>
        <v>151</v>
      </c>
      <c r="C667" s="10">
        <f>VLOOKUP(Ventas!$D667,Productos!$A$1:$D$16,4,FALSE)*Ventas!F667</f>
        <v>1359</v>
      </c>
      <c r="D667" s="10">
        <f>VLOOKUP(Ventas!$D667,Productos!$A$1:$D$16,3,FALSE)*Ventas!F667</f>
        <v>906</v>
      </c>
      <c r="E667" s="10">
        <f t="shared" si="10"/>
        <v>453</v>
      </c>
      <c r="F667" s="9">
        <f>YEAR(Ventas!G667)</f>
        <v>2015</v>
      </c>
      <c r="G667" s="9">
        <f>MONTH(Ventas!G667)</f>
        <v>10</v>
      </c>
      <c r="H667" s="9" t="str">
        <f>VLOOKUP(Ventas!C667,Países!$A$2:$B$186,2,FALSE)</f>
        <v>Sub-Saharan Africa</v>
      </c>
      <c r="I667" s="9" t="str">
        <f>Ventas!E667</f>
        <v>Online</v>
      </c>
    </row>
    <row r="668" spans="2:9" x14ac:dyDescent="0.25">
      <c r="B668" s="12">
        <f>Ventas!F668</f>
        <v>74</v>
      </c>
      <c r="C668" s="10">
        <f>VLOOKUP(Ventas!$D668,Productos!$A$1:$D$16,4,FALSE)*Ventas!F668</f>
        <v>517.26</v>
      </c>
      <c r="D668" s="10">
        <f>VLOOKUP(Ventas!$D668,Productos!$A$1:$D$16,3,FALSE)*Ventas!F668</f>
        <v>259</v>
      </c>
      <c r="E668" s="10">
        <f t="shared" si="10"/>
        <v>258.26</v>
      </c>
      <c r="F668" s="9">
        <f>YEAR(Ventas!G668)</f>
        <v>2015</v>
      </c>
      <c r="G668" s="9">
        <f>MONTH(Ventas!G668)</f>
        <v>12</v>
      </c>
      <c r="H668" s="9" t="str">
        <f>VLOOKUP(Ventas!C668,Países!$A$2:$B$186,2,FALSE)</f>
        <v>Asia</v>
      </c>
      <c r="I668" s="9" t="str">
        <f>Ventas!E668</f>
        <v>Online</v>
      </c>
    </row>
    <row r="669" spans="2:9" x14ac:dyDescent="0.25">
      <c r="B669" s="12">
        <f>Ventas!F669</f>
        <v>47</v>
      </c>
      <c r="C669" s="10">
        <f>VLOOKUP(Ventas!$D669,Productos!$A$1:$D$16,4,FALSE)*Ventas!F669</f>
        <v>469.53000000000003</v>
      </c>
      <c r="D669" s="10">
        <f>VLOOKUP(Ventas!$D669,Productos!$A$1:$D$16,3,FALSE)*Ventas!F669</f>
        <v>235</v>
      </c>
      <c r="E669" s="10">
        <f t="shared" si="10"/>
        <v>234.53000000000003</v>
      </c>
      <c r="F669" s="9">
        <f>YEAR(Ventas!G669)</f>
        <v>2015</v>
      </c>
      <c r="G669" s="9">
        <f>MONTH(Ventas!G669)</f>
        <v>10</v>
      </c>
      <c r="H669" s="9" t="str">
        <f>VLOOKUP(Ventas!C669,Países!$A$2:$B$186,2,FALSE)</f>
        <v>Sub-Saharan Africa</v>
      </c>
      <c r="I669" s="9" t="str">
        <f>Ventas!E669</f>
        <v>Retail</v>
      </c>
    </row>
    <row r="670" spans="2:9" x14ac:dyDescent="0.25">
      <c r="B670" s="12">
        <f>Ventas!F670</f>
        <v>189</v>
      </c>
      <c r="C670" s="10">
        <f>VLOOKUP(Ventas!$D670,Productos!$A$1:$D$16,4,FALSE)*Ventas!F670</f>
        <v>754.11</v>
      </c>
      <c r="D670" s="10">
        <f>VLOOKUP(Ventas!$D670,Productos!$A$1:$D$16,3,FALSE)*Ventas!F670</f>
        <v>378</v>
      </c>
      <c r="E670" s="10">
        <f t="shared" si="10"/>
        <v>376.11</v>
      </c>
      <c r="F670" s="9">
        <f>YEAR(Ventas!G670)</f>
        <v>2015</v>
      </c>
      <c r="G670" s="9">
        <f>MONTH(Ventas!G670)</f>
        <v>10</v>
      </c>
      <c r="H670" s="9" t="str">
        <f>VLOOKUP(Ventas!C670,Países!$A$2:$B$186,2,FALSE)</f>
        <v>Sub-Saharan Africa</v>
      </c>
      <c r="I670" s="9" t="str">
        <f>Ventas!E670</f>
        <v>Online</v>
      </c>
    </row>
    <row r="671" spans="2:9" x14ac:dyDescent="0.25">
      <c r="B671" s="12">
        <f>Ventas!F671</f>
        <v>138</v>
      </c>
      <c r="C671" s="10">
        <f>VLOOKUP(Ventas!$D671,Productos!$A$1:$D$16,4,FALSE)*Ventas!F671</f>
        <v>550.62</v>
      </c>
      <c r="D671" s="10">
        <f>VLOOKUP(Ventas!$D671,Productos!$A$1:$D$16,3,FALSE)*Ventas!F671</f>
        <v>276</v>
      </c>
      <c r="E671" s="10">
        <f t="shared" si="10"/>
        <v>274.62</v>
      </c>
      <c r="F671" s="9">
        <f>YEAR(Ventas!G671)</f>
        <v>2015</v>
      </c>
      <c r="G671" s="9">
        <f>MONTH(Ventas!G671)</f>
        <v>9</v>
      </c>
      <c r="H671" s="9" t="str">
        <f>VLOOKUP(Ventas!C671,Países!$A$2:$B$186,2,FALSE)</f>
        <v>Middle East and North Africa</v>
      </c>
      <c r="I671" s="9" t="str">
        <f>Ventas!E671</f>
        <v>Retail</v>
      </c>
    </row>
    <row r="672" spans="2:9" x14ac:dyDescent="0.25">
      <c r="B672" s="12">
        <f>Ventas!F672</f>
        <v>115</v>
      </c>
      <c r="C672" s="10">
        <f>VLOOKUP(Ventas!$D672,Productos!$A$1:$D$16,4,FALSE)*Ventas!F672</f>
        <v>747.5</v>
      </c>
      <c r="D672" s="10">
        <f>VLOOKUP(Ventas!$D672,Productos!$A$1:$D$16,3,FALSE)*Ventas!F672</f>
        <v>402.5</v>
      </c>
      <c r="E672" s="10">
        <f t="shared" si="10"/>
        <v>345</v>
      </c>
      <c r="F672" s="9">
        <f>YEAR(Ventas!G672)</f>
        <v>2015</v>
      </c>
      <c r="G672" s="9">
        <f>MONTH(Ventas!G672)</f>
        <v>10</v>
      </c>
      <c r="H672" s="9" t="str">
        <f>VLOOKUP(Ventas!C672,Países!$A$2:$B$186,2,FALSE)</f>
        <v>Middle East and North Africa</v>
      </c>
      <c r="I672" s="9" t="str">
        <f>Ventas!E672</f>
        <v>Retail</v>
      </c>
    </row>
    <row r="673" spans="2:9" x14ac:dyDescent="0.25">
      <c r="B673" s="12">
        <f>Ventas!F673</f>
        <v>208</v>
      </c>
      <c r="C673" s="10">
        <f>VLOOKUP(Ventas!$D673,Productos!$A$1:$D$16,4,FALSE)*Ventas!F673</f>
        <v>2077.92</v>
      </c>
      <c r="D673" s="10">
        <f>VLOOKUP(Ventas!$D673,Productos!$A$1:$D$16,3,FALSE)*Ventas!F673</f>
        <v>1040</v>
      </c>
      <c r="E673" s="10">
        <f t="shared" si="10"/>
        <v>1037.92</v>
      </c>
      <c r="F673" s="9">
        <f>YEAR(Ventas!G673)</f>
        <v>2015</v>
      </c>
      <c r="G673" s="9">
        <f>MONTH(Ventas!G673)</f>
        <v>12</v>
      </c>
      <c r="H673" s="9" t="str">
        <f>VLOOKUP(Ventas!C673,Países!$A$2:$B$186,2,FALSE)</f>
        <v>Europe</v>
      </c>
      <c r="I673" s="9" t="str">
        <f>Ventas!E673</f>
        <v>Online</v>
      </c>
    </row>
    <row r="674" spans="2:9" x14ac:dyDescent="0.25">
      <c r="B674" s="12">
        <f>Ventas!F674</f>
        <v>166</v>
      </c>
      <c r="C674" s="10">
        <f>VLOOKUP(Ventas!$D674,Productos!$A$1:$D$16,4,FALSE)*Ventas!F674</f>
        <v>498</v>
      </c>
      <c r="D674" s="10">
        <f>VLOOKUP(Ventas!$D674,Productos!$A$1:$D$16,3,FALSE)*Ventas!F674</f>
        <v>249</v>
      </c>
      <c r="E674" s="10">
        <f t="shared" si="10"/>
        <v>249</v>
      </c>
      <c r="F674" s="9">
        <f>YEAR(Ventas!G674)</f>
        <v>2015</v>
      </c>
      <c r="G674" s="9">
        <f>MONTH(Ventas!G674)</f>
        <v>11</v>
      </c>
      <c r="H674" s="9" t="str">
        <f>VLOOKUP(Ventas!C674,Países!$A$2:$B$186,2,FALSE)</f>
        <v>Australia and Oceania</v>
      </c>
      <c r="I674" s="9" t="str">
        <f>Ventas!E674</f>
        <v>Direct</v>
      </c>
    </row>
    <row r="675" spans="2:9" x14ac:dyDescent="0.25">
      <c r="B675" s="12">
        <f>Ventas!F675</f>
        <v>17</v>
      </c>
      <c r="C675" s="10">
        <f>VLOOKUP(Ventas!$D675,Productos!$A$1:$D$16,4,FALSE)*Ventas!F675</f>
        <v>118.83</v>
      </c>
      <c r="D675" s="10">
        <f>VLOOKUP(Ventas!$D675,Productos!$A$1:$D$16,3,FALSE)*Ventas!F675</f>
        <v>59.5</v>
      </c>
      <c r="E675" s="10">
        <f t="shared" si="10"/>
        <v>59.33</v>
      </c>
      <c r="F675" s="9">
        <f>YEAR(Ventas!G675)</f>
        <v>2015</v>
      </c>
      <c r="G675" s="9">
        <f>MONTH(Ventas!G675)</f>
        <v>10</v>
      </c>
      <c r="H675" s="9" t="str">
        <f>VLOOKUP(Ventas!C675,Países!$A$2:$B$186,2,FALSE)</f>
        <v>Middle East and North Africa</v>
      </c>
      <c r="I675" s="9" t="str">
        <f>Ventas!E675</f>
        <v>Online</v>
      </c>
    </row>
    <row r="676" spans="2:9" x14ac:dyDescent="0.25">
      <c r="B676" s="12">
        <f>Ventas!F676</f>
        <v>195</v>
      </c>
      <c r="C676" s="10">
        <f>VLOOKUP(Ventas!$D676,Productos!$A$1:$D$16,4,FALSE)*Ventas!F676</f>
        <v>877.5</v>
      </c>
      <c r="D676" s="10">
        <f>VLOOKUP(Ventas!$D676,Productos!$A$1:$D$16,3,FALSE)*Ventas!F676</f>
        <v>487.5</v>
      </c>
      <c r="E676" s="10">
        <f t="shared" si="10"/>
        <v>390</v>
      </c>
      <c r="F676" s="9">
        <f>YEAR(Ventas!G676)</f>
        <v>2015</v>
      </c>
      <c r="G676" s="9">
        <f>MONTH(Ventas!G676)</f>
        <v>10</v>
      </c>
      <c r="H676" s="9" t="str">
        <f>VLOOKUP(Ventas!C676,Países!$A$2:$B$186,2,FALSE)</f>
        <v>Central America and the Caribbean</v>
      </c>
      <c r="I676" s="9" t="str">
        <f>Ventas!E676</f>
        <v>Online</v>
      </c>
    </row>
    <row r="677" spans="2:9" x14ac:dyDescent="0.25">
      <c r="B677" s="12">
        <f>Ventas!F677</f>
        <v>162</v>
      </c>
      <c r="C677" s="10">
        <f>VLOOKUP(Ventas!$D677,Productos!$A$1:$D$16,4,FALSE)*Ventas!F677</f>
        <v>1458</v>
      </c>
      <c r="D677" s="10">
        <f>VLOOKUP(Ventas!$D677,Productos!$A$1:$D$16,3,FALSE)*Ventas!F677</f>
        <v>972</v>
      </c>
      <c r="E677" s="10">
        <f t="shared" si="10"/>
        <v>486</v>
      </c>
      <c r="F677" s="9">
        <f>YEAR(Ventas!G677)</f>
        <v>2015</v>
      </c>
      <c r="G677" s="9">
        <f>MONTH(Ventas!G677)</f>
        <v>12</v>
      </c>
      <c r="H677" s="9" t="str">
        <f>VLOOKUP(Ventas!C677,Países!$A$2:$B$186,2,FALSE)</f>
        <v>Sub-Saharan Africa</v>
      </c>
      <c r="I677" s="9" t="str">
        <f>Ventas!E677</f>
        <v>Retail</v>
      </c>
    </row>
    <row r="678" spans="2:9" x14ac:dyDescent="0.25">
      <c r="B678" s="12">
        <f>Ventas!F678</f>
        <v>45</v>
      </c>
      <c r="C678" s="10">
        <f>VLOOKUP(Ventas!$D678,Productos!$A$1:$D$16,4,FALSE)*Ventas!F678</f>
        <v>652.5</v>
      </c>
      <c r="D678" s="10">
        <f>VLOOKUP(Ventas!$D678,Productos!$A$1:$D$16,3,FALSE)*Ventas!F678</f>
        <v>360</v>
      </c>
      <c r="E678" s="10">
        <f t="shared" si="10"/>
        <v>292.5</v>
      </c>
      <c r="F678" s="9">
        <f>YEAR(Ventas!G678)</f>
        <v>2015</v>
      </c>
      <c r="G678" s="9">
        <f>MONTH(Ventas!G678)</f>
        <v>10</v>
      </c>
      <c r="H678" s="9" t="str">
        <f>VLOOKUP(Ventas!C678,Países!$A$2:$B$186,2,FALSE)</f>
        <v>Middle East and North Africa</v>
      </c>
      <c r="I678" s="9" t="str">
        <f>Ventas!E678</f>
        <v>Retail</v>
      </c>
    </row>
    <row r="679" spans="2:9" x14ac:dyDescent="0.25">
      <c r="B679" s="12">
        <f>Ventas!F679</f>
        <v>163</v>
      </c>
      <c r="C679" s="10">
        <f>VLOOKUP(Ventas!$D679,Productos!$A$1:$D$16,4,FALSE)*Ventas!F679</f>
        <v>1059.5</v>
      </c>
      <c r="D679" s="10">
        <f>VLOOKUP(Ventas!$D679,Productos!$A$1:$D$16,3,FALSE)*Ventas!F679</f>
        <v>570.5</v>
      </c>
      <c r="E679" s="10">
        <f t="shared" si="10"/>
        <v>489</v>
      </c>
      <c r="F679" s="9">
        <f>YEAR(Ventas!G679)</f>
        <v>2015</v>
      </c>
      <c r="G679" s="9">
        <f>MONTH(Ventas!G679)</f>
        <v>9</v>
      </c>
      <c r="H679" s="9" t="str">
        <f>VLOOKUP(Ventas!C679,Países!$A$2:$B$186,2,FALSE)</f>
        <v>Central America and the Caribbean</v>
      </c>
      <c r="I679" s="9" t="str">
        <f>Ventas!E679</f>
        <v>Online</v>
      </c>
    </row>
    <row r="680" spans="2:9" x14ac:dyDescent="0.25">
      <c r="B680" s="12">
        <f>Ventas!F680</f>
        <v>131</v>
      </c>
      <c r="C680" s="10">
        <f>VLOOKUP(Ventas!$D680,Productos!$A$1:$D$16,4,FALSE)*Ventas!F680</f>
        <v>393</v>
      </c>
      <c r="D680" s="10">
        <f>VLOOKUP(Ventas!$D680,Productos!$A$1:$D$16,3,FALSE)*Ventas!F680</f>
        <v>196.5</v>
      </c>
      <c r="E680" s="10">
        <f t="shared" si="10"/>
        <v>196.5</v>
      </c>
      <c r="F680" s="9">
        <f>YEAR(Ventas!G680)</f>
        <v>2015</v>
      </c>
      <c r="G680" s="9">
        <f>MONTH(Ventas!G680)</f>
        <v>11</v>
      </c>
      <c r="H680" s="9" t="str">
        <f>VLOOKUP(Ventas!C680,Países!$A$2:$B$186,2,FALSE)</f>
        <v>Europe</v>
      </c>
      <c r="I680" s="9" t="str">
        <f>Ventas!E680</f>
        <v>Online</v>
      </c>
    </row>
    <row r="681" spans="2:9" x14ac:dyDescent="0.25">
      <c r="B681" s="12">
        <f>Ventas!F681</f>
        <v>54</v>
      </c>
      <c r="C681" s="10">
        <f>VLOOKUP(Ventas!$D681,Productos!$A$1:$D$16,4,FALSE)*Ventas!F681</f>
        <v>243</v>
      </c>
      <c r="D681" s="10">
        <f>VLOOKUP(Ventas!$D681,Productos!$A$1:$D$16,3,FALSE)*Ventas!F681</f>
        <v>135</v>
      </c>
      <c r="E681" s="10">
        <f t="shared" si="10"/>
        <v>108</v>
      </c>
      <c r="F681" s="9">
        <f>YEAR(Ventas!G681)</f>
        <v>2015</v>
      </c>
      <c r="G681" s="9">
        <f>MONTH(Ventas!G681)</f>
        <v>9</v>
      </c>
      <c r="H681" s="9" t="str">
        <f>VLOOKUP(Ventas!C681,Países!$A$2:$B$186,2,FALSE)</f>
        <v>Australia and Oceania</v>
      </c>
      <c r="I681" s="9" t="str">
        <f>Ventas!E681</f>
        <v>Online</v>
      </c>
    </row>
    <row r="682" spans="2:9" x14ac:dyDescent="0.25">
      <c r="B682" s="12">
        <f>Ventas!F682</f>
        <v>117</v>
      </c>
      <c r="C682" s="10">
        <f>VLOOKUP(Ventas!$D682,Productos!$A$1:$D$16,4,FALSE)*Ventas!F682</f>
        <v>1696.5</v>
      </c>
      <c r="D682" s="10">
        <f>VLOOKUP(Ventas!$D682,Productos!$A$1:$D$16,3,FALSE)*Ventas!F682</f>
        <v>936</v>
      </c>
      <c r="E682" s="10">
        <f t="shared" si="10"/>
        <v>760.5</v>
      </c>
      <c r="F682" s="9">
        <f>YEAR(Ventas!G682)</f>
        <v>2015</v>
      </c>
      <c r="G682" s="9">
        <f>MONTH(Ventas!G682)</f>
        <v>12</v>
      </c>
      <c r="H682" s="9" t="str">
        <f>VLOOKUP(Ventas!C682,Países!$A$2:$B$186,2,FALSE)</f>
        <v>Central America and the Caribbean</v>
      </c>
      <c r="I682" s="9" t="str">
        <f>Ventas!E682</f>
        <v>Online</v>
      </c>
    </row>
    <row r="683" spans="2:9" x14ac:dyDescent="0.25">
      <c r="B683" s="12">
        <f>Ventas!F683</f>
        <v>128</v>
      </c>
      <c r="C683" s="10">
        <f>VLOOKUP(Ventas!$D683,Productos!$A$1:$D$16,4,FALSE)*Ventas!F683</f>
        <v>1152</v>
      </c>
      <c r="D683" s="10">
        <f>VLOOKUP(Ventas!$D683,Productos!$A$1:$D$16,3,FALSE)*Ventas!F683</f>
        <v>768</v>
      </c>
      <c r="E683" s="10">
        <f t="shared" si="10"/>
        <v>384</v>
      </c>
      <c r="F683" s="9">
        <f>YEAR(Ventas!G683)</f>
        <v>2015</v>
      </c>
      <c r="G683" s="9">
        <f>MONTH(Ventas!G683)</f>
        <v>12</v>
      </c>
      <c r="H683" s="9" t="str">
        <f>VLOOKUP(Ventas!C683,Países!$A$2:$B$186,2,FALSE)</f>
        <v>Sub-Saharan Africa</v>
      </c>
      <c r="I683" s="9" t="str">
        <f>Ventas!E683</f>
        <v>Online</v>
      </c>
    </row>
    <row r="684" spans="2:9" x14ac:dyDescent="0.25">
      <c r="B684" s="12">
        <f>Ventas!F684</f>
        <v>170</v>
      </c>
      <c r="C684" s="10">
        <f>VLOOKUP(Ventas!$D684,Productos!$A$1:$D$16,4,FALSE)*Ventas!F684</f>
        <v>1105</v>
      </c>
      <c r="D684" s="10">
        <f>VLOOKUP(Ventas!$D684,Productos!$A$1:$D$16,3,FALSE)*Ventas!F684</f>
        <v>595</v>
      </c>
      <c r="E684" s="10">
        <f t="shared" si="10"/>
        <v>510</v>
      </c>
      <c r="F684" s="9">
        <f>YEAR(Ventas!G684)</f>
        <v>2015</v>
      </c>
      <c r="G684" s="9">
        <f>MONTH(Ventas!G684)</f>
        <v>11</v>
      </c>
      <c r="H684" s="9" t="str">
        <f>VLOOKUP(Ventas!C684,Países!$A$2:$B$186,2,FALSE)</f>
        <v>Europe</v>
      </c>
      <c r="I684" s="9" t="str">
        <f>Ventas!E684</f>
        <v>Online</v>
      </c>
    </row>
    <row r="685" spans="2:9" x14ac:dyDescent="0.25">
      <c r="B685" s="12">
        <f>Ventas!F685</f>
        <v>183</v>
      </c>
      <c r="C685" s="10">
        <f>VLOOKUP(Ventas!$D685,Productos!$A$1:$D$16,4,FALSE)*Ventas!F685</f>
        <v>1189.5</v>
      </c>
      <c r="D685" s="10">
        <f>VLOOKUP(Ventas!$D685,Productos!$A$1:$D$16,3,FALSE)*Ventas!F685</f>
        <v>640.5</v>
      </c>
      <c r="E685" s="10">
        <f t="shared" si="10"/>
        <v>549</v>
      </c>
      <c r="F685" s="9">
        <f>YEAR(Ventas!G685)</f>
        <v>2015</v>
      </c>
      <c r="G685" s="9">
        <f>MONTH(Ventas!G685)</f>
        <v>11</v>
      </c>
      <c r="H685" s="9" t="str">
        <f>VLOOKUP(Ventas!C685,Países!$A$2:$B$186,2,FALSE)</f>
        <v>Europe</v>
      </c>
      <c r="I685" s="9" t="str">
        <f>Ventas!E685</f>
        <v>Online</v>
      </c>
    </row>
    <row r="686" spans="2:9" x14ac:dyDescent="0.25">
      <c r="B686" s="12">
        <f>Ventas!F686</f>
        <v>139</v>
      </c>
      <c r="C686" s="10">
        <f>VLOOKUP(Ventas!$D686,Productos!$A$1:$D$16,4,FALSE)*Ventas!F686</f>
        <v>834</v>
      </c>
      <c r="D686" s="10">
        <f>VLOOKUP(Ventas!$D686,Productos!$A$1:$D$16,3,FALSE)*Ventas!F686</f>
        <v>417</v>
      </c>
      <c r="E686" s="10">
        <f t="shared" si="10"/>
        <v>417</v>
      </c>
      <c r="F686" s="9">
        <f>YEAR(Ventas!G686)</f>
        <v>2015</v>
      </c>
      <c r="G686" s="9">
        <f>MONTH(Ventas!G686)</f>
        <v>11</v>
      </c>
      <c r="H686" s="9" t="str">
        <f>VLOOKUP(Ventas!C686,Países!$A$2:$B$186,2,FALSE)</f>
        <v>Sub-Saharan Africa</v>
      </c>
      <c r="I686" s="9" t="str">
        <f>Ventas!E686</f>
        <v>Online</v>
      </c>
    </row>
    <row r="687" spans="2:9" x14ac:dyDescent="0.25">
      <c r="B687" s="12">
        <f>Ventas!F687</f>
        <v>113</v>
      </c>
      <c r="C687" s="10">
        <f>VLOOKUP(Ventas!$D687,Productos!$A$1:$D$16,4,FALSE)*Ventas!F687</f>
        <v>508.5</v>
      </c>
      <c r="D687" s="10">
        <f>VLOOKUP(Ventas!$D687,Productos!$A$1:$D$16,3,FALSE)*Ventas!F687</f>
        <v>282.5</v>
      </c>
      <c r="E687" s="10">
        <f t="shared" si="10"/>
        <v>226</v>
      </c>
      <c r="F687" s="9">
        <f>YEAR(Ventas!G687)</f>
        <v>2015</v>
      </c>
      <c r="G687" s="9">
        <f>MONTH(Ventas!G687)</f>
        <v>12</v>
      </c>
      <c r="H687" s="9" t="str">
        <f>VLOOKUP(Ventas!C687,Países!$A$2:$B$186,2,FALSE)</f>
        <v>Europe</v>
      </c>
      <c r="I687" s="9" t="str">
        <f>Ventas!E687</f>
        <v>Online</v>
      </c>
    </row>
    <row r="688" spans="2:9" x14ac:dyDescent="0.25">
      <c r="B688" s="12">
        <f>Ventas!F688</f>
        <v>170</v>
      </c>
      <c r="C688" s="10">
        <f>VLOOKUP(Ventas!$D688,Productos!$A$1:$D$16,4,FALSE)*Ventas!F688</f>
        <v>510</v>
      </c>
      <c r="D688" s="10">
        <f>VLOOKUP(Ventas!$D688,Productos!$A$1:$D$16,3,FALSE)*Ventas!F688</f>
        <v>255</v>
      </c>
      <c r="E688" s="10">
        <f t="shared" si="10"/>
        <v>255</v>
      </c>
      <c r="F688" s="9">
        <f>YEAR(Ventas!G688)</f>
        <v>2015</v>
      </c>
      <c r="G688" s="9">
        <f>MONTH(Ventas!G688)</f>
        <v>11</v>
      </c>
      <c r="H688" s="9" t="str">
        <f>VLOOKUP(Ventas!C688,Países!$A$2:$B$186,2,FALSE)</f>
        <v>Asia</v>
      </c>
      <c r="I688" s="9" t="str">
        <f>Ventas!E688</f>
        <v>Online</v>
      </c>
    </row>
    <row r="689" spans="2:9" x14ac:dyDescent="0.25">
      <c r="B689" s="12">
        <f>Ventas!F689</f>
        <v>19</v>
      </c>
      <c r="C689" s="10">
        <f>VLOOKUP(Ventas!$D689,Productos!$A$1:$D$16,4,FALSE)*Ventas!F689</f>
        <v>114</v>
      </c>
      <c r="D689" s="10">
        <f>VLOOKUP(Ventas!$D689,Productos!$A$1:$D$16,3,FALSE)*Ventas!F689</f>
        <v>57</v>
      </c>
      <c r="E689" s="10">
        <f t="shared" si="10"/>
        <v>57</v>
      </c>
      <c r="F689" s="9">
        <f>YEAR(Ventas!G689)</f>
        <v>2015</v>
      </c>
      <c r="G689" s="9">
        <f>MONTH(Ventas!G689)</f>
        <v>9</v>
      </c>
      <c r="H689" s="9" t="str">
        <f>VLOOKUP(Ventas!C689,Países!$A$2:$B$186,2,FALSE)</f>
        <v>Asia</v>
      </c>
      <c r="I689" s="9" t="str">
        <f>Ventas!E689</f>
        <v>Online</v>
      </c>
    </row>
    <row r="690" spans="2:9" x14ac:dyDescent="0.25">
      <c r="B690" s="12">
        <f>Ventas!F690</f>
        <v>93</v>
      </c>
      <c r="C690" s="10">
        <f>VLOOKUP(Ventas!$D690,Productos!$A$1:$D$16,4,FALSE)*Ventas!F690</f>
        <v>371.07</v>
      </c>
      <c r="D690" s="10">
        <f>VLOOKUP(Ventas!$D690,Productos!$A$1:$D$16,3,FALSE)*Ventas!F690</f>
        <v>186</v>
      </c>
      <c r="E690" s="10">
        <f t="shared" si="10"/>
        <v>185.07</v>
      </c>
      <c r="F690" s="9">
        <f>YEAR(Ventas!G690)</f>
        <v>2015</v>
      </c>
      <c r="G690" s="9">
        <f>MONTH(Ventas!G690)</f>
        <v>12</v>
      </c>
      <c r="H690" s="9" t="str">
        <f>VLOOKUP(Ventas!C690,Países!$A$2:$B$186,2,FALSE)</f>
        <v>Sub-Saharan Africa</v>
      </c>
      <c r="I690" s="9" t="str">
        <f>Ventas!E690</f>
        <v>Retail</v>
      </c>
    </row>
    <row r="691" spans="2:9" x14ac:dyDescent="0.25">
      <c r="B691" s="12">
        <f>Ventas!F691</f>
        <v>10</v>
      </c>
      <c r="C691" s="10">
        <f>VLOOKUP(Ventas!$D691,Productos!$A$1:$D$16,4,FALSE)*Ventas!F691</f>
        <v>65</v>
      </c>
      <c r="D691" s="10">
        <f>VLOOKUP(Ventas!$D691,Productos!$A$1:$D$16,3,FALSE)*Ventas!F691</f>
        <v>35</v>
      </c>
      <c r="E691" s="10">
        <f t="shared" si="10"/>
        <v>30</v>
      </c>
      <c r="F691" s="9">
        <f>YEAR(Ventas!G691)</f>
        <v>2015</v>
      </c>
      <c r="G691" s="9">
        <f>MONTH(Ventas!G691)</f>
        <v>12</v>
      </c>
      <c r="H691" s="9" t="str">
        <f>VLOOKUP(Ventas!C691,Países!$A$2:$B$186,2,FALSE)</f>
        <v>Australia and Oceania</v>
      </c>
      <c r="I691" s="9" t="str">
        <f>Ventas!E691</f>
        <v>Online</v>
      </c>
    </row>
    <row r="692" spans="2:9" x14ac:dyDescent="0.25">
      <c r="B692" s="12">
        <f>Ventas!F692</f>
        <v>81</v>
      </c>
      <c r="C692" s="10">
        <f>VLOOKUP(Ventas!$D692,Productos!$A$1:$D$16,4,FALSE)*Ventas!F692</f>
        <v>526.5</v>
      </c>
      <c r="D692" s="10">
        <f>VLOOKUP(Ventas!$D692,Productos!$A$1:$D$16,3,FALSE)*Ventas!F692</f>
        <v>283.5</v>
      </c>
      <c r="E692" s="10">
        <f t="shared" si="10"/>
        <v>243</v>
      </c>
      <c r="F692" s="9">
        <f>YEAR(Ventas!G692)</f>
        <v>2015</v>
      </c>
      <c r="G692" s="9">
        <f>MONTH(Ventas!G692)</f>
        <v>11</v>
      </c>
      <c r="H692" s="9" t="str">
        <f>VLOOKUP(Ventas!C692,Países!$A$2:$B$186,2,FALSE)</f>
        <v>Europe</v>
      </c>
      <c r="I692" s="9" t="str">
        <f>Ventas!E692</f>
        <v>Retail</v>
      </c>
    </row>
    <row r="693" spans="2:9" x14ac:dyDescent="0.25">
      <c r="B693" s="12">
        <f>Ventas!F693</f>
        <v>164</v>
      </c>
      <c r="C693" s="10">
        <f>VLOOKUP(Ventas!$D693,Productos!$A$1:$D$16,4,FALSE)*Ventas!F693</f>
        <v>492</v>
      </c>
      <c r="D693" s="10">
        <f>VLOOKUP(Ventas!$D693,Productos!$A$1:$D$16,3,FALSE)*Ventas!F693</f>
        <v>246</v>
      </c>
      <c r="E693" s="10">
        <f t="shared" si="10"/>
        <v>246</v>
      </c>
      <c r="F693" s="9">
        <f>YEAR(Ventas!G693)</f>
        <v>2015</v>
      </c>
      <c r="G693" s="9">
        <f>MONTH(Ventas!G693)</f>
        <v>9</v>
      </c>
      <c r="H693" s="9" t="str">
        <f>VLOOKUP(Ventas!C693,Países!$A$2:$B$186,2,FALSE)</f>
        <v>Sub-Saharan Africa</v>
      </c>
      <c r="I693" s="9" t="str">
        <f>Ventas!E693</f>
        <v>Online</v>
      </c>
    </row>
    <row r="694" spans="2:9" x14ac:dyDescent="0.25">
      <c r="B694" s="12">
        <f>Ventas!F694</f>
        <v>106</v>
      </c>
      <c r="C694" s="10">
        <f>VLOOKUP(Ventas!$D694,Productos!$A$1:$D$16,4,FALSE)*Ventas!F694</f>
        <v>318</v>
      </c>
      <c r="D694" s="10">
        <f>VLOOKUP(Ventas!$D694,Productos!$A$1:$D$16,3,FALSE)*Ventas!F694</f>
        <v>159</v>
      </c>
      <c r="E694" s="10">
        <f t="shared" si="10"/>
        <v>159</v>
      </c>
      <c r="F694" s="9">
        <f>YEAR(Ventas!G694)</f>
        <v>2015</v>
      </c>
      <c r="G694" s="9">
        <f>MONTH(Ventas!G694)</f>
        <v>10</v>
      </c>
      <c r="H694" s="9" t="str">
        <f>VLOOKUP(Ventas!C694,Países!$A$2:$B$186,2,FALSE)</f>
        <v>Middle East and North Africa</v>
      </c>
      <c r="I694" s="9" t="str">
        <f>Ventas!E694</f>
        <v>Online</v>
      </c>
    </row>
    <row r="695" spans="2:9" x14ac:dyDescent="0.25">
      <c r="B695" s="12">
        <f>Ventas!F695</f>
        <v>26</v>
      </c>
      <c r="C695" s="10">
        <f>VLOOKUP(Ventas!$D695,Productos!$A$1:$D$16,4,FALSE)*Ventas!F695</f>
        <v>103.74000000000001</v>
      </c>
      <c r="D695" s="10">
        <f>VLOOKUP(Ventas!$D695,Productos!$A$1:$D$16,3,FALSE)*Ventas!F695</f>
        <v>52</v>
      </c>
      <c r="E695" s="10">
        <f t="shared" si="10"/>
        <v>51.740000000000009</v>
      </c>
      <c r="F695" s="9">
        <f>YEAR(Ventas!G695)</f>
        <v>2015</v>
      </c>
      <c r="G695" s="9">
        <f>MONTH(Ventas!G695)</f>
        <v>10</v>
      </c>
      <c r="H695" s="9" t="str">
        <f>VLOOKUP(Ventas!C695,Países!$A$2:$B$186,2,FALSE)</f>
        <v>Europe</v>
      </c>
      <c r="I695" s="9" t="str">
        <f>Ventas!E695</f>
        <v>Online</v>
      </c>
    </row>
    <row r="696" spans="2:9" x14ac:dyDescent="0.25">
      <c r="B696" s="12">
        <f>Ventas!F696</f>
        <v>183</v>
      </c>
      <c r="C696" s="10">
        <f>VLOOKUP(Ventas!$D696,Productos!$A$1:$D$16,4,FALSE)*Ventas!F696</f>
        <v>1098</v>
      </c>
      <c r="D696" s="10">
        <f>VLOOKUP(Ventas!$D696,Productos!$A$1:$D$16,3,FALSE)*Ventas!F696</f>
        <v>549</v>
      </c>
      <c r="E696" s="10">
        <f t="shared" si="10"/>
        <v>549</v>
      </c>
      <c r="F696" s="9">
        <f>YEAR(Ventas!G696)</f>
        <v>2015</v>
      </c>
      <c r="G696" s="9">
        <f>MONTH(Ventas!G696)</f>
        <v>11</v>
      </c>
      <c r="H696" s="9" t="str">
        <f>VLOOKUP(Ventas!C696,Países!$A$2:$B$186,2,FALSE)</f>
        <v>Sub-Saharan Africa</v>
      </c>
      <c r="I696" s="9" t="str">
        <f>Ventas!E696</f>
        <v>Retail</v>
      </c>
    </row>
    <row r="697" spans="2:9" x14ac:dyDescent="0.25">
      <c r="B697" s="12">
        <f>Ventas!F697</f>
        <v>81</v>
      </c>
      <c r="C697" s="10">
        <f>VLOOKUP(Ventas!$D697,Productos!$A$1:$D$16,4,FALSE)*Ventas!F697</f>
        <v>162</v>
      </c>
      <c r="D697" s="10">
        <f>VLOOKUP(Ventas!$D697,Productos!$A$1:$D$16,3,FALSE)*Ventas!F697</f>
        <v>81</v>
      </c>
      <c r="E697" s="10">
        <f t="shared" si="10"/>
        <v>81</v>
      </c>
      <c r="F697" s="9">
        <f>YEAR(Ventas!G697)</f>
        <v>2015</v>
      </c>
      <c r="G697" s="9">
        <f>MONTH(Ventas!G697)</f>
        <v>10</v>
      </c>
      <c r="H697" s="9" t="str">
        <f>VLOOKUP(Ventas!C697,Países!$A$2:$B$186,2,FALSE)</f>
        <v>Australia and Oceania</v>
      </c>
      <c r="I697" s="9" t="str">
        <f>Ventas!E697</f>
        <v>Retail</v>
      </c>
    </row>
    <row r="698" spans="2:9" x14ac:dyDescent="0.25">
      <c r="B698" s="12">
        <f>Ventas!F698</f>
        <v>45</v>
      </c>
      <c r="C698" s="10">
        <f>VLOOKUP(Ventas!$D698,Productos!$A$1:$D$16,4,FALSE)*Ventas!F698</f>
        <v>405</v>
      </c>
      <c r="D698" s="10">
        <f>VLOOKUP(Ventas!$D698,Productos!$A$1:$D$16,3,FALSE)*Ventas!F698</f>
        <v>270</v>
      </c>
      <c r="E698" s="10">
        <f t="shared" si="10"/>
        <v>135</v>
      </c>
      <c r="F698" s="9">
        <f>YEAR(Ventas!G698)</f>
        <v>2015</v>
      </c>
      <c r="G698" s="9">
        <f>MONTH(Ventas!G698)</f>
        <v>12</v>
      </c>
      <c r="H698" s="9" t="str">
        <f>VLOOKUP(Ventas!C698,Países!$A$2:$B$186,2,FALSE)</f>
        <v>Sub-Saharan Africa</v>
      </c>
      <c r="I698" s="9" t="str">
        <f>Ventas!E698</f>
        <v>Online</v>
      </c>
    </row>
    <row r="699" spans="2:9" x14ac:dyDescent="0.25">
      <c r="B699" s="12">
        <f>Ventas!F699</f>
        <v>148</v>
      </c>
      <c r="C699" s="10">
        <f>VLOOKUP(Ventas!$D699,Productos!$A$1:$D$16,4,FALSE)*Ventas!F699</f>
        <v>296</v>
      </c>
      <c r="D699" s="10">
        <f>VLOOKUP(Ventas!$D699,Productos!$A$1:$D$16,3,FALSE)*Ventas!F699</f>
        <v>148</v>
      </c>
      <c r="E699" s="10">
        <f t="shared" si="10"/>
        <v>148</v>
      </c>
      <c r="F699" s="9">
        <f>YEAR(Ventas!G699)</f>
        <v>2015</v>
      </c>
      <c r="G699" s="9">
        <f>MONTH(Ventas!G699)</f>
        <v>12</v>
      </c>
      <c r="H699" s="9" t="str">
        <f>VLOOKUP(Ventas!C699,Países!$A$2:$B$186,2,FALSE)</f>
        <v>Middle East and North Africa</v>
      </c>
      <c r="I699" s="9" t="str">
        <f>Ventas!E699</f>
        <v>Retail</v>
      </c>
    </row>
    <row r="700" spans="2:9" x14ac:dyDescent="0.25">
      <c r="B700" s="12">
        <f>Ventas!F700</f>
        <v>78</v>
      </c>
      <c r="C700" s="10">
        <f>VLOOKUP(Ventas!$D700,Productos!$A$1:$D$16,4,FALSE)*Ventas!F700</f>
        <v>779.22</v>
      </c>
      <c r="D700" s="10">
        <f>VLOOKUP(Ventas!$D700,Productos!$A$1:$D$16,3,FALSE)*Ventas!F700</f>
        <v>390</v>
      </c>
      <c r="E700" s="10">
        <f t="shared" si="10"/>
        <v>389.22</v>
      </c>
      <c r="F700" s="9">
        <f>YEAR(Ventas!G700)</f>
        <v>2015</v>
      </c>
      <c r="G700" s="9">
        <f>MONTH(Ventas!G700)</f>
        <v>9</v>
      </c>
      <c r="H700" s="9" t="str">
        <f>VLOOKUP(Ventas!C700,Países!$A$2:$B$186,2,FALSE)</f>
        <v>Sub-Saharan Africa</v>
      </c>
      <c r="I700" s="9" t="str">
        <f>Ventas!E700</f>
        <v>Online</v>
      </c>
    </row>
    <row r="701" spans="2:9" x14ac:dyDescent="0.25">
      <c r="B701" s="12">
        <f>Ventas!F701</f>
        <v>133</v>
      </c>
      <c r="C701" s="10">
        <f>VLOOKUP(Ventas!$D701,Productos!$A$1:$D$16,4,FALSE)*Ventas!F701</f>
        <v>864.5</v>
      </c>
      <c r="D701" s="10">
        <f>VLOOKUP(Ventas!$D701,Productos!$A$1:$D$16,3,FALSE)*Ventas!F701</f>
        <v>465.5</v>
      </c>
      <c r="E701" s="10">
        <f t="shared" si="10"/>
        <v>399</v>
      </c>
      <c r="F701" s="9">
        <f>YEAR(Ventas!G701)</f>
        <v>2015</v>
      </c>
      <c r="G701" s="9">
        <f>MONTH(Ventas!G701)</f>
        <v>12</v>
      </c>
      <c r="H701" s="9" t="str">
        <f>VLOOKUP(Ventas!C701,Países!$A$2:$B$186,2,FALSE)</f>
        <v>Asia</v>
      </c>
      <c r="I701" s="9" t="str">
        <f>Ventas!E701</f>
        <v>Online</v>
      </c>
    </row>
    <row r="702" spans="2:9" x14ac:dyDescent="0.25">
      <c r="B702" s="12">
        <f>Ventas!F702</f>
        <v>17</v>
      </c>
      <c r="C702" s="10">
        <f>VLOOKUP(Ventas!$D702,Productos!$A$1:$D$16,4,FALSE)*Ventas!F702</f>
        <v>110.5</v>
      </c>
      <c r="D702" s="10">
        <f>VLOOKUP(Ventas!$D702,Productos!$A$1:$D$16,3,FALSE)*Ventas!F702</f>
        <v>59.5</v>
      </c>
      <c r="E702" s="10">
        <f t="shared" si="10"/>
        <v>51</v>
      </c>
      <c r="F702" s="9">
        <f>YEAR(Ventas!G702)</f>
        <v>2015</v>
      </c>
      <c r="G702" s="9">
        <f>MONTH(Ventas!G702)</f>
        <v>9</v>
      </c>
      <c r="H702" s="9" t="str">
        <f>VLOOKUP(Ventas!C702,Países!$A$2:$B$186,2,FALSE)</f>
        <v>Sub-Saharan Africa</v>
      </c>
      <c r="I702" s="9" t="str">
        <f>Ventas!E702</f>
        <v>Retail</v>
      </c>
    </row>
    <row r="703" spans="2:9" x14ac:dyDescent="0.25">
      <c r="B703" s="12">
        <f>Ventas!F703</f>
        <v>145</v>
      </c>
      <c r="C703" s="10">
        <f>VLOOKUP(Ventas!$D703,Productos!$A$1:$D$16,4,FALSE)*Ventas!F703</f>
        <v>942.5</v>
      </c>
      <c r="D703" s="10">
        <f>VLOOKUP(Ventas!$D703,Productos!$A$1:$D$16,3,FALSE)*Ventas!F703</f>
        <v>507.5</v>
      </c>
      <c r="E703" s="10">
        <f t="shared" si="10"/>
        <v>435</v>
      </c>
      <c r="F703" s="9">
        <f>YEAR(Ventas!G703)</f>
        <v>2015</v>
      </c>
      <c r="G703" s="9">
        <f>MONTH(Ventas!G703)</f>
        <v>12</v>
      </c>
      <c r="H703" s="9" t="str">
        <f>VLOOKUP(Ventas!C703,Países!$A$2:$B$186,2,FALSE)</f>
        <v>Asia</v>
      </c>
      <c r="I703" s="9" t="str">
        <f>Ventas!E703</f>
        <v>Online</v>
      </c>
    </row>
    <row r="704" spans="2:9" x14ac:dyDescent="0.25">
      <c r="B704" s="12">
        <f>Ventas!F704</f>
        <v>141</v>
      </c>
      <c r="C704" s="10">
        <f>VLOOKUP(Ventas!$D704,Productos!$A$1:$D$16,4,FALSE)*Ventas!F704</f>
        <v>423</v>
      </c>
      <c r="D704" s="10">
        <f>VLOOKUP(Ventas!$D704,Productos!$A$1:$D$16,3,FALSE)*Ventas!F704</f>
        <v>211.5</v>
      </c>
      <c r="E704" s="10">
        <f t="shared" si="10"/>
        <v>211.5</v>
      </c>
      <c r="F704" s="9">
        <f>YEAR(Ventas!G704)</f>
        <v>2015</v>
      </c>
      <c r="G704" s="9">
        <f>MONTH(Ventas!G704)</f>
        <v>10</v>
      </c>
      <c r="H704" s="9" t="str">
        <f>VLOOKUP(Ventas!C704,Países!$A$2:$B$186,2,FALSE)</f>
        <v>Sub-Saharan Africa</v>
      </c>
      <c r="I704" s="9" t="str">
        <f>Ventas!E704</f>
        <v>Direct</v>
      </c>
    </row>
    <row r="705" spans="2:9" x14ac:dyDescent="0.25">
      <c r="B705" s="12">
        <f>Ventas!F705</f>
        <v>44</v>
      </c>
      <c r="C705" s="10">
        <f>VLOOKUP(Ventas!$D705,Productos!$A$1:$D$16,4,FALSE)*Ventas!F705</f>
        <v>286</v>
      </c>
      <c r="D705" s="10">
        <f>VLOOKUP(Ventas!$D705,Productos!$A$1:$D$16,3,FALSE)*Ventas!F705</f>
        <v>154</v>
      </c>
      <c r="E705" s="10">
        <f t="shared" si="10"/>
        <v>132</v>
      </c>
      <c r="F705" s="9">
        <f>YEAR(Ventas!G705)</f>
        <v>2015</v>
      </c>
      <c r="G705" s="9">
        <f>MONTH(Ventas!G705)</f>
        <v>10</v>
      </c>
      <c r="H705" s="9" t="str">
        <f>VLOOKUP(Ventas!C705,Países!$A$2:$B$186,2,FALSE)</f>
        <v>Asia</v>
      </c>
      <c r="I705" s="9" t="str">
        <f>Ventas!E705</f>
        <v>Online</v>
      </c>
    </row>
    <row r="706" spans="2:9" x14ac:dyDescent="0.25">
      <c r="B706" s="12">
        <f>Ventas!F706</f>
        <v>167</v>
      </c>
      <c r="C706" s="10">
        <f>VLOOKUP(Ventas!$D706,Productos!$A$1:$D$16,4,FALSE)*Ventas!F706</f>
        <v>1167.33</v>
      </c>
      <c r="D706" s="10">
        <f>VLOOKUP(Ventas!$D706,Productos!$A$1:$D$16,3,FALSE)*Ventas!F706</f>
        <v>584.5</v>
      </c>
      <c r="E706" s="10">
        <f t="shared" si="10"/>
        <v>582.82999999999993</v>
      </c>
      <c r="F706" s="9">
        <f>YEAR(Ventas!G706)</f>
        <v>2015</v>
      </c>
      <c r="G706" s="9">
        <f>MONTH(Ventas!G706)</f>
        <v>11</v>
      </c>
      <c r="H706" s="9" t="str">
        <f>VLOOKUP(Ventas!C706,Países!$A$2:$B$186,2,FALSE)</f>
        <v>Sub-Saharan Africa</v>
      </c>
      <c r="I706" s="9" t="str">
        <f>Ventas!E706</f>
        <v>Online</v>
      </c>
    </row>
    <row r="707" spans="2:9" x14ac:dyDescent="0.25">
      <c r="B707" s="12">
        <f>Ventas!F707</f>
        <v>143</v>
      </c>
      <c r="C707" s="10">
        <f>VLOOKUP(Ventas!$D707,Productos!$A$1:$D$16,4,FALSE)*Ventas!F707</f>
        <v>1428.57</v>
      </c>
      <c r="D707" s="10">
        <f>VLOOKUP(Ventas!$D707,Productos!$A$1:$D$16,3,FALSE)*Ventas!F707</f>
        <v>715</v>
      </c>
      <c r="E707" s="10">
        <f t="shared" ref="E707:E770" si="11">C707-D707</f>
        <v>713.56999999999994</v>
      </c>
      <c r="F707" s="9">
        <f>YEAR(Ventas!G707)</f>
        <v>2015</v>
      </c>
      <c r="G707" s="9">
        <f>MONTH(Ventas!G707)</f>
        <v>9</v>
      </c>
      <c r="H707" s="9" t="str">
        <f>VLOOKUP(Ventas!C707,Países!$A$2:$B$186,2,FALSE)</f>
        <v>Central America and the Caribbean</v>
      </c>
      <c r="I707" s="9" t="str">
        <f>Ventas!E707</f>
        <v>Online</v>
      </c>
    </row>
    <row r="708" spans="2:9" x14ac:dyDescent="0.25">
      <c r="B708" s="12">
        <f>Ventas!F708</f>
        <v>208</v>
      </c>
      <c r="C708" s="10">
        <f>VLOOKUP(Ventas!$D708,Productos!$A$1:$D$16,4,FALSE)*Ventas!F708</f>
        <v>1248</v>
      </c>
      <c r="D708" s="10">
        <f>VLOOKUP(Ventas!$D708,Productos!$A$1:$D$16,3,FALSE)*Ventas!F708</f>
        <v>624</v>
      </c>
      <c r="E708" s="10">
        <f t="shared" si="11"/>
        <v>624</v>
      </c>
      <c r="F708" s="9">
        <f>YEAR(Ventas!G708)</f>
        <v>2015</v>
      </c>
      <c r="G708" s="9">
        <f>MONTH(Ventas!G708)</f>
        <v>9</v>
      </c>
      <c r="H708" s="9" t="str">
        <f>VLOOKUP(Ventas!C708,Países!$A$2:$B$186,2,FALSE)</f>
        <v>Europe</v>
      </c>
      <c r="I708" s="9" t="str">
        <f>Ventas!E708</f>
        <v>Direct</v>
      </c>
    </row>
    <row r="709" spans="2:9" x14ac:dyDescent="0.25">
      <c r="B709" s="12">
        <f>Ventas!F709</f>
        <v>124</v>
      </c>
      <c r="C709" s="10">
        <f>VLOOKUP(Ventas!$D709,Productos!$A$1:$D$16,4,FALSE)*Ventas!F709</f>
        <v>372</v>
      </c>
      <c r="D709" s="10">
        <f>VLOOKUP(Ventas!$D709,Productos!$A$1:$D$16,3,FALSE)*Ventas!F709</f>
        <v>186</v>
      </c>
      <c r="E709" s="10">
        <f t="shared" si="11"/>
        <v>186</v>
      </c>
      <c r="F709" s="9">
        <f>YEAR(Ventas!G709)</f>
        <v>2015</v>
      </c>
      <c r="G709" s="9">
        <f>MONTH(Ventas!G709)</f>
        <v>12</v>
      </c>
      <c r="H709" s="9" t="str">
        <f>VLOOKUP(Ventas!C709,Países!$A$2:$B$186,2,FALSE)</f>
        <v>Central America and the Caribbean</v>
      </c>
      <c r="I709" s="9" t="str">
        <f>Ventas!E709</f>
        <v>Online</v>
      </c>
    </row>
    <row r="710" spans="2:9" x14ac:dyDescent="0.25">
      <c r="B710" s="12">
        <f>Ventas!F710</f>
        <v>148</v>
      </c>
      <c r="C710" s="10">
        <f>VLOOKUP(Ventas!$D710,Productos!$A$1:$D$16,4,FALSE)*Ventas!F710</f>
        <v>444</v>
      </c>
      <c r="D710" s="10">
        <f>VLOOKUP(Ventas!$D710,Productos!$A$1:$D$16,3,FALSE)*Ventas!F710</f>
        <v>222</v>
      </c>
      <c r="E710" s="10">
        <f t="shared" si="11"/>
        <v>222</v>
      </c>
      <c r="F710" s="9">
        <f>YEAR(Ventas!G710)</f>
        <v>2015</v>
      </c>
      <c r="G710" s="9">
        <f>MONTH(Ventas!G710)</f>
        <v>11</v>
      </c>
      <c r="H710" s="9" t="str">
        <f>VLOOKUP(Ventas!C710,Países!$A$2:$B$186,2,FALSE)</f>
        <v>Central America and the Caribbean</v>
      </c>
      <c r="I710" s="9" t="str">
        <f>Ventas!E710</f>
        <v>Retail</v>
      </c>
    </row>
    <row r="711" spans="2:9" x14ac:dyDescent="0.25">
      <c r="B711" s="12">
        <f>Ventas!F711</f>
        <v>114</v>
      </c>
      <c r="C711" s="10">
        <f>VLOOKUP(Ventas!$D711,Productos!$A$1:$D$16,4,FALSE)*Ventas!F711</f>
        <v>454.86</v>
      </c>
      <c r="D711" s="10">
        <f>VLOOKUP(Ventas!$D711,Productos!$A$1:$D$16,3,FALSE)*Ventas!F711</f>
        <v>228</v>
      </c>
      <c r="E711" s="10">
        <f t="shared" si="11"/>
        <v>226.86</v>
      </c>
      <c r="F711" s="9">
        <f>YEAR(Ventas!G711)</f>
        <v>2015</v>
      </c>
      <c r="G711" s="9">
        <f>MONTH(Ventas!G711)</f>
        <v>11</v>
      </c>
      <c r="H711" s="9" t="str">
        <f>VLOOKUP(Ventas!C711,Países!$A$2:$B$186,2,FALSE)</f>
        <v>Sub-Saharan Africa</v>
      </c>
      <c r="I711" s="9" t="str">
        <f>Ventas!E711</f>
        <v>Direct</v>
      </c>
    </row>
    <row r="712" spans="2:9" x14ac:dyDescent="0.25">
      <c r="B712" s="12">
        <f>Ventas!F712</f>
        <v>192</v>
      </c>
      <c r="C712" s="10">
        <f>VLOOKUP(Ventas!$D712,Productos!$A$1:$D$16,4,FALSE)*Ventas!F712</f>
        <v>864</v>
      </c>
      <c r="D712" s="10">
        <f>VLOOKUP(Ventas!$D712,Productos!$A$1:$D$16,3,FALSE)*Ventas!F712</f>
        <v>480</v>
      </c>
      <c r="E712" s="10">
        <f t="shared" si="11"/>
        <v>384</v>
      </c>
      <c r="F712" s="9">
        <f>YEAR(Ventas!G712)</f>
        <v>2015</v>
      </c>
      <c r="G712" s="9">
        <f>MONTH(Ventas!G712)</f>
        <v>9</v>
      </c>
      <c r="H712" s="9" t="str">
        <f>VLOOKUP(Ventas!C712,Países!$A$2:$B$186,2,FALSE)</f>
        <v>Australia and Oceania</v>
      </c>
      <c r="I712" s="9" t="str">
        <f>Ventas!E712</f>
        <v>Online</v>
      </c>
    </row>
    <row r="713" spans="2:9" x14ac:dyDescent="0.25">
      <c r="B713" s="12">
        <f>Ventas!F713</f>
        <v>142</v>
      </c>
      <c r="C713" s="10">
        <f>VLOOKUP(Ventas!$D713,Productos!$A$1:$D$16,4,FALSE)*Ventas!F713</f>
        <v>426</v>
      </c>
      <c r="D713" s="10">
        <f>VLOOKUP(Ventas!$D713,Productos!$A$1:$D$16,3,FALSE)*Ventas!F713</f>
        <v>213</v>
      </c>
      <c r="E713" s="10">
        <f t="shared" si="11"/>
        <v>213</v>
      </c>
      <c r="F713" s="9">
        <f>YEAR(Ventas!G713)</f>
        <v>2015</v>
      </c>
      <c r="G713" s="9">
        <f>MONTH(Ventas!G713)</f>
        <v>12</v>
      </c>
      <c r="H713" s="9" t="str">
        <f>VLOOKUP(Ventas!C713,Países!$A$2:$B$186,2,FALSE)</f>
        <v>Middle East and North Africa</v>
      </c>
      <c r="I713" s="9" t="str">
        <f>Ventas!E713</f>
        <v>Retail</v>
      </c>
    </row>
    <row r="714" spans="2:9" x14ac:dyDescent="0.25">
      <c r="B714" s="12">
        <f>Ventas!F714</f>
        <v>156</v>
      </c>
      <c r="C714" s="10">
        <f>VLOOKUP(Ventas!$D714,Productos!$A$1:$D$16,4,FALSE)*Ventas!F714</f>
        <v>702</v>
      </c>
      <c r="D714" s="10">
        <f>VLOOKUP(Ventas!$D714,Productos!$A$1:$D$16,3,FALSE)*Ventas!F714</f>
        <v>390</v>
      </c>
      <c r="E714" s="10">
        <f t="shared" si="11"/>
        <v>312</v>
      </c>
      <c r="F714" s="9">
        <f>YEAR(Ventas!G714)</f>
        <v>2015</v>
      </c>
      <c r="G714" s="9">
        <f>MONTH(Ventas!G714)</f>
        <v>12</v>
      </c>
      <c r="H714" s="9" t="str">
        <f>VLOOKUP(Ventas!C714,Países!$A$2:$B$186,2,FALSE)</f>
        <v>Sub-Saharan Africa</v>
      </c>
      <c r="I714" s="9" t="str">
        <f>Ventas!E714</f>
        <v>Retail</v>
      </c>
    </row>
    <row r="715" spans="2:9" x14ac:dyDescent="0.25">
      <c r="B715" s="12">
        <f>Ventas!F715</f>
        <v>123</v>
      </c>
      <c r="C715" s="10">
        <f>VLOOKUP(Ventas!$D715,Productos!$A$1:$D$16,4,FALSE)*Ventas!F715</f>
        <v>738</v>
      </c>
      <c r="D715" s="10">
        <f>VLOOKUP(Ventas!$D715,Productos!$A$1:$D$16,3,FALSE)*Ventas!F715</f>
        <v>369</v>
      </c>
      <c r="E715" s="10">
        <f t="shared" si="11"/>
        <v>369</v>
      </c>
      <c r="F715" s="9">
        <f>YEAR(Ventas!G715)</f>
        <v>2015</v>
      </c>
      <c r="G715" s="9">
        <f>MONTH(Ventas!G715)</f>
        <v>11</v>
      </c>
      <c r="H715" s="9" t="str">
        <f>VLOOKUP(Ventas!C715,Países!$A$2:$B$186,2,FALSE)</f>
        <v>Europe</v>
      </c>
      <c r="I715" s="9" t="str">
        <f>Ventas!E715</f>
        <v>Direct</v>
      </c>
    </row>
    <row r="716" spans="2:9" x14ac:dyDescent="0.25">
      <c r="B716" s="12">
        <f>Ventas!F716</f>
        <v>70</v>
      </c>
      <c r="C716" s="10">
        <f>VLOOKUP(Ventas!$D716,Productos!$A$1:$D$16,4,FALSE)*Ventas!F716</f>
        <v>140</v>
      </c>
      <c r="D716" s="10">
        <f>VLOOKUP(Ventas!$D716,Productos!$A$1:$D$16,3,FALSE)*Ventas!F716</f>
        <v>70</v>
      </c>
      <c r="E716" s="10">
        <f t="shared" si="11"/>
        <v>70</v>
      </c>
      <c r="F716" s="9">
        <f>YEAR(Ventas!G716)</f>
        <v>2015</v>
      </c>
      <c r="G716" s="9">
        <f>MONTH(Ventas!G716)</f>
        <v>12</v>
      </c>
      <c r="H716" s="9" t="str">
        <f>VLOOKUP(Ventas!C716,Países!$A$2:$B$186,2,FALSE)</f>
        <v>Asia</v>
      </c>
      <c r="I716" s="9" t="str">
        <f>Ventas!E716</f>
        <v>Online</v>
      </c>
    </row>
    <row r="717" spans="2:9" x14ac:dyDescent="0.25">
      <c r="B717" s="12">
        <f>Ventas!F717</f>
        <v>161</v>
      </c>
      <c r="C717" s="10">
        <f>VLOOKUP(Ventas!$D717,Productos!$A$1:$D$16,4,FALSE)*Ventas!F717</f>
        <v>483</v>
      </c>
      <c r="D717" s="10">
        <f>VLOOKUP(Ventas!$D717,Productos!$A$1:$D$16,3,FALSE)*Ventas!F717</f>
        <v>241.5</v>
      </c>
      <c r="E717" s="10">
        <f t="shared" si="11"/>
        <v>241.5</v>
      </c>
      <c r="F717" s="9">
        <f>YEAR(Ventas!G717)</f>
        <v>2015</v>
      </c>
      <c r="G717" s="9">
        <f>MONTH(Ventas!G717)</f>
        <v>11</v>
      </c>
      <c r="H717" s="9" t="str">
        <f>VLOOKUP(Ventas!C717,Países!$A$2:$B$186,2,FALSE)</f>
        <v>Sub-Saharan Africa</v>
      </c>
      <c r="I717" s="9" t="str">
        <f>Ventas!E717</f>
        <v>Online</v>
      </c>
    </row>
    <row r="718" spans="2:9" x14ac:dyDescent="0.25">
      <c r="B718" s="12">
        <f>Ventas!F718</f>
        <v>16</v>
      </c>
      <c r="C718" s="10">
        <f>VLOOKUP(Ventas!$D718,Productos!$A$1:$D$16,4,FALSE)*Ventas!F718</f>
        <v>144</v>
      </c>
      <c r="D718" s="10">
        <f>VLOOKUP(Ventas!$D718,Productos!$A$1:$D$16,3,FALSE)*Ventas!F718</f>
        <v>96</v>
      </c>
      <c r="E718" s="10">
        <f t="shared" si="11"/>
        <v>48</v>
      </c>
      <c r="F718" s="9">
        <f>YEAR(Ventas!G718)</f>
        <v>2015</v>
      </c>
      <c r="G718" s="9">
        <f>MONTH(Ventas!G718)</f>
        <v>12</v>
      </c>
      <c r="H718" s="9" t="str">
        <f>VLOOKUP(Ventas!C718,Países!$A$2:$B$186,2,FALSE)</f>
        <v>Asia</v>
      </c>
      <c r="I718" s="9" t="str">
        <f>Ventas!E718</f>
        <v>Online</v>
      </c>
    </row>
    <row r="719" spans="2:9" x14ac:dyDescent="0.25">
      <c r="B719" s="12">
        <f>Ventas!F719</f>
        <v>163</v>
      </c>
      <c r="C719" s="10">
        <f>VLOOKUP(Ventas!$D719,Productos!$A$1:$D$16,4,FALSE)*Ventas!F719</f>
        <v>650.37</v>
      </c>
      <c r="D719" s="10">
        <f>VLOOKUP(Ventas!$D719,Productos!$A$1:$D$16,3,FALSE)*Ventas!F719</f>
        <v>326</v>
      </c>
      <c r="E719" s="10">
        <f t="shared" si="11"/>
        <v>324.37</v>
      </c>
      <c r="F719" s="9">
        <f>YEAR(Ventas!G719)</f>
        <v>2015</v>
      </c>
      <c r="G719" s="9">
        <f>MONTH(Ventas!G719)</f>
        <v>11</v>
      </c>
      <c r="H719" s="9" t="str">
        <f>VLOOKUP(Ventas!C719,Países!$A$2:$B$186,2,FALSE)</f>
        <v>Sub-Saharan Africa</v>
      </c>
      <c r="I719" s="9" t="str">
        <f>Ventas!E719</f>
        <v>Online</v>
      </c>
    </row>
    <row r="720" spans="2:9" x14ac:dyDescent="0.25">
      <c r="B720" s="12">
        <f>Ventas!F720</f>
        <v>52</v>
      </c>
      <c r="C720" s="10">
        <f>VLOOKUP(Ventas!$D720,Productos!$A$1:$D$16,4,FALSE)*Ventas!F720</f>
        <v>104</v>
      </c>
      <c r="D720" s="10">
        <f>VLOOKUP(Ventas!$D720,Productos!$A$1:$D$16,3,FALSE)*Ventas!F720</f>
        <v>52</v>
      </c>
      <c r="E720" s="10">
        <f t="shared" si="11"/>
        <v>52</v>
      </c>
      <c r="F720" s="9">
        <f>YEAR(Ventas!G720)</f>
        <v>2015</v>
      </c>
      <c r="G720" s="9">
        <f>MONTH(Ventas!G720)</f>
        <v>11</v>
      </c>
      <c r="H720" s="9" t="str">
        <f>VLOOKUP(Ventas!C720,Países!$A$2:$B$186,2,FALSE)</f>
        <v>Europe</v>
      </c>
      <c r="I720" s="9" t="str">
        <f>Ventas!E720</f>
        <v>Online</v>
      </c>
    </row>
    <row r="721" spans="2:9" x14ac:dyDescent="0.25">
      <c r="B721" s="12">
        <f>Ventas!F721</f>
        <v>39</v>
      </c>
      <c r="C721" s="10">
        <f>VLOOKUP(Ventas!$D721,Productos!$A$1:$D$16,4,FALSE)*Ventas!F721</f>
        <v>389.61</v>
      </c>
      <c r="D721" s="10">
        <f>VLOOKUP(Ventas!$D721,Productos!$A$1:$D$16,3,FALSE)*Ventas!F721</f>
        <v>195</v>
      </c>
      <c r="E721" s="10">
        <f t="shared" si="11"/>
        <v>194.61</v>
      </c>
      <c r="F721" s="9">
        <f>YEAR(Ventas!G721)</f>
        <v>2015</v>
      </c>
      <c r="G721" s="9">
        <f>MONTH(Ventas!G721)</f>
        <v>12</v>
      </c>
      <c r="H721" s="9" t="str">
        <f>VLOOKUP(Ventas!C721,Países!$A$2:$B$186,2,FALSE)</f>
        <v>Sub-Saharan Africa</v>
      </c>
      <c r="I721" s="9" t="str">
        <f>Ventas!E721</f>
        <v>Retail</v>
      </c>
    </row>
    <row r="722" spans="2:9" x14ac:dyDescent="0.25">
      <c r="B722" s="12">
        <f>Ventas!F722</f>
        <v>67</v>
      </c>
      <c r="C722" s="10">
        <f>VLOOKUP(Ventas!$D722,Productos!$A$1:$D$16,4,FALSE)*Ventas!F722</f>
        <v>971.5</v>
      </c>
      <c r="D722" s="10">
        <f>VLOOKUP(Ventas!$D722,Productos!$A$1:$D$16,3,FALSE)*Ventas!F722</f>
        <v>536</v>
      </c>
      <c r="E722" s="10">
        <f t="shared" si="11"/>
        <v>435.5</v>
      </c>
      <c r="F722" s="9">
        <f>YEAR(Ventas!G722)</f>
        <v>2015</v>
      </c>
      <c r="G722" s="9">
        <f>MONTH(Ventas!G722)</f>
        <v>9</v>
      </c>
      <c r="H722" s="9" t="str">
        <f>VLOOKUP(Ventas!C722,Países!$A$2:$B$186,2,FALSE)</f>
        <v>Australia and Oceania</v>
      </c>
      <c r="I722" s="9" t="str">
        <f>Ventas!E722</f>
        <v>Retail</v>
      </c>
    </row>
    <row r="723" spans="2:9" x14ac:dyDescent="0.25">
      <c r="B723" s="12">
        <f>Ventas!F723</f>
        <v>30</v>
      </c>
      <c r="C723" s="10">
        <f>VLOOKUP(Ventas!$D723,Productos!$A$1:$D$16,4,FALSE)*Ventas!F723</f>
        <v>195</v>
      </c>
      <c r="D723" s="10">
        <f>VLOOKUP(Ventas!$D723,Productos!$A$1:$D$16,3,FALSE)*Ventas!F723</f>
        <v>105</v>
      </c>
      <c r="E723" s="10">
        <f t="shared" si="11"/>
        <v>90</v>
      </c>
      <c r="F723" s="9">
        <f>YEAR(Ventas!G723)</f>
        <v>2015</v>
      </c>
      <c r="G723" s="9">
        <f>MONTH(Ventas!G723)</f>
        <v>10</v>
      </c>
      <c r="H723" s="9" t="str">
        <f>VLOOKUP(Ventas!C723,Países!$A$2:$B$186,2,FALSE)</f>
        <v>Asia</v>
      </c>
      <c r="I723" s="9" t="str">
        <f>Ventas!E723</f>
        <v>Online</v>
      </c>
    </row>
    <row r="724" spans="2:9" x14ac:dyDescent="0.25">
      <c r="B724" s="12">
        <f>Ventas!F724</f>
        <v>32</v>
      </c>
      <c r="C724" s="10">
        <f>VLOOKUP(Ventas!$D724,Productos!$A$1:$D$16,4,FALSE)*Ventas!F724</f>
        <v>223.68</v>
      </c>
      <c r="D724" s="10">
        <f>VLOOKUP(Ventas!$D724,Productos!$A$1:$D$16,3,FALSE)*Ventas!F724</f>
        <v>112</v>
      </c>
      <c r="E724" s="10">
        <f t="shared" si="11"/>
        <v>111.68</v>
      </c>
      <c r="F724" s="9">
        <f>YEAR(Ventas!G724)</f>
        <v>2015</v>
      </c>
      <c r="G724" s="9">
        <f>MONTH(Ventas!G724)</f>
        <v>12</v>
      </c>
      <c r="H724" s="9" t="str">
        <f>VLOOKUP(Ventas!C724,Países!$A$2:$B$186,2,FALSE)</f>
        <v>Asia</v>
      </c>
      <c r="I724" s="9" t="str">
        <f>Ventas!E724</f>
        <v>Online</v>
      </c>
    </row>
    <row r="725" spans="2:9" x14ac:dyDescent="0.25">
      <c r="B725" s="12">
        <f>Ventas!F725</f>
        <v>48</v>
      </c>
      <c r="C725" s="10">
        <f>VLOOKUP(Ventas!$D725,Productos!$A$1:$D$16,4,FALSE)*Ventas!F725</f>
        <v>696</v>
      </c>
      <c r="D725" s="10">
        <f>VLOOKUP(Ventas!$D725,Productos!$A$1:$D$16,3,FALSE)*Ventas!F725</f>
        <v>384</v>
      </c>
      <c r="E725" s="10">
        <f t="shared" si="11"/>
        <v>312</v>
      </c>
      <c r="F725" s="9">
        <f>YEAR(Ventas!G725)</f>
        <v>2015</v>
      </c>
      <c r="G725" s="9">
        <f>MONTH(Ventas!G725)</f>
        <v>11</v>
      </c>
      <c r="H725" s="9" t="str">
        <f>VLOOKUP(Ventas!C725,Países!$A$2:$B$186,2,FALSE)</f>
        <v>Australia and Oceania</v>
      </c>
      <c r="I725" s="9" t="str">
        <f>Ventas!E725</f>
        <v>Retail</v>
      </c>
    </row>
    <row r="726" spans="2:9" x14ac:dyDescent="0.25">
      <c r="B726" s="12">
        <f>Ventas!F726</f>
        <v>61</v>
      </c>
      <c r="C726" s="10">
        <f>VLOOKUP(Ventas!$D726,Productos!$A$1:$D$16,4,FALSE)*Ventas!F726</f>
        <v>183</v>
      </c>
      <c r="D726" s="10">
        <f>VLOOKUP(Ventas!$D726,Productos!$A$1:$D$16,3,FALSE)*Ventas!F726</f>
        <v>91.5</v>
      </c>
      <c r="E726" s="10">
        <f t="shared" si="11"/>
        <v>91.5</v>
      </c>
      <c r="F726" s="9">
        <f>YEAR(Ventas!G726)</f>
        <v>2015</v>
      </c>
      <c r="G726" s="9">
        <f>MONTH(Ventas!G726)</f>
        <v>11</v>
      </c>
      <c r="H726" s="9" t="str">
        <f>VLOOKUP(Ventas!C726,Países!$A$2:$B$186,2,FALSE)</f>
        <v>Europe</v>
      </c>
      <c r="I726" s="9" t="str">
        <f>Ventas!E726</f>
        <v>Retail</v>
      </c>
    </row>
    <row r="727" spans="2:9" x14ac:dyDescent="0.25">
      <c r="B727" s="12">
        <f>Ventas!F727</f>
        <v>35</v>
      </c>
      <c r="C727" s="10">
        <f>VLOOKUP(Ventas!$D727,Productos!$A$1:$D$16,4,FALSE)*Ventas!F727</f>
        <v>70</v>
      </c>
      <c r="D727" s="10">
        <f>VLOOKUP(Ventas!$D727,Productos!$A$1:$D$16,3,FALSE)*Ventas!F727</f>
        <v>35</v>
      </c>
      <c r="E727" s="10">
        <f t="shared" si="11"/>
        <v>35</v>
      </c>
      <c r="F727" s="9">
        <f>YEAR(Ventas!G727)</f>
        <v>2015</v>
      </c>
      <c r="G727" s="9">
        <f>MONTH(Ventas!G727)</f>
        <v>10</v>
      </c>
      <c r="H727" s="9" t="str">
        <f>VLOOKUP(Ventas!C727,Países!$A$2:$B$186,2,FALSE)</f>
        <v>Europe</v>
      </c>
      <c r="I727" s="9" t="str">
        <f>Ventas!E727</f>
        <v>Online</v>
      </c>
    </row>
    <row r="728" spans="2:9" x14ac:dyDescent="0.25">
      <c r="B728" s="12">
        <f>Ventas!F728</f>
        <v>81</v>
      </c>
      <c r="C728" s="10">
        <f>VLOOKUP(Ventas!$D728,Productos!$A$1:$D$16,4,FALSE)*Ventas!F728</f>
        <v>809.19</v>
      </c>
      <c r="D728" s="10">
        <f>VLOOKUP(Ventas!$D728,Productos!$A$1:$D$16,3,FALSE)*Ventas!F728</f>
        <v>405</v>
      </c>
      <c r="E728" s="10">
        <f t="shared" si="11"/>
        <v>404.19000000000005</v>
      </c>
      <c r="F728" s="9">
        <f>YEAR(Ventas!G728)</f>
        <v>2015</v>
      </c>
      <c r="G728" s="9">
        <f>MONTH(Ventas!G728)</f>
        <v>9</v>
      </c>
      <c r="H728" s="9" t="str">
        <f>VLOOKUP(Ventas!C728,Países!$A$2:$B$186,2,FALSE)</f>
        <v>Australia and Oceania</v>
      </c>
      <c r="I728" s="9" t="str">
        <f>Ventas!E728</f>
        <v>Direct</v>
      </c>
    </row>
    <row r="729" spans="2:9" x14ac:dyDescent="0.25">
      <c r="B729" s="12">
        <f>Ventas!F729</f>
        <v>58</v>
      </c>
      <c r="C729" s="10">
        <f>VLOOKUP(Ventas!$D729,Productos!$A$1:$D$16,4,FALSE)*Ventas!F729</f>
        <v>522</v>
      </c>
      <c r="D729" s="10">
        <f>VLOOKUP(Ventas!$D729,Productos!$A$1:$D$16,3,FALSE)*Ventas!F729</f>
        <v>348</v>
      </c>
      <c r="E729" s="10">
        <f t="shared" si="11"/>
        <v>174</v>
      </c>
      <c r="F729" s="9">
        <f>YEAR(Ventas!G729)</f>
        <v>2015</v>
      </c>
      <c r="G729" s="9">
        <f>MONTH(Ventas!G729)</f>
        <v>9</v>
      </c>
      <c r="H729" s="9" t="str">
        <f>VLOOKUP(Ventas!C729,Países!$A$2:$B$186,2,FALSE)</f>
        <v>Sub-Saharan Africa</v>
      </c>
      <c r="I729" s="9" t="str">
        <f>Ventas!E729</f>
        <v>Online</v>
      </c>
    </row>
    <row r="730" spans="2:9" x14ac:dyDescent="0.25">
      <c r="B730" s="12">
        <f>Ventas!F730</f>
        <v>71</v>
      </c>
      <c r="C730" s="10">
        <f>VLOOKUP(Ventas!$D730,Productos!$A$1:$D$16,4,FALSE)*Ventas!F730</f>
        <v>426</v>
      </c>
      <c r="D730" s="10">
        <f>VLOOKUP(Ventas!$D730,Productos!$A$1:$D$16,3,FALSE)*Ventas!F730</f>
        <v>213</v>
      </c>
      <c r="E730" s="10">
        <f t="shared" si="11"/>
        <v>213</v>
      </c>
      <c r="F730" s="9">
        <f>YEAR(Ventas!G730)</f>
        <v>2015</v>
      </c>
      <c r="G730" s="9">
        <f>MONTH(Ventas!G730)</f>
        <v>9</v>
      </c>
      <c r="H730" s="9" t="str">
        <f>VLOOKUP(Ventas!C730,Países!$A$2:$B$186,2,FALSE)</f>
        <v>Asia</v>
      </c>
      <c r="I730" s="9" t="str">
        <f>Ventas!E730</f>
        <v>Retail</v>
      </c>
    </row>
    <row r="731" spans="2:9" x14ac:dyDescent="0.25">
      <c r="B731" s="12">
        <f>Ventas!F731</f>
        <v>55</v>
      </c>
      <c r="C731" s="10">
        <f>VLOOKUP(Ventas!$D731,Productos!$A$1:$D$16,4,FALSE)*Ventas!F731</f>
        <v>110</v>
      </c>
      <c r="D731" s="10">
        <f>VLOOKUP(Ventas!$D731,Productos!$A$1:$D$16,3,FALSE)*Ventas!F731</f>
        <v>55</v>
      </c>
      <c r="E731" s="10">
        <f t="shared" si="11"/>
        <v>55</v>
      </c>
      <c r="F731" s="9">
        <f>YEAR(Ventas!G731)</f>
        <v>2015</v>
      </c>
      <c r="G731" s="9">
        <f>MONTH(Ventas!G731)</f>
        <v>9</v>
      </c>
      <c r="H731" s="9" t="str">
        <f>VLOOKUP(Ventas!C731,Países!$A$2:$B$186,2,FALSE)</f>
        <v>Central America and the Caribbean</v>
      </c>
      <c r="I731" s="9" t="str">
        <f>Ventas!E731</f>
        <v>Retail</v>
      </c>
    </row>
    <row r="732" spans="2:9" x14ac:dyDescent="0.25">
      <c r="B732" s="12">
        <f>Ventas!F732</f>
        <v>34</v>
      </c>
      <c r="C732" s="10">
        <f>VLOOKUP(Ventas!$D732,Productos!$A$1:$D$16,4,FALSE)*Ventas!F732</f>
        <v>204</v>
      </c>
      <c r="D732" s="10">
        <f>VLOOKUP(Ventas!$D732,Productos!$A$1:$D$16,3,FALSE)*Ventas!F732</f>
        <v>102</v>
      </c>
      <c r="E732" s="10">
        <f t="shared" si="11"/>
        <v>102</v>
      </c>
      <c r="F732" s="9">
        <f>YEAR(Ventas!G732)</f>
        <v>2015</v>
      </c>
      <c r="G732" s="9">
        <f>MONTH(Ventas!G732)</f>
        <v>9</v>
      </c>
      <c r="H732" s="9" t="str">
        <f>VLOOKUP(Ventas!C732,Países!$A$2:$B$186,2,FALSE)</f>
        <v>Asia</v>
      </c>
      <c r="I732" s="9" t="str">
        <f>Ventas!E732</f>
        <v>Retail</v>
      </c>
    </row>
    <row r="733" spans="2:9" x14ac:dyDescent="0.25">
      <c r="B733" s="12">
        <f>Ventas!F733</f>
        <v>161</v>
      </c>
      <c r="C733" s="10">
        <f>VLOOKUP(Ventas!$D733,Productos!$A$1:$D$16,4,FALSE)*Ventas!F733</f>
        <v>483</v>
      </c>
      <c r="D733" s="10">
        <f>VLOOKUP(Ventas!$D733,Productos!$A$1:$D$16,3,FALSE)*Ventas!F733</f>
        <v>241.5</v>
      </c>
      <c r="E733" s="10">
        <f t="shared" si="11"/>
        <v>241.5</v>
      </c>
      <c r="F733" s="9">
        <f>YEAR(Ventas!G733)</f>
        <v>2015</v>
      </c>
      <c r="G733" s="9">
        <f>MONTH(Ventas!G733)</f>
        <v>9</v>
      </c>
      <c r="H733" s="9" t="str">
        <f>VLOOKUP(Ventas!C733,Países!$A$2:$B$186,2,FALSE)</f>
        <v>Europe</v>
      </c>
      <c r="I733" s="9" t="str">
        <f>Ventas!E733</f>
        <v>Retail</v>
      </c>
    </row>
    <row r="734" spans="2:9" x14ac:dyDescent="0.25">
      <c r="B734" s="12">
        <f>Ventas!F734</f>
        <v>171</v>
      </c>
      <c r="C734" s="10">
        <f>VLOOKUP(Ventas!$D734,Productos!$A$1:$D$16,4,FALSE)*Ventas!F734</f>
        <v>1111.5</v>
      </c>
      <c r="D734" s="10">
        <f>VLOOKUP(Ventas!$D734,Productos!$A$1:$D$16,3,FALSE)*Ventas!F734</f>
        <v>598.5</v>
      </c>
      <c r="E734" s="10">
        <f t="shared" si="11"/>
        <v>513</v>
      </c>
      <c r="F734" s="9">
        <f>YEAR(Ventas!G734)</f>
        <v>2015</v>
      </c>
      <c r="G734" s="9">
        <f>MONTH(Ventas!G734)</f>
        <v>10</v>
      </c>
      <c r="H734" s="9" t="str">
        <f>VLOOKUP(Ventas!C734,Países!$A$2:$B$186,2,FALSE)</f>
        <v>Europe</v>
      </c>
      <c r="I734" s="9" t="str">
        <f>Ventas!E734</f>
        <v>Retail</v>
      </c>
    </row>
    <row r="735" spans="2:9" x14ac:dyDescent="0.25">
      <c r="B735" s="12">
        <f>Ventas!F735</f>
        <v>188</v>
      </c>
      <c r="C735" s="10">
        <f>VLOOKUP(Ventas!$D735,Productos!$A$1:$D$16,4,FALSE)*Ventas!F735</f>
        <v>1222</v>
      </c>
      <c r="D735" s="10">
        <f>VLOOKUP(Ventas!$D735,Productos!$A$1:$D$16,3,FALSE)*Ventas!F735</f>
        <v>658</v>
      </c>
      <c r="E735" s="10">
        <f t="shared" si="11"/>
        <v>564</v>
      </c>
      <c r="F735" s="9">
        <f>YEAR(Ventas!G735)</f>
        <v>2015</v>
      </c>
      <c r="G735" s="9">
        <f>MONTH(Ventas!G735)</f>
        <v>12</v>
      </c>
      <c r="H735" s="9" t="str">
        <f>VLOOKUP(Ventas!C735,Países!$A$2:$B$186,2,FALSE)</f>
        <v>Sub-Saharan Africa</v>
      </c>
      <c r="I735" s="9" t="str">
        <f>Ventas!E735</f>
        <v>Online</v>
      </c>
    </row>
    <row r="736" spans="2:9" x14ac:dyDescent="0.25">
      <c r="B736" s="12">
        <f>Ventas!F736</f>
        <v>58</v>
      </c>
      <c r="C736" s="10">
        <f>VLOOKUP(Ventas!$D736,Productos!$A$1:$D$16,4,FALSE)*Ventas!F736</f>
        <v>174</v>
      </c>
      <c r="D736" s="10">
        <f>VLOOKUP(Ventas!$D736,Productos!$A$1:$D$16,3,FALSE)*Ventas!F736</f>
        <v>87</v>
      </c>
      <c r="E736" s="10">
        <f t="shared" si="11"/>
        <v>87</v>
      </c>
      <c r="F736" s="9">
        <f>YEAR(Ventas!G736)</f>
        <v>2015</v>
      </c>
      <c r="G736" s="9">
        <f>MONTH(Ventas!G736)</f>
        <v>12</v>
      </c>
      <c r="H736" s="9" t="str">
        <f>VLOOKUP(Ventas!C736,Países!$A$2:$B$186,2,FALSE)</f>
        <v>Middle East and North Africa</v>
      </c>
      <c r="I736" s="9" t="str">
        <f>Ventas!E736</f>
        <v>Direct</v>
      </c>
    </row>
    <row r="737" spans="2:9" x14ac:dyDescent="0.25">
      <c r="B737" s="12">
        <f>Ventas!F737</f>
        <v>161</v>
      </c>
      <c r="C737" s="10">
        <f>VLOOKUP(Ventas!$D737,Productos!$A$1:$D$16,4,FALSE)*Ventas!F737</f>
        <v>642.39</v>
      </c>
      <c r="D737" s="10">
        <f>VLOOKUP(Ventas!$D737,Productos!$A$1:$D$16,3,FALSE)*Ventas!F737</f>
        <v>322</v>
      </c>
      <c r="E737" s="10">
        <f t="shared" si="11"/>
        <v>320.39</v>
      </c>
      <c r="F737" s="9">
        <f>YEAR(Ventas!G737)</f>
        <v>2015</v>
      </c>
      <c r="G737" s="9">
        <f>MONTH(Ventas!G737)</f>
        <v>9</v>
      </c>
      <c r="H737" s="9" t="str">
        <f>VLOOKUP(Ventas!C737,Países!$A$2:$B$186,2,FALSE)</f>
        <v>Middle East and North Africa</v>
      </c>
      <c r="I737" s="9" t="str">
        <f>Ventas!E737</f>
        <v>Retail</v>
      </c>
    </row>
    <row r="738" spans="2:9" x14ac:dyDescent="0.25">
      <c r="B738" s="12">
        <f>Ventas!F738</f>
        <v>127</v>
      </c>
      <c r="C738" s="10">
        <f>VLOOKUP(Ventas!$D738,Productos!$A$1:$D$16,4,FALSE)*Ventas!F738</f>
        <v>506.73</v>
      </c>
      <c r="D738" s="10">
        <f>VLOOKUP(Ventas!$D738,Productos!$A$1:$D$16,3,FALSE)*Ventas!F738</f>
        <v>254</v>
      </c>
      <c r="E738" s="10">
        <f t="shared" si="11"/>
        <v>252.73000000000002</v>
      </c>
      <c r="F738" s="9">
        <f>YEAR(Ventas!G738)</f>
        <v>2015</v>
      </c>
      <c r="G738" s="9">
        <f>MONTH(Ventas!G738)</f>
        <v>9</v>
      </c>
      <c r="H738" s="9" t="str">
        <f>VLOOKUP(Ventas!C738,Países!$A$2:$B$186,2,FALSE)</f>
        <v>Europe</v>
      </c>
      <c r="I738" s="9" t="str">
        <f>Ventas!E738</f>
        <v>Retail</v>
      </c>
    </row>
    <row r="739" spans="2:9" x14ac:dyDescent="0.25">
      <c r="B739" s="12">
        <f>Ventas!F739</f>
        <v>94</v>
      </c>
      <c r="C739" s="10">
        <f>VLOOKUP(Ventas!$D739,Productos!$A$1:$D$16,4,FALSE)*Ventas!F739</f>
        <v>657.06000000000006</v>
      </c>
      <c r="D739" s="10">
        <f>VLOOKUP(Ventas!$D739,Productos!$A$1:$D$16,3,FALSE)*Ventas!F739</f>
        <v>329</v>
      </c>
      <c r="E739" s="10">
        <f t="shared" si="11"/>
        <v>328.06000000000006</v>
      </c>
      <c r="F739" s="9">
        <f>YEAR(Ventas!G739)</f>
        <v>2015</v>
      </c>
      <c r="G739" s="9">
        <f>MONTH(Ventas!G739)</f>
        <v>9</v>
      </c>
      <c r="H739" s="9" t="str">
        <f>VLOOKUP(Ventas!C739,Países!$A$2:$B$186,2,FALSE)</f>
        <v>Sub-Saharan Africa</v>
      </c>
      <c r="I739" s="9" t="str">
        <f>Ventas!E739</f>
        <v>Direct</v>
      </c>
    </row>
    <row r="740" spans="2:9" x14ac:dyDescent="0.25">
      <c r="B740" s="12">
        <f>Ventas!F740</f>
        <v>4</v>
      </c>
      <c r="C740" s="10">
        <f>VLOOKUP(Ventas!$D740,Productos!$A$1:$D$16,4,FALSE)*Ventas!F740</f>
        <v>26</v>
      </c>
      <c r="D740" s="10">
        <f>VLOOKUP(Ventas!$D740,Productos!$A$1:$D$16,3,FALSE)*Ventas!F740</f>
        <v>14</v>
      </c>
      <c r="E740" s="10">
        <f t="shared" si="11"/>
        <v>12</v>
      </c>
      <c r="F740" s="9">
        <f>YEAR(Ventas!G740)</f>
        <v>2015</v>
      </c>
      <c r="G740" s="9">
        <f>MONTH(Ventas!G740)</f>
        <v>12</v>
      </c>
      <c r="H740" s="9" t="str">
        <f>VLOOKUP(Ventas!C740,Países!$A$2:$B$186,2,FALSE)</f>
        <v>Europe</v>
      </c>
      <c r="I740" s="9" t="str">
        <f>Ventas!E740</f>
        <v>Retail</v>
      </c>
    </row>
    <row r="741" spans="2:9" x14ac:dyDescent="0.25">
      <c r="B741" s="12">
        <f>Ventas!F741</f>
        <v>83</v>
      </c>
      <c r="C741" s="10">
        <f>VLOOKUP(Ventas!$D741,Productos!$A$1:$D$16,4,FALSE)*Ventas!F741</f>
        <v>331.17</v>
      </c>
      <c r="D741" s="10">
        <f>VLOOKUP(Ventas!$D741,Productos!$A$1:$D$16,3,FALSE)*Ventas!F741</f>
        <v>166</v>
      </c>
      <c r="E741" s="10">
        <f t="shared" si="11"/>
        <v>165.17000000000002</v>
      </c>
      <c r="F741" s="9">
        <f>YEAR(Ventas!G741)</f>
        <v>2015</v>
      </c>
      <c r="G741" s="9">
        <f>MONTH(Ventas!G741)</f>
        <v>12</v>
      </c>
      <c r="H741" s="9" t="str">
        <f>VLOOKUP(Ventas!C741,Países!$A$2:$B$186,2,FALSE)</f>
        <v>Europe</v>
      </c>
      <c r="I741" s="9" t="str">
        <f>Ventas!E741</f>
        <v>Online</v>
      </c>
    </row>
    <row r="742" spans="2:9" x14ac:dyDescent="0.25">
      <c r="B742" s="12">
        <f>Ventas!F742</f>
        <v>22</v>
      </c>
      <c r="C742" s="10">
        <f>VLOOKUP(Ventas!$D742,Productos!$A$1:$D$16,4,FALSE)*Ventas!F742</f>
        <v>87.78</v>
      </c>
      <c r="D742" s="10">
        <f>VLOOKUP(Ventas!$D742,Productos!$A$1:$D$16,3,FALSE)*Ventas!F742</f>
        <v>44</v>
      </c>
      <c r="E742" s="10">
        <f t="shared" si="11"/>
        <v>43.78</v>
      </c>
      <c r="F742" s="9">
        <f>YEAR(Ventas!G742)</f>
        <v>2015</v>
      </c>
      <c r="G742" s="9">
        <f>MONTH(Ventas!G742)</f>
        <v>9</v>
      </c>
      <c r="H742" s="9" t="str">
        <f>VLOOKUP(Ventas!C742,Países!$A$2:$B$186,2,FALSE)</f>
        <v>Sub-Saharan Africa</v>
      </c>
      <c r="I742" s="9" t="str">
        <f>Ventas!E742</f>
        <v>Online</v>
      </c>
    </row>
    <row r="743" spans="2:9" x14ac:dyDescent="0.25">
      <c r="B743" s="12">
        <f>Ventas!F743</f>
        <v>62</v>
      </c>
      <c r="C743" s="10">
        <f>VLOOKUP(Ventas!$D743,Productos!$A$1:$D$16,4,FALSE)*Ventas!F743</f>
        <v>619.38</v>
      </c>
      <c r="D743" s="10">
        <f>VLOOKUP(Ventas!$D743,Productos!$A$1:$D$16,3,FALSE)*Ventas!F743</f>
        <v>310</v>
      </c>
      <c r="E743" s="10">
        <f t="shared" si="11"/>
        <v>309.38</v>
      </c>
      <c r="F743" s="9">
        <f>YEAR(Ventas!G743)</f>
        <v>2015</v>
      </c>
      <c r="G743" s="9">
        <f>MONTH(Ventas!G743)</f>
        <v>9</v>
      </c>
      <c r="H743" s="9" t="str">
        <f>VLOOKUP(Ventas!C743,Países!$A$2:$B$186,2,FALSE)</f>
        <v>Sub-Saharan Africa</v>
      </c>
      <c r="I743" s="9" t="str">
        <f>Ventas!E743</f>
        <v>Direct</v>
      </c>
    </row>
    <row r="744" spans="2:9" x14ac:dyDescent="0.25">
      <c r="B744" s="12">
        <f>Ventas!F744</f>
        <v>140</v>
      </c>
      <c r="C744" s="10">
        <f>VLOOKUP(Ventas!$D744,Productos!$A$1:$D$16,4,FALSE)*Ventas!F744</f>
        <v>1260</v>
      </c>
      <c r="D744" s="10">
        <f>VLOOKUP(Ventas!$D744,Productos!$A$1:$D$16,3,FALSE)*Ventas!F744</f>
        <v>840</v>
      </c>
      <c r="E744" s="10">
        <f t="shared" si="11"/>
        <v>420</v>
      </c>
      <c r="F744" s="9">
        <f>YEAR(Ventas!G744)</f>
        <v>2015</v>
      </c>
      <c r="G744" s="9">
        <f>MONTH(Ventas!G744)</f>
        <v>11</v>
      </c>
      <c r="H744" s="9" t="str">
        <f>VLOOKUP(Ventas!C744,Países!$A$2:$B$186,2,FALSE)</f>
        <v>Asia</v>
      </c>
      <c r="I744" s="9" t="str">
        <f>Ventas!E744</f>
        <v>Retail</v>
      </c>
    </row>
    <row r="745" spans="2:9" x14ac:dyDescent="0.25">
      <c r="B745" s="12">
        <f>Ventas!F745</f>
        <v>203</v>
      </c>
      <c r="C745" s="10">
        <f>VLOOKUP(Ventas!$D745,Productos!$A$1:$D$16,4,FALSE)*Ventas!F745</f>
        <v>1319.5</v>
      </c>
      <c r="D745" s="10">
        <f>VLOOKUP(Ventas!$D745,Productos!$A$1:$D$16,3,FALSE)*Ventas!F745</f>
        <v>710.5</v>
      </c>
      <c r="E745" s="10">
        <f t="shared" si="11"/>
        <v>609</v>
      </c>
      <c r="F745" s="9">
        <f>YEAR(Ventas!G745)</f>
        <v>2015</v>
      </c>
      <c r="G745" s="9">
        <f>MONTH(Ventas!G745)</f>
        <v>12</v>
      </c>
      <c r="H745" s="9" t="str">
        <f>VLOOKUP(Ventas!C745,Países!$A$2:$B$186,2,FALSE)</f>
        <v>Europe</v>
      </c>
      <c r="I745" s="9" t="str">
        <f>Ventas!E745</f>
        <v>Online</v>
      </c>
    </row>
    <row r="746" spans="2:9" x14ac:dyDescent="0.25">
      <c r="B746" s="12">
        <f>Ventas!F746</f>
        <v>94</v>
      </c>
      <c r="C746" s="10">
        <f>VLOOKUP(Ventas!$D746,Productos!$A$1:$D$16,4,FALSE)*Ventas!F746</f>
        <v>846</v>
      </c>
      <c r="D746" s="10">
        <f>VLOOKUP(Ventas!$D746,Productos!$A$1:$D$16,3,FALSE)*Ventas!F746</f>
        <v>564</v>
      </c>
      <c r="E746" s="10">
        <f t="shared" si="11"/>
        <v>282</v>
      </c>
      <c r="F746" s="9">
        <f>YEAR(Ventas!G746)</f>
        <v>2015</v>
      </c>
      <c r="G746" s="9">
        <f>MONTH(Ventas!G746)</f>
        <v>10</v>
      </c>
      <c r="H746" s="9" t="str">
        <f>VLOOKUP(Ventas!C746,Países!$A$2:$B$186,2,FALSE)</f>
        <v>Europe</v>
      </c>
      <c r="I746" s="9" t="str">
        <f>Ventas!E746</f>
        <v>Retail</v>
      </c>
    </row>
    <row r="747" spans="2:9" x14ac:dyDescent="0.25">
      <c r="B747" s="12">
        <f>Ventas!F747</f>
        <v>57</v>
      </c>
      <c r="C747" s="10">
        <f>VLOOKUP(Ventas!$D747,Productos!$A$1:$D$16,4,FALSE)*Ventas!F747</f>
        <v>513</v>
      </c>
      <c r="D747" s="10">
        <f>VLOOKUP(Ventas!$D747,Productos!$A$1:$D$16,3,FALSE)*Ventas!F747</f>
        <v>342</v>
      </c>
      <c r="E747" s="10">
        <f t="shared" si="11"/>
        <v>171</v>
      </c>
      <c r="F747" s="9">
        <f>YEAR(Ventas!G747)</f>
        <v>2015</v>
      </c>
      <c r="G747" s="9">
        <f>MONTH(Ventas!G747)</f>
        <v>10</v>
      </c>
      <c r="H747" s="9" t="str">
        <f>VLOOKUP(Ventas!C747,Países!$A$2:$B$186,2,FALSE)</f>
        <v>Sub-Saharan Africa</v>
      </c>
      <c r="I747" s="9" t="str">
        <f>Ventas!E747</f>
        <v>Online</v>
      </c>
    </row>
    <row r="748" spans="2:9" x14ac:dyDescent="0.25">
      <c r="B748" s="12">
        <f>Ventas!F748</f>
        <v>139</v>
      </c>
      <c r="C748" s="10">
        <f>VLOOKUP(Ventas!$D748,Productos!$A$1:$D$16,4,FALSE)*Ventas!F748</f>
        <v>554.61</v>
      </c>
      <c r="D748" s="10">
        <f>VLOOKUP(Ventas!$D748,Productos!$A$1:$D$16,3,FALSE)*Ventas!F748</f>
        <v>278</v>
      </c>
      <c r="E748" s="10">
        <f t="shared" si="11"/>
        <v>276.61</v>
      </c>
      <c r="F748" s="9">
        <f>YEAR(Ventas!G748)</f>
        <v>2015</v>
      </c>
      <c r="G748" s="9">
        <f>MONTH(Ventas!G748)</f>
        <v>9</v>
      </c>
      <c r="H748" s="9" t="str">
        <f>VLOOKUP(Ventas!C748,Países!$A$2:$B$186,2,FALSE)</f>
        <v>Europe</v>
      </c>
      <c r="I748" s="9" t="str">
        <f>Ventas!E748</f>
        <v>Direct</v>
      </c>
    </row>
    <row r="749" spans="2:9" x14ac:dyDescent="0.25">
      <c r="B749" s="12">
        <f>Ventas!F749</f>
        <v>92</v>
      </c>
      <c r="C749" s="10">
        <f>VLOOKUP(Ventas!$D749,Productos!$A$1:$D$16,4,FALSE)*Ventas!F749</f>
        <v>414</v>
      </c>
      <c r="D749" s="10">
        <f>VLOOKUP(Ventas!$D749,Productos!$A$1:$D$16,3,FALSE)*Ventas!F749</f>
        <v>230</v>
      </c>
      <c r="E749" s="10">
        <f t="shared" si="11"/>
        <v>184</v>
      </c>
      <c r="F749" s="9">
        <f>YEAR(Ventas!G749)</f>
        <v>2015</v>
      </c>
      <c r="G749" s="9">
        <f>MONTH(Ventas!G749)</f>
        <v>11</v>
      </c>
      <c r="H749" s="9" t="str">
        <f>VLOOKUP(Ventas!C749,Países!$A$2:$B$186,2,FALSE)</f>
        <v>Middle East and North Africa</v>
      </c>
      <c r="I749" s="9" t="str">
        <f>Ventas!E749</f>
        <v>Online</v>
      </c>
    </row>
    <row r="750" spans="2:9" x14ac:dyDescent="0.25">
      <c r="B750" s="12">
        <f>Ventas!F750</f>
        <v>23</v>
      </c>
      <c r="C750" s="10">
        <f>VLOOKUP(Ventas!$D750,Productos!$A$1:$D$16,4,FALSE)*Ventas!F750</f>
        <v>103.5</v>
      </c>
      <c r="D750" s="10">
        <f>VLOOKUP(Ventas!$D750,Productos!$A$1:$D$16,3,FALSE)*Ventas!F750</f>
        <v>57.5</v>
      </c>
      <c r="E750" s="10">
        <f t="shared" si="11"/>
        <v>46</v>
      </c>
      <c r="F750" s="9">
        <f>YEAR(Ventas!G750)</f>
        <v>2015</v>
      </c>
      <c r="G750" s="9">
        <f>MONTH(Ventas!G750)</f>
        <v>10</v>
      </c>
      <c r="H750" s="9" t="str">
        <f>VLOOKUP(Ventas!C750,Países!$A$2:$B$186,2,FALSE)</f>
        <v>Sub-Saharan Africa</v>
      </c>
      <c r="I750" s="9" t="str">
        <f>Ventas!E750</f>
        <v>Retail</v>
      </c>
    </row>
    <row r="751" spans="2:9" x14ac:dyDescent="0.25">
      <c r="B751" s="12">
        <f>Ventas!F751</f>
        <v>60</v>
      </c>
      <c r="C751" s="10">
        <f>VLOOKUP(Ventas!$D751,Productos!$A$1:$D$16,4,FALSE)*Ventas!F751</f>
        <v>180</v>
      </c>
      <c r="D751" s="10">
        <f>VLOOKUP(Ventas!$D751,Productos!$A$1:$D$16,3,FALSE)*Ventas!F751</f>
        <v>90</v>
      </c>
      <c r="E751" s="10">
        <f t="shared" si="11"/>
        <v>90</v>
      </c>
      <c r="F751" s="9">
        <f>YEAR(Ventas!G751)</f>
        <v>2015</v>
      </c>
      <c r="G751" s="9">
        <f>MONTH(Ventas!G751)</f>
        <v>10</v>
      </c>
      <c r="H751" s="9" t="str">
        <f>VLOOKUP(Ventas!C751,Países!$A$2:$B$186,2,FALSE)</f>
        <v>Europe</v>
      </c>
      <c r="I751" s="9" t="str">
        <f>Ventas!E751</f>
        <v>Retail</v>
      </c>
    </row>
    <row r="752" spans="2:9" x14ac:dyDescent="0.25">
      <c r="B752" s="12">
        <f>Ventas!F752</f>
        <v>133</v>
      </c>
      <c r="C752" s="10">
        <f>VLOOKUP(Ventas!$D752,Productos!$A$1:$D$16,4,FALSE)*Ventas!F752</f>
        <v>266</v>
      </c>
      <c r="D752" s="10">
        <f>VLOOKUP(Ventas!$D752,Productos!$A$1:$D$16,3,FALSE)*Ventas!F752</f>
        <v>133</v>
      </c>
      <c r="E752" s="10">
        <f t="shared" si="11"/>
        <v>133</v>
      </c>
      <c r="F752" s="9">
        <f>YEAR(Ventas!G752)</f>
        <v>2015</v>
      </c>
      <c r="G752" s="9">
        <f>MONTH(Ventas!G752)</f>
        <v>10</v>
      </c>
      <c r="H752" s="9" t="str">
        <f>VLOOKUP(Ventas!C752,Países!$A$2:$B$186,2,FALSE)</f>
        <v>Central America and the Caribbean</v>
      </c>
      <c r="I752" s="9" t="str">
        <f>Ventas!E752</f>
        <v>Retail</v>
      </c>
    </row>
    <row r="753" spans="2:9" x14ac:dyDescent="0.25">
      <c r="B753" s="12">
        <f>Ventas!F753</f>
        <v>68</v>
      </c>
      <c r="C753" s="10">
        <f>VLOOKUP(Ventas!$D753,Productos!$A$1:$D$16,4,FALSE)*Ventas!F753</f>
        <v>679.32</v>
      </c>
      <c r="D753" s="10">
        <f>VLOOKUP(Ventas!$D753,Productos!$A$1:$D$16,3,FALSE)*Ventas!F753</f>
        <v>340</v>
      </c>
      <c r="E753" s="10">
        <f t="shared" si="11"/>
        <v>339.32000000000005</v>
      </c>
      <c r="F753" s="9">
        <f>YEAR(Ventas!G753)</f>
        <v>2015</v>
      </c>
      <c r="G753" s="9">
        <f>MONTH(Ventas!G753)</f>
        <v>11</v>
      </c>
      <c r="H753" s="9" t="str">
        <f>VLOOKUP(Ventas!C753,Países!$A$2:$B$186,2,FALSE)</f>
        <v>Middle East and North Africa</v>
      </c>
      <c r="I753" s="9" t="str">
        <f>Ventas!E753</f>
        <v>Retail</v>
      </c>
    </row>
    <row r="754" spans="2:9" x14ac:dyDescent="0.25">
      <c r="B754" s="12">
        <f>Ventas!F754</f>
        <v>38</v>
      </c>
      <c r="C754" s="10">
        <f>VLOOKUP(Ventas!$D754,Productos!$A$1:$D$16,4,FALSE)*Ventas!F754</f>
        <v>171</v>
      </c>
      <c r="D754" s="10">
        <f>VLOOKUP(Ventas!$D754,Productos!$A$1:$D$16,3,FALSE)*Ventas!F754</f>
        <v>95</v>
      </c>
      <c r="E754" s="10">
        <f t="shared" si="11"/>
        <v>76</v>
      </c>
      <c r="F754" s="9">
        <f>YEAR(Ventas!G754)</f>
        <v>2015</v>
      </c>
      <c r="G754" s="9">
        <f>MONTH(Ventas!G754)</f>
        <v>9</v>
      </c>
      <c r="H754" s="9" t="str">
        <f>VLOOKUP(Ventas!C754,Países!$A$2:$B$186,2,FALSE)</f>
        <v>Sub-Saharan Africa</v>
      </c>
      <c r="I754" s="9" t="str">
        <f>Ventas!E754</f>
        <v>Retail</v>
      </c>
    </row>
    <row r="755" spans="2:9" x14ac:dyDescent="0.25">
      <c r="B755" s="12">
        <f>Ventas!F755</f>
        <v>70</v>
      </c>
      <c r="C755" s="10">
        <f>VLOOKUP(Ventas!$D755,Productos!$A$1:$D$16,4,FALSE)*Ventas!F755</f>
        <v>630</v>
      </c>
      <c r="D755" s="10">
        <f>VLOOKUP(Ventas!$D755,Productos!$A$1:$D$16,3,FALSE)*Ventas!F755</f>
        <v>420</v>
      </c>
      <c r="E755" s="10">
        <f t="shared" si="11"/>
        <v>210</v>
      </c>
      <c r="F755" s="9">
        <f>YEAR(Ventas!G755)</f>
        <v>2015</v>
      </c>
      <c r="G755" s="9">
        <f>MONTH(Ventas!G755)</f>
        <v>12</v>
      </c>
      <c r="H755" s="9" t="str">
        <f>VLOOKUP(Ventas!C755,Países!$A$2:$B$186,2,FALSE)</f>
        <v>Europe</v>
      </c>
      <c r="I755" s="9" t="str">
        <f>Ventas!E755</f>
        <v>Retail</v>
      </c>
    </row>
    <row r="756" spans="2:9" x14ac:dyDescent="0.25">
      <c r="B756" s="12">
        <f>Ventas!F756</f>
        <v>63</v>
      </c>
      <c r="C756" s="10">
        <f>VLOOKUP(Ventas!$D756,Productos!$A$1:$D$16,4,FALSE)*Ventas!F756</f>
        <v>126</v>
      </c>
      <c r="D756" s="10">
        <f>VLOOKUP(Ventas!$D756,Productos!$A$1:$D$16,3,FALSE)*Ventas!F756</f>
        <v>63</v>
      </c>
      <c r="E756" s="10">
        <f t="shared" si="11"/>
        <v>63</v>
      </c>
      <c r="F756" s="9">
        <f>YEAR(Ventas!G756)</f>
        <v>2015</v>
      </c>
      <c r="G756" s="9">
        <f>MONTH(Ventas!G756)</f>
        <v>12</v>
      </c>
      <c r="H756" s="9" t="str">
        <f>VLOOKUP(Ventas!C756,Países!$A$2:$B$186,2,FALSE)</f>
        <v>Europe</v>
      </c>
      <c r="I756" s="9" t="str">
        <f>Ventas!E756</f>
        <v>Retail</v>
      </c>
    </row>
    <row r="757" spans="2:9" x14ac:dyDescent="0.25">
      <c r="B757" s="12">
        <f>Ventas!F757</f>
        <v>208</v>
      </c>
      <c r="C757" s="10">
        <f>VLOOKUP(Ventas!$D757,Productos!$A$1:$D$16,4,FALSE)*Ventas!F757</f>
        <v>829.92000000000007</v>
      </c>
      <c r="D757" s="10">
        <f>VLOOKUP(Ventas!$D757,Productos!$A$1:$D$16,3,FALSE)*Ventas!F757</f>
        <v>416</v>
      </c>
      <c r="E757" s="10">
        <f t="shared" si="11"/>
        <v>413.92000000000007</v>
      </c>
      <c r="F757" s="9">
        <f>YEAR(Ventas!G757)</f>
        <v>2015</v>
      </c>
      <c r="G757" s="9">
        <f>MONTH(Ventas!G757)</f>
        <v>11</v>
      </c>
      <c r="H757" s="9" t="str">
        <f>VLOOKUP(Ventas!C757,Países!$A$2:$B$186,2,FALSE)</f>
        <v>Europe</v>
      </c>
      <c r="I757" s="9" t="str">
        <f>Ventas!E757</f>
        <v>Direct</v>
      </c>
    </row>
    <row r="758" spans="2:9" x14ac:dyDescent="0.25">
      <c r="B758" s="12">
        <f>Ventas!F758</f>
        <v>37</v>
      </c>
      <c r="C758" s="10">
        <f>VLOOKUP(Ventas!$D758,Productos!$A$1:$D$16,4,FALSE)*Ventas!F758</f>
        <v>258.63</v>
      </c>
      <c r="D758" s="10">
        <f>VLOOKUP(Ventas!$D758,Productos!$A$1:$D$16,3,FALSE)*Ventas!F758</f>
        <v>129.5</v>
      </c>
      <c r="E758" s="10">
        <f t="shared" si="11"/>
        <v>129.13</v>
      </c>
      <c r="F758" s="9">
        <f>YEAR(Ventas!G758)</f>
        <v>2015</v>
      </c>
      <c r="G758" s="9">
        <f>MONTH(Ventas!G758)</f>
        <v>10</v>
      </c>
      <c r="H758" s="9" t="str">
        <f>VLOOKUP(Ventas!C758,Países!$A$2:$B$186,2,FALSE)</f>
        <v>North America</v>
      </c>
      <c r="I758" s="9" t="str">
        <f>Ventas!E758</f>
        <v>Online</v>
      </c>
    </row>
    <row r="759" spans="2:9" x14ac:dyDescent="0.25">
      <c r="B759" s="12">
        <f>Ventas!F759</f>
        <v>52</v>
      </c>
      <c r="C759" s="10">
        <f>VLOOKUP(Ventas!$D759,Productos!$A$1:$D$16,4,FALSE)*Ventas!F759</f>
        <v>754</v>
      </c>
      <c r="D759" s="10">
        <f>VLOOKUP(Ventas!$D759,Productos!$A$1:$D$16,3,FALSE)*Ventas!F759</f>
        <v>416</v>
      </c>
      <c r="E759" s="10">
        <f t="shared" si="11"/>
        <v>338</v>
      </c>
      <c r="F759" s="9">
        <f>YEAR(Ventas!G759)</f>
        <v>2015</v>
      </c>
      <c r="G759" s="9">
        <f>MONTH(Ventas!G759)</f>
        <v>9</v>
      </c>
      <c r="H759" s="9" t="str">
        <f>VLOOKUP(Ventas!C759,Países!$A$2:$B$186,2,FALSE)</f>
        <v>Sub-Saharan Africa</v>
      </c>
      <c r="I759" s="9" t="str">
        <f>Ventas!E759</f>
        <v>Retail</v>
      </c>
    </row>
    <row r="760" spans="2:9" x14ac:dyDescent="0.25">
      <c r="B760" s="12">
        <f>Ventas!F760</f>
        <v>138</v>
      </c>
      <c r="C760" s="10">
        <f>VLOOKUP(Ventas!$D760,Productos!$A$1:$D$16,4,FALSE)*Ventas!F760</f>
        <v>897</v>
      </c>
      <c r="D760" s="10">
        <f>VLOOKUP(Ventas!$D760,Productos!$A$1:$D$16,3,FALSE)*Ventas!F760</f>
        <v>483</v>
      </c>
      <c r="E760" s="10">
        <f t="shared" si="11"/>
        <v>414</v>
      </c>
      <c r="F760" s="9">
        <f>YEAR(Ventas!G760)</f>
        <v>2015</v>
      </c>
      <c r="G760" s="9">
        <f>MONTH(Ventas!G760)</f>
        <v>12</v>
      </c>
      <c r="H760" s="9" t="str">
        <f>VLOOKUP(Ventas!C760,Países!$A$2:$B$186,2,FALSE)</f>
        <v>Sub-Saharan Africa</v>
      </c>
      <c r="I760" s="9" t="str">
        <f>Ventas!E760</f>
        <v>Retail</v>
      </c>
    </row>
    <row r="761" spans="2:9" x14ac:dyDescent="0.25">
      <c r="B761" s="12">
        <f>Ventas!F761</f>
        <v>182</v>
      </c>
      <c r="C761" s="10">
        <f>VLOOKUP(Ventas!$D761,Productos!$A$1:$D$16,4,FALSE)*Ventas!F761</f>
        <v>2639</v>
      </c>
      <c r="D761" s="10">
        <f>VLOOKUP(Ventas!$D761,Productos!$A$1:$D$16,3,FALSE)*Ventas!F761</f>
        <v>1456</v>
      </c>
      <c r="E761" s="10">
        <f t="shared" si="11"/>
        <v>1183</v>
      </c>
      <c r="F761" s="9">
        <f>YEAR(Ventas!G761)</f>
        <v>2015</v>
      </c>
      <c r="G761" s="9">
        <f>MONTH(Ventas!G761)</f>
        <v>9</v>
      </c>
      <c r="H761" s="9" t="str">
        <f>VLOOKUP(Ventas!C761,Países!$A$2:$B$186,2,FALSE)</f>
        <v>Sub-Saharan Africa</v>
      </c>
      <c r="I761" s="9" t="str">
        <f>Ventas!E761</f>
        <v>Retail</v>
      </c>
    </row>
    <row r="762" spans="2:9" x14ac:dyDescent="0.25">
      <c r="B762" s="12">
        <f>Ventas!F762</f>
        <v>84</v>
      </c>
      <c r="C762" s="10">
        <f>VLOOKUP(Ventas!$D762,Productos!$A$1:$D$16,4,FALSE)*Ventas!F762</f>
        <v>252</v>
      </c>
      <c r="D762" s="10">
        <f>VLOOKUP(Ventas!$D762,Productos!$A$1:$D$16,3,FALSE)*Ventas!F762</f>
        <v>126</v>
      </c>
      <c r="E762" s="10">
        <f t="shared" si="11"/>
        <v>126</v>
      </c>
      <c r="F762" s="9">
        <f>YEAR(Ventas!G762)</f>
        <v>2015</v>
      </c>
      <c r="G762" s="9">
        <f>MONTH(Ventas!G762)</f>
        <v>9</v>
      </c>
      <c r="H762" s="9" t="str">
        <f>VLOOKUP(Ventas!C762,Países!$A$2:$B$186,2,FALSE)</f>
        <v>Central America and the Caribbean</v>
      </c>
      <c r="I762" s="9" t="str">
        <f>Ventas!E762</f>
        <v>Online</v>
      </c>
    </row>
    <row r="763" spans="2:9" x14ac:dyDescent="0.25">
      <c r="B763" s="12">
        <f>Ventas!F763</f>
        <v>172</v>
      </c>
      <c r="C763" s="10">
        <f>VLOOKUP(Ventas!$D763,Productos!$A$1:$D$16,4,FALSE)*Ventas!F763</f>
        <v>1032</v>
      </c>
      <c r="D763" s="10">
        <f>VLOOKUP(Ventas!$D763,Productos!$A$1:$D$16,3,FALSE)*Ventas!F763</f>
        <v>516</v>
      </c>
      <c r="E763" s="10">
        <f t="shared" si="11"/>
        <v>516</v>
      </c>
      <c r="F763" s="9">
        <f>YEAR(Ventas!G763)</f>
        <v>2015</v>
      </c>
      <c r="G763" s="9">
        <f>MONTH(Ventas!G763)</f>
        <v>12</v>
      </c>
      <c r="H763" s="9" t="str">
        <f>VLOOKUP(Ventas!C763,Países!$A$2:$B$186,2,FALSE)</f>
        <v>Sub-Saharan Africa</v>
      </c>
      <c r="I763" s="9" t="str">
        <f>Ventas!E763</f>
        <v>Retail</v>
      </c>
    </row>
    <row r="764" spans="2:9" x14ac:dyDescent="0.25">
      <c r="B764" s="12">
        <f>Ventas!F764</f>
        <v>208</v>
      </c>
      <c r="C764" s="10">
        <f>VLOOKUP(Ventas!$D764,Productos!$A$1:$D$16,4,FALSE)*Ventas!F764</f>
        <v>829.92000000000007</v>
      </c>
      <c r="D764" s="10">
        <f>VLOOKUP(Ventas!$D764,Productos!$A$1:$D$16,3,FALSE)*Ventas!F764</f>
        <v>416</v>
      </c>
      <c r="E764" s="10">
        <f t="shared" si="11"/>
        <v>413.92000000000007</v>
      </c>
      <c r="F764" s="9">
        <f>YEAR(Ventas!G764)</f>
        <v>2015</v>
      </c>
      <c r="G764" s="9">
        <f>MONTH(Ventas!G764)</f>
        <v>9</v>
      </c>
      <c r="H764" s="9" t="str">
        <f>VLOOKUP(Ventas!C764,Países!$A$2:$B$186,2,FALSE)</f>
        <v>Asia</v>
      </c>
      <c r="I764" s="9" t="str">
        <f>Ventas!E764</f>
        <v>Online</v>
      </c>
    </row>
    <row r="765" spans="2:9" x14ac:dyDescent="0.25">
      <c r="B765" s="12">
        <f>Ventas!F765</f>
        <v>44</v>
      </c>
      <c r="C765" s="10">
        <f>VLOOKUP(Ventas!$D765,Productos!$A$1:$D$16,4,FALSE)*Ventas!F765</f>
        <v>396</v>
      </c>
      <c r="D765" s="10">
        <f>VLOOKUP(Ventas!$D765,Productos!$A$1:$D$16,3,FALSE)*Ventas!F765</f>
        <v>264</v>
      </c>
      <c r="E765" s="10">
        <f t="shared" si="11"/>
        <v>132</v>
      </c>
      <c r="F765" s="9">
        <f>YEAR(Ventas!G765)</f>
        <v>2015</v>
      </c>
      <c r="G765" s="9">
        <f>MONTH(Ventas!G765)</f>
        <v>10</v>
      </c>
      <c r="H765" s="9" t="str">
        <f>VLOOKUP(Ventas!C765,Países!$A$2:$B$186,2,FALSE)</f>
        <v>Europe</v>
      </c>
      <c r="I765" s="9" t="str">
        <f>Ventas!E765</f>
        <v>Online</v>
      </c>
    </row>
    <row r="766" spans="2:9" x14ac:dyDescent="0.25">
      <c r="B766" s="12">
        <f>Ventas!F766</f>
        <v>210</v>
      </c>
      <c r="C766" s="10">
        <f>VLOOKUP(Ventas!$D766,Productos!$A$1:$D$16,4,FALSE)*Ventas!F766</f>
        <v>630</v>
      </c>
      <c r="D766" s="10">
        <f>VLOOKUP(Ventas!$D766,Productos!$A$1:$D$16,3,FALSE)*Ventas!F766</f>
        <v>315</v>
      </c>
      <c r="E766" s="10">
        <f t="shared" si="11"/>
        <v>315</v>
      </c>
      <c r="F766" s="9">
        <f>YEAR(Ventas!G766)</f>
        <v>2015</v>
      </c>
      <c r="G766" s="9">
        <f>MONTH(Ventas!G766)</f>
        <v>9</v>
      </c>
      <c r="H766" s="9" t="str">
        <f>VLOOKUP(Ventas!C766,Países!$A$2:$B$186,2,FALSE)</f>
        <v>Sub-Saharan Africa</v>
      </c>
      <c r="I766" s="9" t="str">
        <f>Ventas!E766</f>
        <v>Retail</v>
      </c>
    </row>
    <row r="767" spans="2:9" x14ac:dyDescent="0.25">
      <c r="B767" s="12">
        <f>Ventas!F767</f>
        <v>156</v>
      </c>
      <c r="C767" s="10">
        <f>VLOOKUP(Ventas!$D767,Productos!$A$1:$D$16,4,FALSE)*Ventas!F767</f>
        <v>1090.44</v>
      </c>
      <c r="D767" s="10">
        <f>VLOOKUP(Ventas!$D767,Productos!$A$1:$D$16,3,FALSE)*Ventas!F767</f>
        <v>546</v>
      </c>
      <c r="E767" s="10">
        <f t="shared" si="11"/>
        <v>544.44000000000005</v>
      </c>
      <c r="F767" s="9">
        <f>YEAR(Ventas!G767)</f>
        <v>2015</v>
      </c>
      <c r="G767" s="9">
        <f>MONTH(Ventas!G767)</f>
        <v>10</v>
      </c>
      <c r="H767" s="9" t="str">
        <f>VLOOKUP(Ventas!C767,Países!$A$2:$B$186,2,FALSE)</f>
        <v>Sub-Saharan Africa</v>
      </c>
      <c r="I767" s="9" t="str">
        <f>Ventas!E767</f>
        <v>Retail</v>
      </c>
    </row>
    <row r="768" spans="2:9" x14ac:dyDescent="0.25">
      <c r="B768" s="12">
        <f>Ventas!F768</f>
        <v>181</v>
      </c>
      <c r="C768" s="10">
        <f>VLOOKUP(Ventas!$D768,Productos!$A$1:$D$16,4,FALSE)*Ventas!F768</f>
        <v>814.5</v>
      </c>
      <c r="D768" s="10">
        <f>VLOOKUP(Ventas!$D768,Productos!$A$1:$D$16,3,FALSE)*Ventas!F768</f>
        <v>452.5</v>
      </c>
      <c r="E768" s="10">
        <f t="shared" si="11"/>
        <v>362</v>
      </c>
      <c r="F768" s="9">
        <f>YEAR(Ventas!G768)</f>
        <v>2015</v>
      </c>
      <c r="G768" s="9">
        <f>MONTH(Ventas!G768)</f>
        <v>11</v>
      </c>
      <c r="H768" s="9" t="str">
        <f>VLOOKUP(Ventas!C768,Países!$A$2:$B$186,2,FALSE)</f>
        <v>Middle East and North Africa</v>
      </c>
      <c r="I768" s="9" t="str">
        <f>Ventas!E768</f>
        <v>Retail</v>
      </c>
    </row>
    <row r="769" spans="2:9" x14ac:dyDescent="0.25">
      <c r="B769" s="12">
        <f>Ventas!F769</f>
        <v>98</v>
      </c>
      <c r="C769" s="10">
        <f>VLOOKUP(Ventas!$D769,Productos!$A$1:$D$16,4,FALSE)*Ventas!F769</f>
        <v>294</v>
      </c>
      <c r="D769" s="10">
        <f>VLOOKUP(Ventas!$D769,Productos!$A$1:$D$16,3,FALSE)*Ventas!F769</f>
        <v>147</v>
      </c>
      <c r="E769" s="10">
        <f t="shared" si="11"/>
        <v>147</v>
      </c>
      <c r="F769" s="9">
        <f>YEAR(Ventas!G769)</f>
        <v>2015</v>
      </c>
      <c r="G769" s="9">
        <f>MONTH(Ventas!G769)</f>
        <v>11</v>
      </c>
      <c r="H769" s="9" t="str">
        <f>VLOOKUP(Ventas!C769,Países!$A$2:$B$186,2,FALSE)</f>
        <v>Europe</v>
      </c>
      <c r="I769" s="9" t="str">
        <f>Ventas!E769</f>
        <v>Online</v>
      </c>
    </row>
    <row r="770" spans="2:9" x14ac:dyDescent="0.25">
      <c r="B770" s="12">
        <f>Ventas!F770</f>
        <v>118</v>
      </c>
      <c r="C770" s="10">
        <f>VLOOKUP(Ventas!$D770,Productos!$A$1:$D$16,4,FALSE)*Ventas!F770</f>
        <v>767</v>
      </c>
      <c r="D770" s="10">
        <f>VLOOKUP(Ventas!$D770,Productos!$A$1:$D$16,3,FALSE)*Ventas!F770</f>
        <v>413</v>
      </c>
      <c r="E770" s="10">
        <f t="shared" si="11"/>
        <v>354</v>
      </c>
      <c r="F770" s="9">
        <f>YEAR(Ventas!G770)</f>
        <v>2015</v>
      </c>
      <c r="G770" s="9">
        <f>MONTH(Ventas!G770)</f>
        <v>11</v>
      </c>
      <c r="H770" s="9" t="str">
        <f>VLOOKUP(Ventas!C770,Países!$A$2:$B$186,2,FALSE)</f>
        <v>Europe</v>
      </c>
      <c r="I770" s="9" t="str">
        <f>Ventas!E770</f>
        <v>Retail</v>
      </c>
    </row>
    <row r="771" spans="2:9" x14ac:dyDescent="0.25">
      <c r="B771" s="12">
        <f>Ventas!F771</f>
        <v>161</v>
      </c>
      <c r="C771" s="10">
        <f>VLOOKUP(Ventas!$D771,Productos!$A$1:$D$16,4,FALSE)*Ventas!F771</f>
        <v>966</v>
      </c>
      <c r="D771" s="10">
        <f>VLOOKUP(Ventas!$D771,Productos!$A$1:$D$16,3,FALSE)*Ventas!F771</f>
        <v>483</v>
      </c>
      <c r="E771" s="10">
        <f t="shared" ref="E771:E834" si="12">C771-D771</f>
        <v>483</v>
      </c>
      <c r="F771" s="9">
        <f>YEAR(Ventas!G771)</f>
        <v>2015</v>
      </c>
      <c r="G771" s="9">
        <f>MONTH(Ventas!G771)</f>
        <v>10</v>
      </c>
      <c r="H771" s="9" t="str">
        <f>VLOOKUP(Ventas!C771,Países!$A$2:$B$186,2,FALSE)</f>
        <v>Europe</v>
      </c>
      <c r="I771" s="9" t="str">
        <f>Ventas!E771</f>
        <v>Direct</v>
      </c>
    </row>
    <row r="772" spans="2:9" x14ac:dyDescent="0.25">
      <c r="B772" s="12">
        <f>Ventas!F772</f>
        <v>196</v>
      </c>
      <c r="C772" s="10">
        <f>VLOOKUP(Ventas!$D772,Productos!$A$1:$D$16,4,FALSE)*Ventas!F772</f>
        <v>1176</v>
      </c>
      <c r="D772" s="10">
        <f>VLOOKUP(Ventas!$D772,Productos!$A$1:$D$16,3,FALSE)*Ventas!F772</f>
        <v>588</v>
      </c>
      <c r="E772" s="10">
        <f t="shared" si="12"/>
        <v>588</v>
      </c>
      <c r="F772" s="9">
        <f>YEAR(Ventas!G772)</f>
        <v>2015</v>
      </c>
      <c r="G772" s="9">
        <f>MONTH(Ventas!G772)</f>
        <v>9</v>
      </c>
      <c r="H772" s="9" t="str">
        <f>VLOOKUP(Ventas!C772,Países!$A$2:$B$186,2,FALSE)</f>
        <v>Asia</v>
      </c>
      <c r="I772" s="9" t="str">
        <f>Ventas!E772</f>
        <v>Retail</v>
      </c>
    </row>
    <row r="773" spans="2:9" x14ac:dyDescent="0.25">
      <c r="B773" s="12">
        <f>Ventas!F773</f>
        <v>35</v>
      </c>
      <c r="C773" s="10">
        <f>VLOOKUP(Ventas!$D773,Productos!$A$1:$D$16,4,FALSE)*Ventas!F773</f>
        <v>244.65</v>
      </c>
      <c r="D773" s="10">
        <f>VLOOKUP(Ventas!$D773,Productos!$A$1:$D$16,3,FALSE)*Ventas!F773</f>
        <v>122.5</v>
      </c>
      <c r="E773" s="10">
        <f t="shared" si="12"/>
        <v>122.15</v>
      </c>
      <c r="F773" s="9">
        <f>YEAR(Ventas!G773)</f>
        <v>2015</v>
      </c>
      <c r="G773" s="9">
        <f>MONTH(Ventas!G773)</f>
        <v>12</v>
      </c>
      <c r="H773" s="9" t="str">
        <f>VLOOKUP(Ventas!C773,Países!$A$2:$B$186,2,FALSE)</f>
        <v>Sub-Saharan Africa</v>
      </c>
      <c r="I773" s="9" t="str">
        <f>Ventas!E773</f>
        <v>Online</v>
      </c>
    </row>
    <row r="774" spans="2:9" x14ac:dyDescent="0.25">
      <c r="B774" s="12">
        <f>Ventas!F774</f>
        <v>47</v>
      </c>
      <c r="C774" s="10">
        <f>VLOOKUP(Ventas!$D774,Productos!$A$1:$D$16,4,FALSE)*Ventas!F774</f>
        <v>282</v>
      </c>
      <c r="D774" s="10">
        <f>VLOOKUP(Ventas!$D774,Productos!$A$1:$D$16,3,FALSE)*Ventas!F774</f>
        <v>141</v>
      </c>
      <c r="E774" s="10">
        <f t="shared" si="12"/>
        <v>141</v>
      </c>
      <c r="F774" s="9">
        <f>YEAR(Ventas!G774)</f>
        <v>2015</v>
      </c>
      <c r="G774" s="9">
        <f>MONTH(Ventas!G774)</f>
        <v>12</v>
      </c>
      <c r="H774" s="9" t="str">
        <f>VLOOKUP(Ventas!C774,Países!$A$2:$B$186,2,FALSE)</f>
        <v>Central America and the Caribbean</v>
      </c>
      <c r="I774" s="9" t="str">
        <f>Ventas!E774</f>
        <v>Retail</v>
      </c>
    </row>
    <row r="775" spans="2:9" x14ac:dyDescent="0.25">
      <c r="B775" s="12">
        <f>Ventas!F775</f>
        <v>91</v>
      </c>
      <c r="C775" s="10">
        <f>VLOOKUP(Ventas!$D775,Productos!$A$1:$D$16,4,FALSE)*Ventas!F775</f>
        <v>909.09</v>
      </c>
      <c r="D775" s="10">
        <f>VLOOKUP(Ventas!$D775,Productos!$A$1:$D$16,3,FALSE)*Ventas!F775</f>
        <v>455</v>
      </c>
      <c r="E775" s="10">
        <f t="shared" si="12"/>
        <v>454.09000000000003</v>
      </c>
      <c r="F775" s="9">
        <f>YEAR(Ventas!G775)</f>
        <v>2015</v>
      </c>
      <c r="G775" s="9">
        <f>MONTH(Ventas!G775)</f>
        <v>12</v>
      </c>
      <c r="H775" s="9" t="str">
        <f>VLOOKUP(Ventas!C775,Países!$A$2:$B$186,2,FALSE)</f>
        <v>Sub-Saharan Africa</v>
      </c>
      <c r="I775" s="9" t="str">
        <f>Ventas!E775</f>
        <v>Online</v>
      </c>
    </row>
    <row r="776" spans="2:9" x14ac:dyDescent="0.25">
      <c r="B776" s="12">
        <f>Ventas!F776</f>
        <v>173</v>
      </c>
      <c r="C776" s="10">
        <f>VLOOKUP(Ventas!$D776,Productos!$A$1:$D$16,4,FALSE)*Ventas!F776</f>
        <v>690.27</v>
      </c>
      <c r="D776" s="10">
        <f>VLOOKUP(Ventas!$D776,Productos!$A$1:$D$16,3,FALSE)*Ventas!F776</f>
        <v>346</v>
      </c>
      <c r="E776" s="10">
        <f t="shared" si="12"/>
        <v>344.27</v>
      </c>
      <c r="F776" s="9">
        <f>YEAR(Ventas!G776)</f>
        <v>2015</v>
      </c>
      <c r="G776" s="9">
        <f>MONTH(Ventas!G776)</f>
        <v>11</v>
      </c>
      <c r="H776" s="9" t="str">
        <f>VLOOKUP(Ventas!C776,Países!$A$2:$B$186,2,FALSE)</f>
        <v>Europe</v>
      </c>
      <c r="I776" s="9" t="str">
        <f>Ventas!E776</f>
        <v>Retail</v>
      </c>
    </row>
    <row r="777" spans="2:9" x14ac:dyDescent="0.25">
      <c r="B777" s="12">
        <f>Ventas!F777</f>
        <v>43</v>
      </c>
      <c r="C777" s="10">
        <f>VLOOKUP(Ventas!$D777,Productos!$A$1:$D$16,4,FALSE)*Ventas!F777</f>
        <v>279.5</v>
      </c>
      <c r="D777" s="10">
        <f>VLOOKUP(Ventas!$D777,Productos!$A$1:$D$16,3,FALSE)*Ventas!F777</f>
        <v>150.5</v>
      </c>
      <c r="E777" s="10">
        <f t="shared" si="12"/>
        <v>129</v>
      </c>
      <c r="F777" s="9">
        <f>YEAR(Ventas!G777)</f>
        <v>2015</v>
      </c>
      <c r="G777" s="9">
        <f>MONTH(Ventas!G777)</f>
        <v>10</v>
      </c>
      <c r="H777" s="9" t="str">
        <f>VLOOKUP(Ventas!C777,Países!$A$2:$B$186,2,FALSE)</f>
        <v>Europe</v>
      </c>
      <c r="I777" s="9" t="str">
        <f>Ventas!E777</f>
        <v>Online</v>
      </c>
    </row>
    <row r="778" spans="2:9" x14ac:dyDescent="0.25">
      <c r="B778" s="12">
        <f>Ventas!F778</f>
        <v>115</v>
      </c>
      <c r="C778" s="10">
        <f>VLOOKUP(Ventas!$D778,Productos!$A$1:$D$16,4,FALSE)*Ventas!F778</f>
        <v>345</v>
      </c>
      <c r="D778" s="10">
        <f>VLOOKUP(Ventas!$D778,Productos!$A$1:$D$16,3,FALSE)*Ventas!F778</f>
        <v>172.5</v>
      </c>
      <c r="E778" s="10">
        <f t="shared" si="12"/>
        <v>172.5</v>
      </c>
      <c r="F778" s="9">
        <f>YEAR(Ventas!G778)</f>
        <v>2015</v>
      </c>
      <c r="G778" s="9">
        <f>MONTH(Ventas!G778)</f>
        <v>11</v>
      </c>
      <c r="H778" s="9" t="str">
        <f>VLOOKUP(Ventas!C778,Países!$A$2:$B$186,2,FALSE)</f>
        <v>Asia</v>
      </c>
      <c r="I778" s="9" t="str">
        <f>Ventas!E778</f>
        <v>Retail</v>
      </c>
    </row>
    <row r="779" spans="2:9" x14ac:dyDescent="0.25">
      <c r="B779" s="12">
        <f>Ventas!F779</f>
        <v>102</v>
      </c>
      <c r="C779" s="10">
        <f>VLOOKUP(Ventas!$D779,Productos!$A$1:$D$16,4,FALSE)*Ventas!F779</f>
        <v>918</v>
      </c>
      <c r="D779" s="10">
        <f>VLOOKUP(Ventas!$D779,Productos!$A$1:$D$16,3,FALSE)*Ventas!F779</f>
        <v>612</v>
      </c>
      <c r="E779" s="10">
        <f t="shared" si="12"/>
        <v>306</v>
      </c>
      <c r="F779" s="9">
        <f>YEAR(Ventas!G779)</f>
        <v>2015</v>
      </c>
      <c r="G779" s="9">
        <f>MONTH(Ventas!G779)</f>
        <v>9</v>
      </c>
      <c r="H779" s="9" t="str">
        <f>VLOOKUP(Ventas!C779,Países!$A$2:$B$186,2,FALSE)</f>
        <v>Europe</v>
      </c>
      <c r="I779" s="9" t="str">
        <f>Ventas!E779</f>
        <v>Online</v>
      </c>
    </row>
    <row r="780" spans="2:9" x14ac:dyDescent="0.25">
      <c r="B780" s="12">
        <f>Ventas!F780</f>
        <v>155</v>
      </c>
      <c r="C780" s="10">
        <f>VLOOKUP(Ventas!$D780,Productos!$A$1:$D$16,4,FALSE)*Ventas!F780</f>
        <v>1083.45</v>
      </c>
      <c r="D780" s="10">
        <f>VLOOKUP(Ventas!$D780,Productos!$A$1:$D$16,3,FALSE)*Ventas!F780</f>
        <v>542.5</v>
      </c>
      <c r="E780" s="10">
        <f t="shared" si="12"/>
        <v>540.95000000000005</v>
      </c>
      <c r="F780" s="9">
        <f>YEAR(Ventas!G780)</f>
        <v>2015</v>
      </c>
      <c r="G780" s="9">
        <f>MONTH(Ventas!G780)</f>
        <v>11</v>
      </c>
      <c r="H780" s="9" t="str">
        <f>VLOOKUP(Ventas!C780,Países!$A$2:$B$186,2,FALSE)</f>
        <v>Europe</v>
      </c>
      <c r="I780" s="9" t="str">
        <f>Ventas!E780</f>
        <v>Online</v>
      </c>
    </row>
    <row r="781" spans="2:9" x14ac:dyDescent="0.25">
      <c r="B781" s="12">
        <f>Ventas!F781</f>
        <v>35</v>
      </c>
      <c r="C781" s="10">
        <f>VLOOKUP(Ventas!$D781,Productos!$A$1:$D$16,4,FALSE)*Ventas!F781</f>
        <v>227.5</v>
      </c>
      <c r="D781" s="10">
        <f>VLOOKUP(Ventas!$D781,Productos!$A$1:$D$16,3,FALSE)*Ventas!F781</f>
        <v>122.5</v>
      </c>
      <c r="E781" s="10">
        <f t="shared" si="12"/>
        <v>105</v>
      </c>
      <c r="F781" s="9">
        <f>YEAR(Ventas!G781)</f>
        <v>2015</v>
      </c>
      <c r="G781" s="9">
        <f>MONTH(Ventas!G781)</f>
        <v>12</v>
      </c>
      <c r="H781" s="9" t="str">
        <f>VLOOKUP(Ventas!C781,Países!$A$2:$B$186,2,FALSE)</f>
        <v>Central America and the Caribbean</v>
      </c>
      <c r="I781" s="9" t="str">
        <f>Ventas!E781</f>
        <v>Retail</v>
      </c>
    </row>
    <row r="782" spans="2:9" x14ac:dyDescent="0.25">
      <c r="B782" s="12">
        <f>Ventas!F782</f>
        <v>170</v>
      </c>
      <c r="C782" s="10">
        <f>VLOOKUP(Ventas!$D782,Productos!$A$1:$D$16,4,FALSE)*Ventas!F782</f>
        <v>678.30000000000007</v>
      </c>
      <c r="D782" s="10">
        <f>VLOOKUP(Ventas!$D782,Productos!$A$1:$D$16,3,FALSE)*Ventas!F782</f>
        <v>340</v>
      </c>
      <c r="E782" s="10">
        <f t="shared" si="12"/>
        <v>338.30000000000007</v>
      </c>
      <c r="F782" s="9">
        <f>YEAR(Ventas!G782)</f>
        <v>2015</v>
      </c>
      <c r="G782" s="9">
        <f>MONTH(Ventas!G782)</f>
        <v>11</v>
      </c>
      <c r="H782" s="9" t="str">
        <f>VLOOKUP(Ventas!C782,Países!$A$2:$B$186,2,FALSE)</f>
        <v>Australia and Oceania</v>
      </c>
      <c r="I782" s="9" t="str">
        <f>Ventas!E782</f>
        <v>Online</v>
      </c>
    </row>
    <row r="783" spans="2:9" x14ac:dyDescent="0.25">
      <c r="B783" s="12">
        <f>Ventas!F783</f>
        <v>42</v>
      </c>
      <c r="C783" s="10">
        <f>VLOOKUP(Ventas!$D783,Productos!$A$1:$D$16,4,FALSE)*Ventas!F783</f>
        <v>84</v>
      </c>
      <c r="D783" s="10">
        <f>VLOOKUP(Ventas!$D783,Productos!$A$1:$D$16,3,FALSE)*Ventas!F783</f>
        <v>42</v>
      </c>
      <c r="E783" s="10">
        <f t="shared" si="12"/>
        <v>42</v>
      </c>
      <c r="F783" s="9">
        <f>YEAR(Ventas!G783)</f>
        <v>2015</v>
      </c>
      <c r="G783" s="9">
        <f>MONTH(Ventas!G783)</f>
        <v>12</v>
      </c>
      <c r="H783" s="9" t="str">
        <f>VLOOKUP(Ventas!C783,Países!$A$2:$B$186,2,FALSE)</f>
        <v>Central America and the Caribbean</v>
      </c>
      <c r="I783" s="9" t="str">
        <f>Ventas!E783</f>
        <v>Retail</v>
      </c>
    </row>
    <row r="784" spans="2:9" x14ac:dyDescent="0.25">
      <c r="B784" s="12">
        <f>Ventas!F784</f>
        <v>82</v>
      </c>
      <c r="C784" s="10">
        <f>VLOOKUP(Ventas!$D784,Productos!$A$1:$D$16,4,FALSE)*Ventas!F784</f>
        <v>327.18</v>
      </c>
      <c r="D784" s="10">
        <f>VLOOKUP(Ventas!$D784,Productos!$A$1:$D$16,3,FALSE)*Ventas!F784</f>
        <v>164</v>
      </c>
      <c r="E784" s="10">
        <f t="shared" si="12"/>
        <v>163.18</v>
      </c>
      <c r="F784" s="9">
        <f>YEAR(Ventas!G784)</f>
        <v>2015</v>
      </c>
      <c r="G784" s="9">
        <f>MONTH(Ventas!G784)</f>
        <v>10</v>
      </c>
      <c r="H784" s="9" t="str">
        <f>VLOOKUP(Ventas!C784,Países!$A$2:$B$186,2,FALSE)</f>
        <v>Sub-Saharan Africa</v>
      </c>
      <c r="I784" s="9" t="str">
        <f>Ventas!E784</f>
        <v>Online</v>
      </c>
    </row>
    <row r="785" spans="2:9" x14ac:dyDescent="0.25">
      <c r="B785" s="12">
        <f>Ventas!F785</f>
        <v>3</v>
      </c>
      <c r="C785" s="10">
        <f>VLOOKUP(Ventas!$D785,Productos!$A$1:$D$16,4,FALSE)*Ventas!F785</f>
        <v>27</v>
      </c>
      <c r="D785" s="10">
        <f>VLOOKUP(Ventas!$D785,Productos!$A$1:$D$16,3,FALSE)*Ventas!F785</f>
        <v>18</v>
      </c>
      <c r="E785" s="10">
        <f t="shared" si="12"/>
        <v>9</v>
      </c>
      <c r="F785" s="9">
        <f>YEAR(Ventas!G785)</f>
        <v>2015</v>
      </c>
      <c r="G785" s="9">
        <f>MONTH(Ventas!G785)</f>
        <v>11</v>
      </c>
      <c r="H785" s="9" t="str">
        <f>VLOOKUP(Ventas!C785,Países!$A$2:$B$186,2,FALSE)</f>
        <v>Europe</v>
      </c>
      <c r="I785" s="9" t="str">
        <f>Ventas!E785</f>
        <v>Online</v>
      </c>
    </row>
    <row r="786" spans="2:9" x14ac:dyDescent="0.25">
      <c r="B786" s="12">
        <f>Ventas!F786</f>
        <v>68</v>
      </c>
      <c r="C786" s="10">
        <f>VLOOKUP(Ventas!$D786,Productos!$A$1:$D$16,4,FALSE)*Ventas!F786</f>
        <v>442</v>
      </c>
      <c r="D786" s="10">
        <f>VLOOKUP(Ventas!$D786,Productos!$A$1:$D$16,3,FALSE)*Ventas!F786</f>
        <v>238</v>
      </c>
      <c r="E786" s="10">
        <f t="shared" si="12"/>
        <v>204</v>
      </c>
      <c r="F786" s="9">
        <f>YEAR(Ventas!G786)</f>
        <v>2015</v>
      </c>
      <c r="G786" s="9">
        <f>MONTH(Ventas!G786)</f>
        <v>11</v>
      </c>
      <c r="H786" s="9" t="str">
        <f>VLOOKUP(Ventas!C786,Países!$A$2:$B$186,2,FALSE)</f>
        <v>Central America and the Caribbean</v>
      </c>
      <c r="I786" s="9" t="str">
        <f>Ventas!E786</f>
        <v>Retail</v>
      </c>
    </row>
    <row r="787" spans="2:9" x14ac:dyDescent="0.25">
      <c r="B787" s="12">
        <f>Ventas!F787</f>
        <v>58</v>
      </c>
      <c r="C787" s="10">
        <f>VLOOKUP(Ventas!$D787,Productos!$A$1:$D$16,4,FALSE)*Ventas!F787</f>
        <v>579.41999999999996</v>
      </c>
      <c r="D787" s="10">
        <f>VLOOKUP(Ventas!$D787,Productos!$A$1:$D$16,3,FALSE)*Ventas!F787</f>
        <v>290</v>
      </c>
      <c r="E787" s="10">
        <f t="shared" si="12"/>
        <v>289.41999999999996</v>
      </c>
      <c r="F787" s="9">
        <f>YEAR(Ventas!G787)</f>
        <v>2015</v>
      </c>
      <c r="G787" s="9">
        <f>MONTH(Ventas!G787)</f>
        <v>10</v>
      </c>
      <c r="H787" s="9" t="str">
        <f>VLOOKUP(Ventas!C787,Países!$A$2:$B$186,2,FALSE)</f>
        <v>Australia and Oceania</v>
      </c>
      <c r="I787" s="9" t="str">
        <f>Ventas!E787</f>
        <v>Online</v>
      </c>
    </row>
    <row r="788" spans="2:9" x14ac:dyDescent="0.25">
      <c r="B788" s="12">
        <f>Ventas!F788</f>
        <v>178</v>
      </c>
      <c r="C788" s="10">
        <f>VLOOKUP(Ventas!$D788,Productos!$A$1:$D$16,4,FALSE)*Ventas!F788</f>
        <v>1157</v>
      </c>
      <c r="D788" s="10">
        <f>VLOOKUP(Ventas!$D788,Productos!$A$1:$D$16,3,FALSE)*Ventas!F788</f>
        <v>623</v>
      </c>
      <c r="E788" s="10">
        <f t="shared" si="12"/>
        <v>534</v>
      </c>
      <c r="F788" s="9">
        <f>YEAR(Ventas!G788)</f>
        <v>2015</v>
      </c>
      <c r="G788" s="9">
        <f>MONTH(Ventas!G788)</f>
        <v>9</v>
      </c>
      <c r="H788" s="9" t="str">
        <f>VLOOKUP(Ventas!C788,Países!$A$2:$B$186,2,FALSE)</f>
        <v>Middle East and North Africa</v>
      </c>
      <c r="I788" s="9" t="str">
        <f>Ventas!E788</f>
        <v>Online</v>
      </c>
    </row>
    <row r="789" spans="2:9" x14ac:dyDescent="0.25">
      <c r="B789" s="12">
        <f>Ventas!F789</f>
        <v>156</v>
      </c>
      <c r="C789" s="10">
        <f>VLOOKUP(Ventas!$D789,Productos!$A$1:$D$16,4,FALSE)*Ventas!F789</f>
        <v>936</v>
      </c>
      <c r="D789" s="10">
        <f>VLOOKUP(Ventas!$D789,Productos!$A$1:$D$16,3,FALSE)*Ventas!F789</f>
        <v>468</v>
      </c>
      <c r="E789" s="10">
        <f t="shared" si="12"/>
        <v>468</v>
      </c>
      <c r="F789" s="9">
        <f>YEAR(Ventas!G789)</f>
        <v>2015</v>
      </c>
      <c r="G789" s="9">
        <f>MONTH(Ventas!G789)</f>
        <v>12</v>
      </c>
      <c r="H789" s="9" t="str">
        <f>VLOOKUP(Ventas!C789,Países!$A$2:$B$186,2,FALSE)</f>
        <v>Europe</v>
      </c>
      <c r="I789" s="9" t="str">
        <f>Ventas!E789</f>
        <v>Online</v>
      </c>
    </row>
    <row r="790" spans="2:9" x14ac:dyDescent="0.25">
      <c r="B790" s="12">
        <f>Ventas!F790</f>
        <v>147</v>
      </c>
      <c r="C790" s="10">
        <f>VLOOKUP(Ventas!$D790,Productos!$A$1:$D$16,4,FALSE)*Ventas!F790</f>
        <v>661.5</v>
      </c>
      <c r="D790" s="10">
        <f>VLOOKUP(Ventas!$D790,Productos!$A$1:$D$16,3,FALSE)*Ventas!F790</f>
        <v>367.5</v>
      </c>
      <c r="E790" s="10">
        <f t="shared" si="12"/>
        <v>294</v>
      </c>
      <c r="F790" s="9">
        <f>YEAR(Ventas!G790)</f>
        <v>2015</v>
      </c>
      <c r="G790" s="9">
        <f>MONTH(Ventas!G790)</f>
        <v>12</v>
      </c>
      <c r="H790" s="9" t="str">
        <f>VLOOKUP(Ventas!C790,Países!$A$2:$B$186,2,FALSE)</f>
        <v>Australia and Oceania</v>
      </c>
      <c r="I790" s="9" t="str">
        <f>Ventas!E790</f>
        <v>Retail</v>
      </c>
    </row>
    <row r="791" spans="2:9" x14ac:dyDescent="0.25">
      <c r="B791" s="12">
        <f>Ventas!F791</f>
        <v>74</v>
      </c>
      <c r="C791" s="10">
        <f>VLOOKUP(Ventas!$D791,Productos!$A$1:$D$16,4,FALSE)*Ventas!F791</f>
        <v>148</v>
      </c>
      <c r="D791" s="10">
        <f>VLOOKUP(Ventas!$D791,Productos!$A$1:$D$16,3,FALSE)*Ventas!F791</f>
        <v>74</v>
      </c>
      <c r="E791" s="10">
        <f t="shared" si="12"/>
        <v>74</v>
      </c>
      <c r="F791" s="9">
        <f>YEAR(Ventas!G791)</f>
        <v>2015</v>
      </c>
      <c r="G791" s="9">
        <f>MONTH(Ventas!G791)</f>
        <v>11</v>
      </c>
      <c r="H791" s="9" t="str">
        <f>VLOOKUP(Ventas!C791,Países!$A$2:$B$186,2,FALSE)</f>
        <v>Europe</v>
      </c>
      <c r="I791" s="9" t="str">
        <f>Ventas!E791</f>
        <v>Retail</v>
      </c>
    </row>
    <row r="792" spans="2:9" x14ac:dyDescent="0.25">
      <c r="B792" s="12">
        <f>Ventas!F792</f>
        <v>189</v>
      </c>
      <c r="C792" s="10">
        <f>VLOOKUP(Ventas!$D792,Productos!$A$1:$D$16,4,FALSE)*Ventas!F792</f>
        <v>378</v>
      </c>
      <c r="D792" s="10">
        <f>VLOOKUP(Ventas!$D792,Productos!$A$1:$D$16,3,FALSE)*Ventas!F792</f>
        <v>189</v>
      </c>
      <c r="E792" s="10">
        <f t="shared" si="12"/>
        <v>189</v>
      </c>
      <c r="F792" s="9">
        <f>YEAR(Ventas!G792)</f>
        <v>2015</v>
      </c>
      <c r="G792" s="9">
        <f>MONTH(Ventas!G792)</f>
        <v>11</v>
      </c>
      <c r="H792" s="9" t="str">
        <f>VLOOKUP(Ventas!C792,Países!$A$2:$B$186,2,FALSE)</f>
        <v>Sub-Saharan Africa</v>
      </c>
      <c r="I792" s="9" t="str">
        <f>Ventas!E792</f>
        <v>Direct</v>
      </c>
    </row>
    <row r="793" spans="2:9" x14ac:dyDescent="0.25">
      <c r="B793" s="12">
        <f>Ventas!F793</f>
        <v>104</v>
      </c>
      <c r="C793" s="10">
        <f>VLOOKUP(Ventas!$D793,Productos!$A$1:$D$16,4,FALSE)*Ventas!F793</f>
        <v>414.96000000000004</v>
      </c>
      <c r="D793" s="10">
        <f>VLOOKUP(Ventas!$D793,Productos!$A$1:$D$16,3,FALSE)*Ventas!F793</f>
        <v>208</v>
      </c>
      <c r="E793" s="10">
        <f t="shared" si="12"/>
        <v>206.96000000000004</v>
      </c>
      <c r="F793" s="9">
        <f>YEAR(Ventas!G793)</f>
        <v>2015</v>
      </c>
      <c r="G793" s="9">
        <f>MONTH(Ventas!G793)</f>
        <v>12</v>
      </c>
      <c r="H793" s="9" t="str">
        <f>VLOOKUP(Ventas!C793,Países!$A$2:$B$186,2,FALSE)</f>
        <v>North America</v>
      </c>
      <c r="I793" s="9" t="str">
        <f>Ventas!E793</f>
        <v>Retail</v>
      </c>
    </row>
    <row r="794" spans="2:9" x14ac:dyDescent="0.25">
      <c r="B794" s="12">
        <f>Ventas!F794</f>
        <v>56</v>
      </c>
      <c r="C794" s="10">
        <f>VLOOKUP(Ventas!$D794,Productos!$A$1:$D$16,4,FALSE)*Ventas!F794</f>
        <v>559.44000000000005</v>
      </c>
      <c r="D794" s="10">
        <f>VLOOKUP(Ventas!$D794,Productos!$A$1:$D$16,3,FALSE)*Ventas!F794</f>
        <v>280</v>
      </c>
      <c r="E794" s="10">
        <f t="shared" si="12"/>
        <v>279.44000000000005</v>
      </c>
      <c r="F794" s="9">
        <f>YEAR(Ventas!G794)</f>
        <v>2015</v>
      </c>
      <c r="G794" s="9">
        <f>MONTH(Ventas!G794)</f>
        <v>12</v>
      </c>
      <c r="H794" s="9" t="str">
        <f>VLOOKUP(Ventas!C794,Países!$A$2:$B$186,2,FALSE)</f>
        <v>Sub-Saharan Africa</v>
      </c>
      <c r="I794" s="9" t="str">
        <f>Ventas!E794</f>
        <v>Online</v>
      </c>
    </row>
    <row r="795" spans="2:9" x14ac:dyDescent="0.25">
      <c r="B795" s="12">
        <f>Ventas!F795</f>
        <v>33</v>
      </c>
      <c r="C795" s="10">
        <f>VLOOKUP(Ventas!$D795,Productos!$A$1:$D$16,4,FALSE)*Ventas!F795</f>
        <v>214.5</v>
      </c>
      <c r="D795" s="10">
        <f>VLOOKUP(Ventas!$D795,Productos!$A$1:$D$16,3,FALSE)*Ventas!F795</f>
        <v>115.5</v>
      </c>
      <c r="E795" s="10">
        <f t="shared" si="12"/>
        <v>99</v>
      </c>
      <c r="F795" s="9">
        <f>YEAR(Ventas!G795)</f>
        <v>2015</v>
      </c>
      <c r="G795" s="9">
        <f>MONTH(Ventas!G795)</f>
        <v>10</v>
      </c>
      <c r="H795" s="9" t="str">
        <f>VLOOKUP(Ventas!C795,Países!$A$2:$B$186,2,FALSE)</f>
        <v>Sub-Saharan Africa</v>
      </c>
      <c r="I795" s="9" t="str">
        <f>Ventas!E795</f>
        <v>Direct</v>
      </c>
    </row>
    <row r="796" spans="2:9" x14ac:dyDescent="0.25">
      <c r="B796" s="12">
        <f>Ventas!F796</f>
        <v>204</v>
      </c>
      <c r="C796" s="10">
        <f>VLOOKUP(Ventas!$D796,Productos!$A$1:$D$16,4,FALSE)*Ventas!F796</f>
        <v>1425.96</v>
      </c>
      <c r="D796" s="10">
        <f>VLOOKUP(Ventas!$D796,Productos!$A$1:$D$16,3,FALSE)*Ventas!F796</f>
        <v>714</v>
      </c>
      <c r="E796" s="10">
        <f t="shared" si="12"/>
        <v>711.96</v>
      </c>
      <c r="F796" s="9">
        <f>YEAR(Ventas!G796)</f>
        <v>2015</v>
      </c>
      <c r="G796" s="9">
        <f>MONTH(Ventas!G796)</f>
        <v>10</v>
      </c>
      <c r="H796" s="9" t="str">
        <f>VLOOKUP(Ventas!C796,Países!$A$2:$B$186,2,FALSE)</f>
        <v>Asia</v>
      </c>
      <c r="I796" s="9" t="str">
        <f>Ventas!E796</f>
        <v>Retail</v>
      </c>
    </row>
    <row r="797" spans="2:9" x14ac:dyDescent="0.25">
      <c r="B797" s="12">
        <f>Ventas!F797</f>
        <v>5</v>
      </c>
      <c r="C797" s="10">
        <f>VLOOKUP(Ventas!$D797,Productos!$A$1:$D$16,4,FALSE)*Ventas!F797</f>
        <v>10</v>
      </c>
      <c r="D797" s="10">
        <f>VLOOKUP(Ventas!$D797,Productos!$A$1:$D$16,3,FALSE)*Ventas!F797</f>
        <v>5</v>
      </c>
      <c r="E797" s="10">
        <f t="shared" si="12"/>
        <v>5</v>
      </c>
      <c r="F797" s="9">
        <f>YEAR(Ventas!G797)</f>
        <v>2015</v>
      </c>
      <c r="G797" s="9">
        <f>MONTH(Ventas!G797)</f>
        <v>12</v>
      </c>
      <c r="H797" s="9" t="str">
        <f>VLOOKUP(Ventas!C797,Países!$A$2:$B$186,2,FALSE)</f>
        <v>Europe</v>
      </c>
      <c r="I797" s="9" t="str">
        <f>Ventas!E797</f>
        <v>Retail</v>
      </c>
    </row>
    <row r="798" spans="2:9" x14ac:dyDescent="0.25">
      <c r="B798" s="12">
        <f>Ventas!F798</f>
        <v>199</v>
      </c>
      <c r="C798" s="10">
        <f>VLOOKUP(Ventas!$D798,Productos!$A$1:$D$16,4,FALSE)*Ventas!F798</f>
        <v>794.01</v>
      </c>
      <c r="D798" s="10">
        <f>VLOOKUP(Ventas!$D798,Productos!$A$1:$D$16,3,FALSE)*Ventas!F798</f>
        <v>398</v>
      </c>
      <c r="E798" s="10">
        <f t="shared" si="12"/>
        <v>396.01</v>
      </c>
      <c r="F798" s="9">
        <f>YEAR(Ventas!G798)</f>
        <v>2015</v>
      </c>
      <c r="G798" s="9">
        <f>MONTH(Ventas!G798)</f>
        <v>12</v>
      </c>
      <c r="H798" s="9" t="str">
        <f>VLOOKUP(Ventas!C798,Países!$A$2:$B$186,2,FALSE)</f>
        <v>Middle East and North Africa</v>
      </c>
      <c r="I798" s="9" t="str">
        <f>Ventas!E798</f>
        <v>Direct</v>
      </c>
    </row>
    <row r="799" spans="2:9" x14ac:dyDescent="0.25">
      <c r="B799" s="12">
        <f>Ventas!F799</f>
        <v>129</v>
      </c>
      <c r="C799" s="10">
        <f>VLOOKUP(Ventas!$D799,Productos!$A$1:$D$16,4,FALSE)*Ventas!F799</f>
        <v>258</v>
      </c>
      <c r="D799" s="10">
        <f>VLOOKUP(Ventas!$D799,Productos!$A$1:$D$16,3,FALSE)*Ventas!F799</f>
        <v>129</v>
      </c>
      <c r="E799" s="10">
        <f t="shared" si="12"/>
        <v>129</v>
      </c>
      <c r="F799" s="9">
        <f>YEAR(Ventas!G799)</f>
        <v>2015</v>
      </c>
      <c r="G799" s="9">
        <f>MONTH(Ventas!G799)</f>
        <v>12</v>
      </c>
      <c r="H799" s="9" t="str">
        <f>VLOOKUP(Ventas!C799,Países!$A$2:$B$186,2,FALSE)</f>
        <v>Central America and the Caribbean</v>
      </c>
      <c r="I799" s="9" t="str">
        <f>Ventas!E799</f>
        <v>Online</v>
      </c>
    </row>
    <row r="800" spans="2:9" x14ac:dyDescent="0.25">
      <c r="B800" s="12">
        <f>Ventas!F800</f>
        <v>14</v>
      </c>
      <c r="C800" s="10">
        <f>VLOOKUP(Ventas!$D800,Productos!$A$1:$D$16,4,FALSE)*Ventas!F800</f>
        <v>42</v>
      </c>
      <c r="D800" s="10">
        <f>VLOOKUP(Ventas!$D800,Productos!$A$1:$D$16,3,FALSE)*Ventas!F800</f>
        <v>21</v>
      </c>
      <c r="E800" s="10">
        <f t="shared" si="12"/>
        <v>21</v>
      </c>
      <c r="F800" s="9">
        <f>YEAR(Ventas!G800)</f>
        <v>2015</v>
      </c>
      <c r="G800" s="9">
        <f>MONTH(Ventas!G800)</f>
        <v>8</v>
      </c>
      <c r="H800" s="9" t="str">
        <f>VLOOKUP(Ventas!C800,Países!$A$2:$B$186,2,FALSE)</f>
        <v>Sub-Saharan Africa</v>
      </c>
      <c r="I800" s="9" t="str">
        <f>Ventas!E800</f>
        <v>Online</v>
      </c>
    </row>
    <row r="801" spans="2:9" x14ac:dyDescent="0.25">
      <c r="B801" s="12">
        <f>Ventas!F801</f>
        <v>91</v>
      </c>
      <c r="C801" s="10">
        <f>VLOOKUP(Ventas!$D801,Productos!$A$1:$D$16,4,FALSE)*Ventas!F801</f>
        <v>591.5</v>
      </c>
      <c r="D801" s="10">
        <f>VLOOKUP(Ventas!$D801,Productos!$A$1:$D$16,3,FALSE)*Ventas!F801</f>
        <v>318.5</v>
      </c>
      <c r="E801" s="10">
        <f t="shared" si="12"/>
        <v>273</v>
      </c>
      <c r="F801" s="9">
        <f>YEAR(Ventas!G801)</f>
        <v>2015</v>
      </c>
      <c r="G801" s="9">
        <f>MONTH(Ventas!G801)</f>
        <v>7</v>
      </c>
      <c r="H801" s="9" t="str">
        <f>VLOOKUP(Ventas!C801,Países!$A$2:$B$186,2,FALSE)</f>
        <v>Asia</v>
      </c>
      <c r="I801" s="9" t="str">
        <f>Ventas!E801</f>
        <v>Online</v>
      </c>
    </row>
    <row r="802" spans="2:9" x14ac:dyDescent="0.25">
      <c r="B802" s="12">
        <f>Ventas!F802</f>
        <v>43</v>
      </c>
      <c r="C802" s="10">
        <f>VLOOKUP(Ventas!$D802,Productos!$A$1:$D$16,4,FALSE)*Ventas!F802</f>
        <v>623.5</v>
      </c>
      <c r="D802" s="10">
        <f>VLOOKUP(Ventas!$D802,Productos!$A$1:$D$16,3,FALSE)*Ventas!F802</f>
        <v>344</v>
      </c>
      <c r="E802" s="10">
        <f t="shared" si="12"/>
        <v>279.5</v>
      </c>
      <c r="F802" s="9">
        <f>YEAR(Ventas!G802)</f>
        <v>2015</v>
      </c>
      <c r="G802" s="9">
        <f>MONTH(Ventas!G802)</f>
        <v>2</v>
      </c>
      <c r="H802" s="9" t="str">
        <f>VLOOKUP(Ventas!C802,Países!$A$2:$B$186,2,FALSE)</f>
        <v>Australia and Oceania</v>
      </c>
      <c r="I802" s="9" t="str">
        <f>Ventas!E802</f>
        <v>Online</v>
      </c>
    </row>
    <row r="803" spans="2:9" x14ac:dyDescent="0.25">
      <c r="B803" s="12">
        <f>Ventas!F803</f>
        <v>140</v>
      </c>
      <c r="C803" s="10">
        <f>VLOOKUP(Ventas!$D803,Productos!$A$1:$D$16,4,FALSE)*Ventas!F803</f>
        <v>1260</v>
      </c>
      <c r="D803" s="10">
        <f>VLOOKUP(Ventas!$D803,Productos!$A$1:$D$16,3,FALSE)*Ventas!F803</f>
        <v>840</v>
      </c>
      <c r="E803" s="10">
        <f t="shared" si="12"/>
        <v>420</v>
      </c>
      <c r="F803" s="9">
        <f>YEAR(Ventas!G803)</f>
        <v>2015</v>
      </c>
      <c r="G803" s="9">
        <f>MONTH(Ventas!G803)</f>
        <v>4</v>
      </c>
      <c r="H803" s="9" t="str">
        <f>VLOOKUP(Ventas!C803,Países!$A$2:$B$186,2,FALSE)</f>
        <v>Europe</v>
      </c>
      <c r="I803" s="9" t="str">
        <f>Ventas!E803</f>
        <v>Retail</v>
      </c>
    </row>
    <row r="804" spans="2:9" x14ac:dyDescent="0.25">
      <c r="B804" s="12">
        <f>Ventas!F804</f>
        <v>38</v>
      </c>
      <c r="C804" s="10">
        <f>VLOOKUP(Ventas!$D804,Productos!$A$1:$D$16,4,FALSE)*Ventas!F804</f>
        <v>76</v>
      </c>
      <c r="D804" s="10">
        <f>VLOOKUP(Ventas!$D804,Productos!$A$1:$D$16,3,FALSE)*Ventas!F804</f>
        <v>38</v>
      </c>
      <c r="E804" s="10">
        <f t="shared" si="12"/>
        <v>38</v>
      </c>
      <c r="F804" s="9">
        <f>YEAR(Ventas!G804)</f>
        <v>2015</v>
      </c>
      <c r="G804" s="9">
        <f>MONTH(Ventas!G804)</f>
        <v>4</v>
      </c>
      <c r="H804" s="9" t="str">
        <f>VLOOKUP(Ventas!C804,Países!$A$2:$B$186,2,FALSE)</f>
        <v>Europe</v>
      </c>
      <c r="I804" s="9" t="str">
        <f>Ventas!E804</f>
        <v>Online</v>
      </c>
    </row>
    <row r="805" spans="2:9" x14ac:dyDescent="0.25">
      <c r="B805" s="12">
        <f>Ventas!F805</f>
        <v>57</v>
      </c>
      <c r="C805" s="10">
        <f>VLOOKUP(Ventas!$D805,Productos!$A$1:$D$16,4,FALSE)*Ventas!F805</f>
        <v>227.43</v>
      </c>
      <c r="D805" s="10">
        <f>VLOOKUP(Ventas!$D805,Productos!$A$1:$D$16,3,FALSE)*Ventas!F805</f>
        <v>114</v>
      </c>
      <c r="E805" s="10">
        <f t="shared" si="12"/>
        <v>113.43</v>
      </c>
      <c r="F805" s="9">
        <f>YEAR(Ventas!G805)</f>
        <v>2015</v>
      </c>
      <c r="G805" s="9">
        <f>MONTH(Ventas!G805)</f>
        <v>2</v>
      </c>
      <c r="H805" s="9" t="str">
        <f>VLOOKUP(Ventas!C805,Países!$A$2:$B$186,2,FALSE)</f>
        <v>Europe</v>
      </c>
      <c r="I805" s="9" t="str">
        <f>Ventas!E805</f>
        <v>Retail</v>
      </c>
    </row>
    <row r="806" spans="2:9" x14ac:dyDescent="0.25">
      <c r="B806" s="12">
        <f>Ventas!F806</f>
        <v>34</v>
      </c>
      <c r="C806" s="10">
        <f>VLOOKUP(Ventas!$D806,Productos!$A$1:$D$16,4,FALSE)*Ventas!F806</f>
        <v>237.66</v>
      </c>
      <c r="D806" s="10">
        <f>VLOOKUP(Ventas!$D806,Productos!$A$1:$D$16,3,FALSE)*Ventas!F806</f>
        <v>119</v>
      </c>
      <c r="E806" s="10">
        <f t="shared" si="12"/>
        <v>118.66</v>
      </c>
      <c r="F806" s="9">
        <f>YEAR(Ventas!G806)</f>
        <v>2015</v>
      </c>
      <c r="G806" s="9">
        <f>MONTH(Ventas!G806)</f>
        <v>5</v>
      </c>
      <c r="H806" s="9" t="str">
        <f>VLOOKUP(Ventas!C806,Países!$A$2:$B$186,2,FALSE)</f>
        <v>Asia</v>
      </c>
      <c r="I806" s="9" t="str">
        <f>Ventas!E806</f>
        <v>Online</v>
      </c>
    </row>
    <row r="807" spans="2:9" x14ac:dyDescent="0.25">
      <c r="B807" s="12">
        <f>Ventas!F807</f>
        <v>4</v>
      </c>
      <c r="C807" s="10">
        <f>VLOOKUP(Ventas!$D807,Productos!$A$1:$D$16,4,FALSE)*Ventas!F807</f>
        <v>15.96</v>
      </c>
      <c r="D807" s="10">
        <f>VLOOKUP(Ventas!$D807,Productos!$A$1:$D$16,3,FALSE)*Ventas!F807</f>
        <v>8</v>
      </c>
      <c r="E807" s="10">
        <f t="shared" si="12"/>
        <v>7.9600000000000009</v>
      </c>
      <c r="F807" s="9">
        <f>YEAR(Ventas!G807)</f>
        <v>2015</v>
      </c>
      <c r="G807" s="9">
        <f>MONTH(Ventas!G807)</f>
        <v>1</v>
      </c>
      <c r="H807" s="9" t="str">
        <f>VLOOKUP(Ventas!C807,Países!$A$2:$B$186,2,FALSE)</f>
        <v>Sub-Saharan Africa</v>
      </c>
      <c r="I807" s="9" t="str">
        <f>Ventas!E807</f>
        <v>Online</v>
      </c>
    </row>
    <row r="808" spans="2:9" x14ac:dyDescent="0.25">
      <c r="B808" s="12">
        <f>Ventas!F808</f>
        <v>208</v>
      </c>
      <c r="C808" s="10">
        <f>VLOOKUP(Ventas!$D808,Productos!$A$1:$D$16,4,FALSE)*Ventas!F808</f>
        <v>1352</v>
      </c>
      <c r="D808" s="10">
        <f>VLOOKUP(Ventas!$D808,Productos!$A$1:$D$16,3,FALSE)*Ventas!F808</f>
        <v>728</v>
      </c>
      <c r="E808" s="10">
        <f t="shared" si="12"/>
        <v>624</v>
      </c>
      <c r="F808" s="9">
        <f>YEAR(Ventas!G808)</f>
        <v>2015</v>
      </c>
      <c r="G808" s="9">
        <f>MONTH(Ventas!G808)</f>
        <v>6</v>
      </c>
      <c r="H808" s="9" t="str">
        <f>VLOOKUP(Ventas!C808,Países!$A$2:$B$186,2,FALSE)</f>
        <v>Europe</v>
      </c>
      <c r="I808" s="9" t="str">
        <f>Ventas!E808</f>
        <v>Retail</v>
      </c>
    </row>
    <row r="809" spans="2:9" x14ac:dyDescent="0.25">
      <c r="B809" s="12">
        <f>Ventas!F809</f>
        <v>132</v>
      </c>
      <c r="C809" s="10">
        <f>VLOOKUP(Ventas!$D809,Productos!$A$1:$D$16,4,FALSE)*Ventas!F809</f>
        <v>396</v>
      </c>
      <c r="D809" s="10">
        <f>VLOOKUP(Ventas!$D809,Productos!$A$1:$D$16,3,FALSE)*Ventas!F809</f>
        <v>198</v>
      </c>
      <c r="E809" s="10">
        <f t="shared" si="12"/>
        <v>198</v>
      </c>
      <c r="F809" s="9">
        <f>YEAR(Ventas!G809)</f>
        <v>2015</v>
      </c>
      <c r="G809" s="9">
        <f>MONTH(Ventas!G809)</f>
        <v>5</v>
      </c>
      <c r="H809" s="9" t="str">
        <f>VLOOKUP(Ventas!C809,Países!$A$2:$B$186,2,FALSE)</f>
        <v>Middle East and North Africa</v>
      </c>
      <c r="I809" s="9" t="str">
        <f>Ventas!E809</f>
        <v>Retail</v>
      </c>
    </row>
    <row r="810" spans="2:9" x14ac:dyDescent="0.25">
      <c r="B810" s="12">
        <f>Ventas!F810</f>
        <v>94</v>
      </c>
      <c r="C810" s="10">
        <f>VLOOKUP(Ventas!$D810,Productos!$A$1:$D$16,4,FALSE)*Ventas!F810</f>
        <v>564</v>
      </c>
      <c r="D810" s="10">
        <f>VLOOKUP(Ventas!$D810,Productos!$A$1:$D$16,3,FALSE)*Ventas!F810</f>
        <v>282</v>
      </c>
      <c r="E810" s="10">
        <f t="shared" si="12"/>
        <v>282</v>
      </c>
      <c r="F810" s="9">
        <f>YEAR(Ventas!G810)</f>
        <v>2015</v>
      </c>
      <c r="G810" s="9">
        <f>MONTH(Ventas!G810)</f>
        <v>2</v>
      </c>
      <c r="H810" s="9" t="str">
        <f>VLOOKUP(Ventas!C810,Países!$A$2:$B$186,2,FALSE)</f>
        <v>Middle East and North Africa</v>
      </c>
      <c r="I810" s="9" t="str">
        <f>Ventas!E810</f>
        <v>Retail</v>
      </c>
    </row>
    <row r="811" spans="2:9" x14ac:dyDescent="0.25">
      <c r="B811" s="12">
        <f>Ventas!F811</f>
        <v>38</v>
      </c>
      <c r="C811" s="10">
        <f>VLOOKUP(Ventas!$D811,Productos!$A$1:$D$16,4,FALSE)*Ventas!F811</f>
        <v>551</v>
      </c>
      <c r="D811" s="10">
        <f>VLOOKUP(Ventas!$D811,Productos!$A$1:$D$16,3,FALSE)*Ventas!F811</f>
        <v>304</v>
      </c>
      <c r="E811" s="10">
        <f t="shared" si="12"/>
        <v>247</v>
      </c>
      <c r="F811" s="9">
        <f>YEAR(Ventas!G811)</f>
        <v>2015</v>
      </c>
      <c r="G811" s="9">
        <f>MONTH(Ventas!G811)</f>
        <v>3</v>
      </c>
      <c r="H811" s="9" t="str">
        <f>VLOOKUP(Ventas!C811,Países!$A$2:$B$186,2,FALSE)</f>
        <v>Asia</v>
      </c>
      <c r="I811" s="9" t="str">
        <f>Ventas!E811</f>
        <v>Online</v>
      </c>
    </row>
    <row r="812" spans="2:9" x14ac:dyDescent="0.25">
      <c r="B812" s="12">
        <f>Ventas!F812</f>
        <v>159</v>
      </c>
      <c r="C812" s="10">
        <f>VLOOKUP(Ventas!$D812,Productos!$A$1:$D$16,4,FALSE)*Ventas!F812</f>
        <v>1588.41</v>
      </c>
      <c r="D812" s="10">
        <f>VLOOKUP(Ventas!$D812,Productos!$A$1:$D$16,3,FALSE)*Ventas!F812</f>
        <v>795</v>
      </c>
      <c r="E812" s="10">
        <f t="shared" si="12"/>
        <v>793.41000000000008</v>
      </c>
      <c r="F812" s="9">
        <f>YEAR(Ventas!G812)</f>
        <v>2015</v>
      </c>
      <c r="G812" s="9">
        <f>MONTH(Ventas!G812)</f>
        <v>3</v>
      </c>
      <c r="H812" s="9" t="str">
        <f>VLOOKUP(Ventas!C812,Países!$A$2:$B$186,2,FALSE)</f>
        <v>Asia</v>
      </c>
      <c r="I812" s="9" t="str">
        <f>Ventas!E812</f>
        <v>Online</v>
      </c>
    </row>
    <row r="813" spans="2:9" x14ac:dyDescent="0.25">
      <c r="B813" s="12">
        <f>Ventas!F813</f>
        <v>15</v>
      </c>
      <c r="C813" s="10">
        <f>VLOOKUP(Ventas!$D813,Productos!$A$1:$D$16,4,FALSE)*Ventas!F813</f>
        <v>30</v>
      </c>
      <c r="D813" s="10">
        <f>VLOOKUP(Ventas!$D813,Productos!$A$1:$D$16,3,FALSE)*Ventas!F813</f>
        <v>15</v>
      </c>
      <c r="E813" s="10">
        <f t="shared" si="12"/>
        <v>15</v>
      </c>
      <c r="F813" s="9">
        <f>YEAR(Ventas!G813)</f>
        <v>2015</v>
      </c>
      <c r="G813" s="9">
        <f>MONTH(Ventas!G813)</f>
        <v>1</v>
      </c>
      <c r="H813" s="9" t="str">
        <f>VLOOKUP(Ventas!C813,Países!$A$2:$B$186,2,FALSE)</f>
        <v>Australia and Oceania</v>
      </c>
      <c r="I813" s="9" t="str">
        <f>Ventas!E813</f>
        <v>Online</v>
      </c>
    </row>
    <row r="814" spans="2:9" x14ac:dyDescent="0.25">
      <c r="B814" s="12">
        <f>Ventas!F814</f>
        <v>147</v>
      </c>
      <c r="C814" s="10">
        <f>VLOOKUP(Ventas!$D814,Productos!$A$1:$D$16,4,FALSE)*Ventas!F814</f>
        <v>1027.53</v>
      </c>
      <c r="D814" s="10">
        <f>VLOOKUP(Ventas!$D814,Productos!$A$1:$D$16,3,FALSE)*Ventas!F814</f>
        <v>514.5</v>
      </c>
      <c r="E814" s="10">
        <f t="shared" si="12"/>
        <v>513.03</v>
      </c>
      <c r="F814" s="9">
        <f>YEAR(Ventas!G814)</f>
        <v>2015</v>
      </c>
      <c r="G814" s="9">
        <f>MONTH(Ventas!G814)</f>
        <v>7</v>
      </c>
      <c r="H814" s="9" t="str">
        <f>VLOOKUP(Ventas!C814,Países!$A$2:$B$186,2,FALSE)</f>
        <v>Middle East and North Africa</v>
      </c>
      <c r="I814" s="9" t="str">
        <f>Ventas!E814</f>
        <v>Online</v>
      </c>
    </row>
    <row r="815" spans="2:9" x14ac:dyDescent="0.25">
      <c r="B815" s="12">
        <f>Ventas!F815</f>
        <v>4</v>
      </c>
      <c r="C815" s="10">
        <f>VLOOKUP(Ventas!$D815,Productos!$A$1:$D$16,4,FALSE)*Ventas!F815</f>
        <v>15.96</v>
      </c>
      <c r="D815" s="10">
        <f>VLOOKUP(Ventas!$D815,Productos!$A$1:$D$16,3,FALSE)*Ventas!F815</f>
        <v>8</v>
      </c>
      <c r="E815" s="10">
        <f t="shared" si="12"/>
        <v>7.9600000000000009</v>
      </c>
      <c r="F815" s="9">
        <f>YEAR(Ventas!G815)</f>
        <v>2015</v>
      </c>
      <c r="G815" s="9">
        <f>MONTH(Ventas!G815)</f>
        <v>1</v>
      </c>
      <c r="H815" s="9" t="str">
        <f>VLOOKUP(Ventas!C815,Países!$A$2:$B$186,2,FALSE)</f>
        <v>North America</v>
      </c>
      <c r="I815" s="9" t="str">
        <f>Ventas!E815</f>
        <v>Online</v>
      </c>
    </row>
    <row r="816" spans="2:9" x14ac:dyDescent="0.25">
      <c r="B816" s="12">
        <f>Ventas!F816</f>
        <v>200</v>
      </c>
      <c r="C816" s="10">
        <f>VLOOKUP(Ventas!$D816,Productos!$A$1:$D$16,4,FALSE)*Ventas!F816</f>
        <v>1300</v>
      </c>
      <c r="D816" s="10">
        <f>VLOOKUP(Ventas!$D816,Productos!$A$1:$D$16,3,FALSE)*Ventas!F816</f>
        <v>700</v>
      </c>
      <c r="E816" s="10">
        <f t="shared" si="12"/>
        <v>600</v>
      </c>
      <c r="F816" s="9">
        <f>YEAR(Ventas!G816)</f>
        <v>2015</v>
      </c>
      <c r="G816" s="9">
        <f>MONTH(Ventas!G816)</f>
        <v>3</v>
      </c>
      <c r="H816" s="9" t="str">
        <f>VLOOKUP(Ventas!C816,Países!$A$2:$B$186,2,FALSE)</f>
        <v>Sub-Saharan Africa</v>
      </c>
      <c r="I816" s="9" t="str">
        <f>Ventas!E816</f>
        <v>Direct</v>
      </c>
    </row>
    <row r="817" spans="2:9" x14ac:dyDescent="0.25">
      <c r="B817" s="12">
        <f>Ventas!F817</f>
        <v>61</v>
      </c>
      <c r="C817" s="10">
        <f>VLOOKUP(Ventas!$D817,Productos!$A$1:$D$16,4,FALSE)*Ventas!F817</f>
        <v>609.39</v>
      </c>
      <c r="D817" s="10">
        <f>VLOOKUP(Ventas!$D817,Productos!$A$1:$D$16,3,FALSE)*Ventas!F817</f>
        <v>305</v>
      </c>
      <c r="E817" s="10">
        <f t="shared" si="12"/>
        <v>304.39</v>
      </c>
      <c r="F817" s="9">
        <f>YEAR(Ventas!G817)</f>
        <v>2015</v>
      </c>
      <c r="G817" s="9">
        <f>MONTH(Ventas!G817)</f>
        <v>7</v>
      </c>
      <c r="H817" s="9" t="str">
        <f>VLOOKUP(Ventas!C817,Países!$A$2:$B$186,2,FALSE)</f>
        <v>Europe</v>
      </c>
      <c r="I817" s="9" t="str">
        <f>Ventas!E817</f>
        <v>Retail</v>
      </c>
    </row>
    <row r="818" spans="2:9" x14ac:dyDescent="0.25">
      <c r="B818" s="12">
        <f>Ventas!F818</f>
        <v>63</v>
      </c>
      <c r="C818" s="10">
        <f>VLOOKUP(Ventas!$D818,Productos!$A$1:$D$16,4,FALSE)*Ventas!F818</f>
        <v>567</v>
      </c>
      <c r="D818" s="10">
        <f>VLOOKUP(Ventas!$D818,Productos!$A$1:$D$16,3,FALSE)*Ventas!F818</f>
        <v>378</v>
      </c>
      <c r="E818" s="10">
        <f t="shared" si="12"/>
        <v>189</v>
      </c>
      <c r="F818" s="9">
        <f>YEAR(Ventas!G818)</f>
        <v>2015</v>
      </c>
      <c r="G818" s="9">
        <f>MONTH(Ventas!G818)</f>
        <v>5</v>
      </c>
      <c r="H818" s="9" t="str">
        <f>VLOOKUP(Ventas!C818,Países!$A$2:$B$186,2,FALSE)</f>
        <v>Europe</v>
      </c>
      <c r="I818" s="9" t="str">
        <f>Ventas!E818</f>
        <v>Online</v>
      </c>
    </row>
    <row r="819" spans="2:9" x14ac:dyDescent="0.25">
      <c r="B819" s="12">
        <f>Ventas!F819</f>
        <v>129</v>
      </c>
      <c r="C819" s="10">
        <f>VLOOKUP(Ventas!$D819,Productos!$A$1:$D$16,4,FALSE)*Ventas!F819</f>
        <v>838.5</v>
      </c>
      <c r="D819" s="10">
        <f>VLOOKUP(Ventas!$D819,Productos!$A$1:$D$16,3,FALSE)*Ventas!F819</f>
        <v>451.5</v>
      </c>
      <c r="E819" s="10">
        <f t="shared" si="12"/>
        <v>387</v>
      </c>
      <c r="F819" s="9">
        <f>YEAR(Ventas!G819)</f>
        <v>2015</v>
      </c>
      <c r="G819" s="9">
        <f>MONTH(Ventas!G819)</f>
        <v>5</v>
      </c>
      <c r="H819" s="9" t="str">
        <f>VLOOKUP(Ventas!C819,Países!$A$2:$B$186,2,FALSE)</f>
        <v>Sub-Saharan Africa</v>
      </c>
      <c r="I819" s="9" t="str">
        <f>Ventas!E819</f>
        <v>Retail</v>
      </c>
    </row>
    <row r="820" spans="2:9" x14ac:dyDescent="0.25">
      <c r="B820" s="12">
        <f>Ventas!F820</f>
        <v>48</v>
      </c>
      <c r="C820" s="10">
        <f>VLOOKUP(Ventas!$D820,Productos!$A$1:$D$16,4,FALSE)*Ventas!F820</f>
        <v>191.52</v>
      </c>
      <c r="D820" s="10">
        <f>VLOOKUP(Ventas!$D820,Productos!$A$1:$D$16,3,FALSE)*Ventas!F820</f>
        <v>96</v>
      </c>
      <c r="E820" s="10">
        <f t="shared" si="12"/>
        <v>95.52000000000001</v>
      </c>
      <c r="F820" s="9">
        <f>YEAR(Ventas!G820)</f>
        <v>2015</v>
      </c>
      <c r="G820" s="9">
        <f>MONTH(Ventas!G820)</f>
        <v>8</v>
      </c>
      <c r="H820" s="9" t="str">
        <f>VLOOKUP(Ventas!C820,Países!$A$2:$B$186,2,FALSE)</f>
        <v>Europe</v>
      </c>
      <c r="I820" s="9" t="str">
        <f>Ventas!E820</f>
        <v>Online</v>
      </c>
    </row>
    <row r="821" spans="2:9" x14ac:dyDescent="0.25">
      <c r="B821" s="12">
        <f>Ventas!F821</f>
        <v>192</v>
      </c>
      <c r="C821" s="10">
        <f>VLOOKUP(Ventas!$D821,Productos!$A$1:$D$16,4,FALSE)*Ventas!F821</f>
        <v>576</v>
      </c>
      <c r="D821" s="10">
        <f>VLOOKUP(Ventas!$D821,Productos!$A$1:$D$16,3,FALSE)*Ventas!F821</f>
        <v>288</v>
      </c>
      <c r="E821" s="10">
        <f t="shared" si="12"/>
        <v>288</v>
      </c>
      <c r="F821" s="9">
        <f>YEAR(Ventas!G821)</f>
        <v>2015</v>
      </c>
      <c r="G821" s="9">
        <f>MONTH(Ventas!G821)</f>
        <v>1</v>
      </c>
      <c r="H821" s="9" t="str">
        <f>VLOOKUP(Ventas!C821,Países!$A$2:$B$186,2,FALSE)</f>
        <v>Central America and the Caribbean</v>
      </c>
      <c r="I821" s="9" t="str">
        <f>Ventas!E821</f>
        <v>Retail</v>
      </c>
    </row>
    <row r="822" spans="2:9" x14ac:dyDescent="0.25">
      <c r="B822" s="12">
        <f>Ventas!F822</f>
        <v>150</v>
      </c>
      <c r="C822" s="10">
        <f>VLOOKUP(Ventas!$D822,Productos!$A$1:$D$16,4,FALSE)*Ventas!F822</f>
        <v>450</v>
      </c>
      <c r="D822" s="10">
        <f>VLOOKUP(Ventas!$D822,Productos!$A$1:$D$16,3,FALSE)*Ventas!F822</f>
        <v>225</v>
      </c>
      <c r="E822" s="10">
        <f t="shared" si="12"/>
        <v>225</v>
      </c>
      <c r="F822" s="9">
        <f>YEAR(Ventas!G822)</f>
        <v>2015</v>
      </c>
      <c r="G822" s="9">
        <f>MONTH(Ventas!G822)</f>
        <v>1</v>
      </c>
      <c r="H822" s="9" t="str">
        <f>VLOOKUP(Ventas!C822,Países!$A$2:$B$186,2,FALSE)</f>
        <v>Europe</v>
      </c>
      <c r="I822" s="9" t="str">
        <f>Ventas!E822</f>
        <v>Retail</v>
      </c>
    </row>
    <row r="823" spans="2:9" x14ac:dyDescent="0.25">
      <c r="B823" s="12">
        <f>Ventas!F823</f>
        <v>125</v>
      </c>
      <c r="C823" s="10">
        <f>VLOOKUP(Ventas!$D823,Productos!$A$1:$D$16,4,FALSE)*Ventas!F823</f>
        <v>873.75</v>
      </c>
      <c r="D823" s="10">
        <f>VLOOKUP(Ventas!$D823,Productos!$A$1:$D$16,3,FALSE)*Ventas!F823</f>
        <v>437.5</v>
      </c>
      <c r="E823" s="10">
        <f t="shared" si="12"/>
        <v>436.25</v>
      </c>
      <c r="F823" s="9">
        <f>YEAR(Ventas!G823)</f>
        <v>2015</v>
      </c>
      <c r="G823" s="9">
        <f>MONTH(Ventas!G823)</f>
        <v>8</v>
      </c>
      <c r="H823" s="9" t="str">
        <f>VLOOKUP(Ventas!C823,Países!$A$2:$B$186,2,FALSE)</f>
        <v>Middle East and North Africa</v>
      </c>
      <c r="I823" s="9" t="str">
        <f>Ventas!E823</f>
        <v>Retail</v>
      </c>
    </row>
    <row r="824" spans="2:9" x14ac:dyDescent="0.25">
      <c r="B824" s="12">
        <f>Ventas!F824</f>
        <v>135</v>
      </c>
      <c r="C824" s="10">
        <f>VLOOKUP(Ventas!$D824,Productos!$A$1:$D$16,4,FALSE)*Ventas!F824</f>
        <v>943.65</v>
      </c>
      <c r="D824" s="10">
        <f>VLOOKUP(Ventas!$D824,Productos!$A$1:$D$16,3,FALSE)*Ventas!F824</f>
        <v>472.5</v>
      </c>
      <c r="E824" s="10">
        <f t="shared" si="12"/>
        <v>471.15</v>
      </c>
      <c r="F824" s="9">
        <f>YEAR(Ventas!G824)</f>
        <v>2015</v>
      </c>
      <c r="G824" s="9">
        <f>MONTH(Ventas!G824)</f>
        <v>8</v>
      </c>
      <c r="H824" s="9" t="str">
        <f>VLOOKUP(Ventas!C824,Países!$A$2:$B$186,2,FALSE)</f>
        <v>Asia</v>
      </c>
      <c r="I824" s="9" t="str">
        <f>Ventas!E824</f>
        <v>Online</v>
      </c>
    </row>
    <row r="825" spans="2:9" x14ac:dyDescent="0.25">
      <c r="B825" s="12">
        <f>Ventas!F825</f>
        <v>128</v>
      </c>
      <c r="C825" s="10">
        <f>VLOOKUP(Ventas!$D825,Productos!$A$1:$D$16,4,FALSE)*Ventas!F825</f>
        <v>510.72</v>
      </c>
      <c r="D825" s="10">
        <f>VLOOKUP(Ventas!$D825,Productos!$A$1:$D$16,3,FALSE)*Ventas!F825</f>
        <v>256</v>
      </c>
      <c r="E825" s="10">
        <f t="shared" si="12"/>
        <v>254.72000000000003</v>
      </c>
      <c r="F825" s="9">
        <f>YEAR(Ventas!G825)</f>
        <v>2015</v>
      </c>
      <c r="G825" s="9">
        <f>MONTH(Ventas!G825)</f>
        <v>5</v>
      </c>
      <c r="H825" s="9" t="str">
        <f>VLOOKUP(Ventas!C825,Países!$A$2:$B$186,2,FALSE)</f>
        <v>Central America and the Caribbean</v>
      </c>
      <c r="I825" s="9" t="str">
        <f>Ventas!E825</f>
        <v>Online</v>
      </c>
    </row>
    <row r="826" spans="2:9" x14ac:dyDescent="0.25">
      <c r="B826" s="12">
        <f>Ventas!F826</f>
        <v>5</v>
      </c>
      <c r="C826" s="10">
        <f>VLOOKUP(Ventas!$D826,Productos!$A$1:$D$16,4,FALSE)*Ventas!F826</f>
        <v>30</v>
      </c>
      <c r="D826" s="10">
        <f>VLOOKUP(Ventas!$D826,Productos!$A$1:$D$16,3,FALSE)*Ventas!F826</f>
        <v>15</v>
      </c>
      <c r="E826" s="10">
        <f t="shared" si="12"/>
        <v>15</v>
      </c>
      <c r="F826" s="9">
        <f>YEAR(Ventas!G826)</f>
        <v>2015</v>
      </c>
      <c r="G826" s="9">
        <f>MONTH(Ventas!G826)</f>
        <v>7</v>
      </c>
      <c r="H826" s="9" t="str">
        <f>VLOOKUP(Ventas!C826,Países!$A$2:$B$186,2,FALSE)</f>
        <v>Australia and Oceania</v>
      </c>
      <c r="I826" s="9" t="str">
        <f>Ventas!E826</f>
        <v>Online</v>
      </c>
    </row>
    <row r="827" spans="2:9" x14ac:dyDescent="0.25">
      <c r="B827" s="12">
        <f>Ventas!F827</f>
        <v>43</v>
      </c>
      <c r="C827" s="10">
        <f>VLOOKUP(Ventas!$D827,Productos!$A$1:$D$16,4,FALSE)*Ventas!F827</f>
        <v>171.57000000000002</v>
      </c>
      <c r="D827" s="10">
        <f>VLOOKUP(Ventas!$D827,Productos!$A$1:$D$16,3,FALSE)*Ventas!F827</f>
        <v>86</v>
      </c>
      <c r="E827" s="10">
        <f t="shared" si="12"/>
        <v>85.570000000000022</v>
      </c>
      <c r="F827" s="9">
        <f>YEAR(Ventas!G827)</f>
        <v>2015</v>
      </c>
      <c r="G827" s="9">
        <f>MONTH(Ventas!G827)</f>
        <v>5</v>
      </c>
      <c r="H827" s="9" t="str">
        <f>VLOOKUP(Ventas!C827,Países!$A$2:$B$186,2,FALSE)</f>
        <v>Asia</v>
      </c>
      <c r="I827" s="9" t="str">
        <f>Ventas!E827</f>
        <v>Online</v>
      </c>
    </row>
    <row r="828" spans="2:9" x14ac:dyDescent="0.25">
      <c r="B828" s="12">
        <f>Ventas!F828</f>
        <v>44</v>
      </c>
      <c r="C828" s="10">
        <f>VLOOKUP(Ventas!$D828,Productos!$A$1:$D$16,4,FALSE)*Ventas!F828</f>
        <v>264</v>
      </c>
      <c r="D828" s="10">
        <f>VLOOKUP(Ventas!$D828,Productos!$A$1:$D$16,3,FALSE)*Ventas!F828</f>
        <v>132</v>
      </c>
      <c r="E828" s="10">
        <f t="shared" si="12"/>
        <v>132</v>
      </c>
      <c r="F828" s="9">
        <f>YEAR(Ventas!G828)</f>
        <v>2015</v>
      </c>
      <c r="G828" s="9">
        <f>MONTH(Ventas!G828)</f>
        <v>8</v>
      </c>
      <c r="H828" s="9" t="str">
        <f>VLOOKUP(Ventas!C828,Países!$A$2:$B$186,2,FALSE)</f>
        <v>Australia and Oceania</v>
      </c>
      <c r="I828" s="9" t="str">
        <f>Ventas!E828</f>
        <v>Retail</v>
      </c>
    </row>
    <row r="829" spans="2:9" x14ac:dyDescent="0.25">
      <c r="B829" s="12">
        <f>Ventas!F829</f>
        <v>124</v>
      </c>
      <c r="C829" s="10">
        <f>VLOOKUP(Ventas!$D829,Productos!$A$1:$D$16,4,FALSE)*Ventas!F829</f>
        <v>494.76000000000005</v>
      </c>
      <c r="D829" s="10">
        <f>VLOOKUP(Ventas!$D829,Productos!$A$1:$D$16,3,FALSE)*Ventas!F829</f>
        <v>248</v>
      </c>
      <c r="E829" s="10">
        <f t="shared" si="12"/>
        <v>246.76000000000005</v>
      </c>
      <c r="F829" s="9">
        <f>YEAR(Ventas!G829)</f>
        <v>2015</v>
      </c>
      <c r="G829" s="9">
        <f>MONTH(Ventas!G829)</f>
        <v>1</v>
      </c>
      <c r="H829" s="9" t="str">
        <f>VLOOKUP(Ventas!C829,Países!$A$2:$B$186,2,FALSE)</f>
        <v>Central America and the Caribbean</v>
      </c>
      <c r="I829" s="9" t="str">
        <f>Ventas!E829</f>
        <v>Online</v>
      </c>
    </row>
    <row r="830" spans="2:9" x14ac:dyDescent="0.25">
      <c r="B830" s="12">
        <f>Ventas!F830</f>
        <v>42</v>
      </c>
      <c r="C830" s="10">
        <f>VLOOKUP(Ventas!$D830,Productos!$A$1:$D$16,4,FALSE)*Ventas!F830</f>
        <v>167.58</v>
      </c>
      <c r="D830" s="10">
        <f>VLOOKUP(Ventas!$D830,Productos!$A$1:$D$16,3,FALSE)*Ventas!F830</f>
        <v>84</v>
      </c>
      <c r="E830" s="10">
        <f t="shared" si="12"/>
        <v>83.580000000000013</v>
      </c>
      <c r="F830" s="9">
        <f>YEAR(Ventas!G830)</f>
        <v>2015</v>
      </c>
      <c r="G830" s="9">
        <f>MONTH(Ventas!G830)</f>
        <v>1</v>
      </c>
      <c r="H830" s="9" t="str">
        <f>VLOOKUP(Ventas!C830,Países!$A$2:$B$186,2,FALSE)</f>
        <v>Sub-Saharan Africa</v>
      </c>
      <c r="I830" s="9" t="str">
        <f>Ventas!E830</f>
        <v>Online</v>
      </c>
    </row>
    <row r="831" spans="2:9" x14ac:dyDescent="0.25">
      <c r="B831" s="12">
        <f>Ventas!F831</f>
        <v>187</v>
      </c>
      <c r="C831" s="10">
        <f>VLOOKUP(Ventas!$D831,Productos!$A$1:$D$16,4,FALSE)*Ventas!F831</f>
        <v>1215.5</v>
      </c>
      <c r="D831" s="10">
        <f>VLOOKUP(Ventas!$D831,Productos!$A$1:$D$16,3,FALSE)*Ventas!F831</f>
        <v>654.5</v>
      </c>
      <c r="E831" s="10">
        <f t="shared" si="12"/>
        <v>561</v>
      </c>
      <c r="F831" s="9">
        <f>YEAR(Ventas!G831)</f>
        <v>2015</v>
      </c>
      <c r="G831" s="9">
        <f>MONTH(Ventas!G831)</f>
        <v>6</v>
      </c>
      <c r="H831" s="9" t="str">
        <f>VLOOKUP(Ventas!C831,Países!$A$2:$B$186,2,FALSE)</f>
        <v>Sub-Saharan Africa</v>
      </c>
      <c r="I831" s="9" t="str">
        <f>Ventas!E831</f>
        <v>Online</v>
      </c>
    </row>
    <row r="832" spans="2:9" x14ac:dyDescent="0.25">
      <c r="B832" s="12">
        <f>Ventas!F832</f>
        <v>147</v>
      </c>
      <c r="C832" s="10">
        <f>VLOOKUP(Ventas!$D832,Productos!$A$1:$D$16,4,FALSE)*Ventas!F832</f>
        <v>1468.53</v>
      </c>
      <c r="D832" s="10">
        <f>VLOOKUP(Ventas!$D832,Productos!$A$1:$D$16,3,FALSE)*Ventas!F832</f>
        <v>735</v>
      </c>
      <c r="E832" s="10">
        <f t="shared" si="12"/>
        <v>733.53</v>
      </c>
      <c r="F832" s="9">
        <f>YEAR(Ventas!G832)</f>
        <v>2015</v>
      </c>
      <c r="G832" s="9">
        <f>MONTH(Ventas!G832)</f>
        <v>6</v>
      </c>
      <c r="H832" s="9" t="str">
        <f>VLOOKUP(Ventas!C832,Países!$A$2:$B$186,2,FALSE)</f>
        <v>Sub-Saharan Africa</v>
      </c>
      <c r="I832" s="9" t="str">
        <f>Ventas!E832</f>
        <v>Retail</v>
      </c>
    </row>
    <row r="833" spans="2:9" x14ac:dyDescent="0.25">
      <c r="B833" s="12">
        <f>Ventas!F833</f>
        <v>53</v>
      </c>
      <c r="C833" s="10">
        <f>VLOOKUP(Ventas!$D833,Productos!$A$1:$D$16,4,FALSE)*Ventas!F833</f>
        <v>238.5</v>
      </c>
      <c r="D833" s="10">
        <f>VLOOKUP(Ventas!$D833,Productos!$A$1:$D$16,3,FALSE)*Ventas!F833</f>
        <v>132.5</v>
      </c>
      <c r="E833" s="10">
        <f t="shared" si="12"/>
        <v>106</v>
      </c>
      <c r="F833" s="9">
        <f>YEAR(Ventas!G833)</f>
        <v>2015</v>
      </c>
      <c r="G833" s="9">
        <f>MONTH(Ventas!G833)</f>
        <v>4</v>
      </c>
      <c r="H833" s="9" t="str">
        <f>VLOOKUP(Ventas!C833,Países!$A$2:$B$186,2,FALSE)</f>
        <v>Europe</v>
      </c>
      <c r="I833" s="9" t="str">
        <f>Ventas!E833</f>
        <v>Retail</v>
      </c>
    </row>
    <row r="834" spans="2:9" x14ac:dyDescent="0.25">
      <c r="B834" s="12">
        <f>Ventas!F834</f>
        <v>71</v>
      </c>
      <c r="C834" s="10">
        <f>VLOOKUP(Ventas!$D834,Productos!$A$1:$D$16,4,FALSE)*Ventas!F834</f>
        <v>142</v>
      </c>
      <c r="D834" s="10">
        <f>VLOOKUP(Ventas!$D834,Productos!$A$1:$D$16,3,FALSE)*Ventas!F834</f>
        <v>71</v>
      </c>
      <c r="E834" s="10">
        <f t="shared" si="12"/>
        <v>71</v>
      </c>
      <c r="F834" s="9">
        <f>YEAR(Ventas!G834)</f>
        <v>2015</v>
      </c>
      <c r="G834" s="9">
        <f>MONTH(Ventas!G834)</f>
        <v>4</v>
      </c>
      <c r="H834" s="9" t="str">
        <f>VLOOKUP(Ventas!C834,Países!$A$2:$B$186,2,FALSE)</f>
        <v>Australia and Oceania</v>
      </c>
      <c r="I834" s="9" t="str">
        <f>Ventas!E834</f>
        <v>Online</v>
      </c>
    </row>
    <row r="835" spans="2:9" x14ac:dyDescent="0.25">
      <c r="B835" s="12">
        <f>Ventas!F835</f>
        <v>50</v>
      </c>
      <c r="C835" s="10">
        <f>VLOOKUP(Ventas!$D835,Productos!$A$1:$D$16,4,FALSE)*Ventas!F835</f>
        <v>325</v>
      </c>
      <c r="D835" s="10">
        <f>VLOOKUP(Ventas!$D835,Productos!$A$1:$D$16,3,FALSE)*Ventas!F835</f>
        <v>175</v>
      </c>
      <c r="E835" s="10">
        <f t="shared" ref="E835:E898" si="13">C835-D835</f>
        <v>150</v>
      </c>
      <c r="F835" s="9">
        <f>YEAR(Ventas!G835)</f>
        <v>2015</v>
      </c>
      <c r="G835" s="9">
        <f>MONTH(Ventas!G835)</f>
        <v>5</v>
      </c>
      <c r="H835" s="9" t="str">
        <f>VLOOKUP(Ventas!C835,Países!$A$2:$B$186,2,FALSE)</f>
        <v>Asia</v>
      </c>
      <c r="I835" s="9" t="str">
        <f>Ventas!E835</f>
        <v>Retail</v>
      </c>
    </row>
    <row r="836" spans="2:9" x14ac:dyDescent="0.25">
      <c r="B836" s="12">
        <f>Ventas!F836</f>
        <v>54</v>
      </c>
      <c r="C836" s="10">
        <f>VLOOKUP(Ventas!$D836,Productos!$A$1:$D$16,4,FALSE)*Ventas!F836</f>
        <v>377.46000000000004</v>
      </c>
      <c r="D836" s="10">
        <f>VLOOKUP(Ventas!$D836,Productos!$A$1:$D$16,3,FALSE)*Ventas!F836</f>
        <v>189</v>
      </c>
      <c r="E836" s="10">
        <f t="shared" si="13"/>
        <v>188.46000000000004</v>
      </c>
      <c r="F836" s="9">
        <f>YEAR(Ventas!G836)</f>
        <v>2015</v>
      </c>
      <c r="G836" s="9">
        <f>MONTH(Ventas!G836)</f>
        <v>4</v>
      </c>
      <c r="H836" s="9" t="str">
        <f>VLOOKUP(Ventas!C836,Países!$A$2:$B$186,2,FALSE)</f>
        <v>Europe</v>
      </c>
      <c r="I836" s="9" t="str">
        <f>Ventas!E836</f>
        <v>Online</v>
      </c>
    </row>
    <row r="837" spans="2:9" x14ac:dyDescent="0.25">
      <c r="B837" s="12">
        <f>Ventas!F837</f>
        <v>164</v>
      </c>
      <c r="C837" s="10">
        <f>VLOOKUP(Ventas!$D837,Productos!$A$1:$D$16,4,FALSE)*Ventas!F837</f>
        <v>984</v>
      </c>
      <c r="D837" s="10">
        <f>VLOOKUP(Ventas!$D837,Productos!$A$1:$D$16,3,FALSE)*Ventas!F837</f>
        <v>492</v>
      </c>
      <c r="E837" s="10">
        <f t="shared" si="13"/>
        <v>492</v>
      </c>
      <c r="F837" s="9">
        <f>YEAR(Ventas!G837)</f>
        <v>2015</v>
      </c>
      <c r="G837" s="9">
        <f>MONTH(Ventas!G837)</f>
        <v>5</v>
      </c>
      <c r="H837" s="9" t="str">
        <f>VLOOKUP(Ventas!C837,Países!$A$2:$B$186,2,FALSE)</f>
        <v>Europe</v>
      </c>
      <c r="I837" s="9" t="str">
        <f>Ventas!E837</f>
        <v>Online</v>
      </c>
    </row>
    <row r="838" spans="2:9" x14ac:dyDescent="0.25">
      <c r="B838" s="12">
        <f>Ventas!F838</f>
        <v>77</v>
      </c>
      <c r="C838" s="10">
        <f>VLOOKUP(Ventas!$D838,Productos!$A$1:$D$16,4,FALSE)*Ventas!F838</f>
        <v>769.23</v>
      </c>
      <c r="D838" s="10">
        <f>VLOOKUP(Ventas!$D838,Productos!$A$1:$D$16,3,FALSE)*Ventas!F838</f>
        <v>385</v>
      </c>
      <c r="E838" s="10">
        <f t="shared" si="13"/>
        <v>384.23</v>
      </c>
      <c r="F838" s="9">
        <f>YEAR(Ventas!G838)</f>
        <v>2015</v>
      </c>
      <c r="G838" s="9">
        <f>MONTH(Ventas!G838)</f>
        <v>3</v>
      </c>
      <c r="H838" s="9" t="str">
        <f>VLOOKUP(Ventas!C838,Países!$A$2:$B$186,2,FALSE)</f>
        <v>Sub-Saharan Africa</v>
      </c>
      <c r="I838" s="9" t="str">
        <f>Ventas!E838</f>
        <v>Online</v>
      </c>
    </row>
    <row r="839" spans="2:9" x14ac:dyDescent="0.25">
      <c r="B839" s="12">
        <f>Ventas!F839</f>
        <v>175</v>
      </c>
      <c r="C839" s="10">
        <f>VLOOKUP(Ventas!$D839,Productos!$A$1:$D$16,4,FALSE)*Ventas!F839</f>
        <v>1575</v>
      </c>
      <c r="D839" s="10">
        <f>VLOOKUP(Ventas!$D839,Productos!$A$1:$D$16,3,FALSE)*Ventas!F839</f>
        <v>1050</v>
      </c>
      <c r="E839" s="10">
        <f t="shared" si="13"/>
        <v>525</v>
      </c>
      <c r="F839" s="9">
        <f>YEAR(Ventas!G839)</f>
        <v>2015</v>
      </c>
      <c r="G839" s="9">
        <f>MONTH(Ventas!G839)</f>
        <v>8</v>
      </c>
      <c r="H839" s="9" t="str">
        <f>VLOOKUP(Ventas!C839,Países!$A$2:$B$186,2,FALSE)</f>
        <v>Sub-Saharan Africa</v>
      </c>
      <c r="I839" s="9" t="str">
        <f>Ventas!E839</f>
        <v>Online</v>
      </c>
    </row>
    <row r="840" spans="2:9" x14ac:dyDescent="0.25">
      <c r="B840" s="12">
        <f>Ventas!F840</f>
        <v>177</v>
      </c>
      <c r="C840" s="10">
        <f>VLOOKUP(Ventas!$D840,Productos!$A$1:$D$16,4,FALSE)*Ventas!F840</f>
        <v>796.5</v>
      </c>
      <c r="D840" s="10">
        <f>VLOOKUP(Ventas!$D840,Productos!$A$1:$D$16,3,FALSE)*Ventas!F840</f>
        <v>442.5</v>
      </c>
      <c r="E840" s="10">
        <f t="shared" si="13"/>
        <v>354</v>
      </c>
      <c r="F840" s="9">
        <f>YEAR(Ventas!G840)</f>
        <v>2015</v>
      </c>
      <c r="G840" s="9">
        <f>MONTH(Ventas!G840)</f>
        <v>6</v>
      </c>
      <c r="H840" s="9" t="str">
        <f>VLOOKUP(Ventas!C840,Países!$A$2:$B$186,2,FALSE)</f>
        <v>Sub-Saharan Africa</v>
      </c>
      <c r="I840" s="9" t="str">
        <f>Ventas!E840</f>
        <v>Retail</v>
      </c>
    </row>
    <row r="841" spans="2:9" x14ac:dyDescent="0.25">
      <c r="B841" s="12">
        <f>Ventas!F841</f>
        <v>143</v>
      </c>
      <c r="C841" s="10">
        <f>VLOOKUP(Ventas!$D841,Productos!$A$1:$D$16,4,FALSE)*Ventas!F841</f>
        <v>1428.57</v>
      </c>
      <c r="D841" s="10">
        <f>VLOOKUP(Ventas!$D841,Productos!$A$1:$D$16,3,FALSE)*Ventas!F841</f>
        <v>715</v>
      </c>
      <c r="E841" s="10">
        <f t="shared" si="13"/>
        <v>713.56999999999994</v>
      </c>
      <c r="F841" s="9">
        <f>YEAR(Ventas!G841)</f>
        <v>2015</v>
      </c>
      <c r="G841" s="9">
        <f>MONTH(Ventas!G841)</f>
        <v>2</v>
      </c>
      <c r="H841" s="9" t="str">
        <f>VLOOKUP(Ventas!C841,Países!$A$2:$B$186,2,FALSE)</f>
        <v>Asia</v>
      </c>
      <c r="I841" s="9" t="str">
        <f>Ventas!E841</f>
        <v>Online</v>
      </c>
    </row>
    <row r="842" spans="2:9" x14ac:dyDescent="0.25">
      <c r="B842" s="12">
        <f>Ventas!F842</f>
        <v>183</v>
      </c>
      <c r="C842" s="10">
        <f>VLOOKUP(Ventas!$D842,Productos!$A$1:$D$16,4,FALSE)*Ventas!F842</f>
        <v>823.5</v>
      </c>
      <c r="D842" s="10">
        <f>VLOOKUP(Ventas!$D842,Productos!$A$1:$D$16,3,FALSE)*Ventas!F842</f>
        <v>457.5</v>
      </c>
      <c r="E842" s="10">
        <f t="shared" si="13"/>
        <v>366</v>
      </c>
      <c r="F842" s="9">
        <f>YEAR(Ventas!G842)</f>
        <v>2015</v>
      </c>
      <c r="G842" s="9">
        <f>MONTH(Ventas!G842)</f>
        <v>2</v>
      </c>
      <c r="H842" s="9" t="str">
        <f>VLOOKUP(Ventas!C842,Países!$A$2:$B$186,2,FALSE)</f>
        <v>Europe</v>
      </c>
      <c r="I842" s="9" t="str">
        <f>Ventas!E842</f>
        <v>Retail</v>
      </c>
    </row>
    <row r="843" spans="2:9" x14ac:dyDescent="0.25">
      <c r="B843" s="12">
        <f>Ventas!F843</f>
        <v>25</v>
      </c>
      <c r="C843" s="10">
        <f>VLOOKUP(Ventas!$D843,Productos!$A$1:$D$16,4,FALSE)*Ventas!F843</f>
        <v>162.5</v>
      </c>
      <c r="D843" s="10">
        <f>VLOOKUP(Ventas!$D843,Productos!$A$1:$D$16,3,FALSE)*Ventas!F843</f>
        <v>87.5</v>
      </c>
      <c r="E843" s="10">
        <f t="shared" si="13"/>
        <v>75</v>
      </c>
      <c r="F843" s="9">
        <f>YEAR(Ventas!G843)</f>
        <v>2015</v>
      </c>
      <c r="G843" s="9">
        <f>MONTH(Ventas!G843)</f>
        <v>7</v>
      </c>
      <c r="H843" s="9" t="str">
        <f>VLOOKUP(Ventas!C843,Países!$A$2:$B$186,2,FALSE)</f>
        <v>Asia</v>
      </c>
      <c r="I843" s="9" t="str">
        <f>Ventas!E843</f>
        <v>Online</v>
      </c>
    </row>
    <row r="844" spans="2:9" x14ac:dyDescent="0.25">
      <c r="B844" s="12">
        <f>Ventas!F844</f>
        <v>169</v>
      </c>
      <c r="C844" s="10">
        <f>VLOOKUP(Ventas!$D844,Productos!$A$1:$D$16,4,FALSE)*Ventas!F844</f>
        <v>1181.31</v>
      </c>
      <c r="D844" s="10">
        <f>VLOOKUP(Ventas!$D844,Productos!$A$1:$D$16,3,FALSE)*Ventas!F844</f>
        <v>591.5</v>
      </c>
      <c r="E844" s="10">
        <f t="shared" si="13"/>
        <v>589.80999999999995</v>
      </c>
      <c r="F844" s="9">
        <f>YEAR(Ventas!G844)</f>
        <v>2015</v>
      </c>
      <c r="G844" s="9">
        <f>MONTH(Ventas!G844)</f>
        <v>6</v>
      </c>
      <c r="H844" s="9" t="str">
        <f>VLOOKUP(Ventas!C844,Países!$A$2:$B$186,2,FALSE)</f>
        <v>Middle East and North Africa</v>
      </c>
      <c r="I844" s="9" t="str">
        <f>Ventas!E844</f>
        <v>Retail</v>
      </c>
    </row>
    <row r="845" spans="2:9" x14ac:dyDescent="0.25">
      <c r="B845" s="12">
        <f>Ventas!F845</f>
        <v>98</v>
      </c>
      <c r="C845" s="10">
        <f>VLOOKUP(Ventas!$D845,Productos!$A$1:$D$16,4,FALSE)*Ventas!F845</f>
        <v>588</v>
      </c>
      <c r="D845" s="10">
        <f>VLOOKUP(Ventas!$D845,Productos!$A$1:$D$16,3,FALSE)*Ventas!F845</f>
        <v>294</v>
      </c>
      <c r="E845" s="10">
        <f t="shared" si="13"/>
        <v>294</v>
      </c>
      <c r="F845" s="9">
        <f>YEAR(Ventas!G845)</f>
        <v>2015</v>
      </c>
      <c r="G845" s="9">
        <f>MONTH(Ventas!G845)</f>
        <v>7</v>
      </c>
      <c r="H845" s="9" t="str">
        <f>VLOOKUP(Ventas!C845,Países!$A$2:$B$186,2,FALSE)</f>
        <v>Sub-Saharan Africa</v>
      </c>
      <c r="I845" s="9" t="str">
        <f>Ventas!E845</f>
        <v>Retail</v>
      </c>
    </row>
    <row r="846" spans="2:9" x14ac:dyDescent="0.25">
      <c r="B846" s="12">
        <f>Ventas!F846</f>
        <v>102</v>
      </c>
      <c r="C846" s="10">
        <f>VLOOKUP(Ventas!$D846,Productos!$A$1:$D$16,4,FALSE)*Ventas!F846</f>
        <v>918</v>
      </c>
      <c r="D846" s="10">
        <f>VLOOKUP(Ventas!$D846,Productos!$A$1:$D$16,3,FALSE)*Ventas!F846</f>
        <v>612</v>
      </c>
      <c r="E846" s="10">
        <f t="shared" si="13"/>
        <v>306</v>
      </c>
      <c r="F846" s="9">
        <f>YEAR(Ventas!G846)</f>
        <v>2015</v>
      </c>
      <c r="G846" s="9">
        <f>MONTH(Ventas!G846)</f>
        <v>1</v>
      </c>
      <c r="H846" s="9" t="str">
        <f>VLOOKUP(Ventas!C846,Países!$A$2:$B$186,2,FALSE)</f>
        <v>Asia</v>
      </c>
      <c r="I846" s="9" t="str">
        <f>Ventas!E846</f>
        <v>Online</v>
      </c>
    </row>
    <row r="847" spans="2:9" x14ac:dyDescent="0.25">
      <c r="B847" s="12">
        <f>Ventas!F847</f>
        <v>29</v>
      </c>
      <c r="C847" s="10">
        <f>VLOOKUP(Ventas!$D847,Productos!$A$1:$D$16,4,FALSE)*Ventas!F847</f>
        <v>58</v>
      </c>
      <c r="D847" s="10">
        <f>VLOOKUP(Ventas!$D847,Productos!$A$1:$D$16,3,FALSE)*Ventas!F847</f>
        <v>29</v>
      </c>
      <c r="E847" s="10">
        <f t="shared" si="13"/>
        <v>29</v>
      </c>
      <c r="F847" s="9">
        <f>YEAR(Ventas!G847)</f>
        <v>2015</v>
      </c>
      <c r="G847" s="9">
        <f>MONTH(Ventas!G847)</f>
        <v>8</v>
      </c>
      <c r="H847" s="9" t="str">
        <f>VLOOKUP(Ventas!C847,Países!$A$2:$B$186,2,FALSE)</f>
        <v>Sub-Saharan Africa</v>
      </c>
      <c r="I847" s="9" t="str">
        <f>Ventas!E847</f>
        <v>Retail</v>
      </c>
    </row>
    <row r="848" spans="2:9" x14ac:dyDescent="0.25">
      <c r="B848" s="12">
        <f>Ventas!F848</f>
        <v>42</v>
      </c>
      <c r="C848" s="10">
        <f>VLOOKUP(Ventas!$D848,Productos!$A$1:$D$16,4,FALSE)*Ventas!F848</f>
        <v>293.58</v>
      </c>
      <c r="D848" s="10">
        <f>VLOOKUP(Ventas!$D848,Productos!$A$1:$D$16,3,FALSE)*Ventas!F848</f>
        <v>147</v>
      </c>
      <c r="E848" s="10">
        <f t="shared" si="13"/>
        <v>146.57999999999998</v>
      </c>
      <c r="F848" s="9">
        <f>YEAR(Ventas!G848)</f>
        <v>2015</v>
      </c>
      <c r="G848" s="9">
        <f>MONTH(Ventas!G848)</f>
        <v>5</v>
      </c>
      <c r="H848" s="9" t="str">
        <f>VLOOKUP(Ventas!C848,Países!$A$2:$B$186,2,FALSE)</f>
        <v>Sub-Saharan Africa</v>
      </c>
      <c r="I848" s="9" t="str">
        <f>Ventas!E848</f>
        <v>Online</v>
      </c>
    </row>
    <row r="849" spans="2:9" x14ac:dyDescent="0.25">
      <c r="B849" s="12">
        <f>Ventas!F849</f>
        <v>182</v>
      </c>
      <c r="C849" s="10">
        <f>VLOOKUP(Ventas!$D849,Productos!$A$1:$D$16,4,FALSE)*Ventas!F849</f>
        <v>726.18000000000006</v>
      </c>
      <c r="D849" s="10">
        <f>VLOOKUP(Ventas!$D849,Productos!$A$1:$D$16,3,FALSE)*Ventas!F849</f>
        <v>364</v>
      </c>
      <c r="E849" s="10">
        <f t="shared" si="13"/>
        <v>362.18000000000006</v>
      </c>
      <c r="F849" s="9">
        <f>YEAR(Ventas!G849)</f>
        <v>2015</v>
      </c>
      <c r="G849" s="9">
        <f>MONTH(Ventas!G849)</f>
        <v>3</v>
      </c>
      <c r="H849" s="9" t="str">
        <f>VLOOKUP(Ventas!C849,Países!$A$2:$B$186,2,FALSE)</f>
        <v>Europe</v>
      </c>
      <c r="I849" s="9" t="str">
        <f>Ventas!E849</f>
        <v>Retail</v>
      </c>
    </row>
    <row r="850" spans="2:9" x14ac:dyDescent="0.25">
      <c r="B850" s="12">
        <f>Ventas!F850</f>
        <v>39</v>
      </c>
      <c r="C850" s="10">
        <f>VLOOKUP(Ventas!$D850,Productos!$A$1:$D$16,4,FALSE)*Ventas!F850</f>
        <v>175.5</v>
      </c>
      <c r="D850" s="10">
        <f>VLOOKUP(Ventas!$D850,Productos!$A$1:$D$16,3,FALSE)*Ventas!F850</f>
        <v>97.5</v>
      </c>
      <c r="E850" s="10">
        <f t="shared" si="13"/>
        <v>78</v>
      </c>
      <c r="F850" s="9">
        <f>YEAR(Ventas!G850)</f>
        <v>2015</v>
      </c>
      <c r="G850" s="9">
        <f>MONTH(Ventas!G850)</f>
        <v>8</v>
      </c>
      <c r="H850" s="9" t="str">
        <f>VLOOKUP(Ventas!C850,Países!$A$2:$B$186,2,FALSE)</f>
        <v>Central America and the Caribbean</v>
      </c>
      <c r="I850" s="9" t="str">
        <f>Ventas!E850</f>
        <v>Online</v>
      </c>
    </row>
    <row r="851" spans="2:9" x14ac:dyDescent="0.25">
      <c r="B851" s="12">
        <f>Ventas!F851</f>
        <v>166</v>
      </c>
      <c r="C851" s="10">
        <f>VLOOKUP(Ventas!$D851,Productos!$A$1:$D$16,4,FALSE)*Ventas!F851</f>
        <v>996</v>
      </c>
      <c r="D851" s="10">
        <f>VLOOKUP(Ventas!$D851,Productos!$A$1:$D$16,3,FALSE)*Ventas!F851</f>
        <v>498</v>
      </c>
      <c r="E851" s="10">
        <f t="shared" si="13"/>
        <v>498</v>
      </c>
      <c r="F851" s="9">
        <f>YEAR(Ventas!G851)</f>
        <v>2015</v>
      </c>
      <c r="G851" s="9">
        <f>MONTH(Ventas!G851)</f>
        <v>7</v>
      </c>
      <c r="H851" s="9" t="str">
        <f>VLOOKUP(Ventas!C851,Países!$A$2:$B$186,2,FALSE)</f>
        <v>Asia</v>
      </c>
      <c r="I851" s="9" t="str">
        <f>Ventas!E851</f>
        <v>Retail</v>
      </c>
    </row>
    <row r="852" spans="2:9" x14ac:dyDescent="0.25">
      <c r="B852" s="12">
        <f>Ventas!F852</f>
        <v>20</v>
      </c>
      <c r="C852" s="10">
        <f>VLOOKUP(Ventas!$D852,Productos!$A$1:$D$16,4,FALSE)*Ventas!F852</f>
        <v>139.80000000000001</v>
      </c>
      <c r="D852" s="10">
        <f>VLOOKUP(Ventas!$D852,Productos!$A$1:$D$16,3,FALSE)*Ventas!F852</f>
        <v>70</v>
      </c>
      <c r="E852" s="10">
        <f t="shared" si="13"/>
        <v>69.800000000000011</v>
      </c>
      <c r="F852" s="9">
        <f>YEAR(Ventas!G852)</f>
        <v>2015</v>
      </c>
      <c r="G852" s="9">
        <f>MONTH(Ventas!G852)</f>
        <v>7</v>
      </c>
      <c r="H852" s="9" t="str">
        <f>VLOOKUP(Ventas!C852,Países!$A$2:$B$186,2,FALSE)</f>
        <v>Sub-Saharan Africa</v>
      </c>
      <c r="I852" s="9" t="str">
        <f>Ventas!E852</f>
        <v>Online</v>
      </c>
    </row>
    <row r="853" spans="2:9" x14ac:dyDescent="0.25">
      <c r="B853" s="12">
        <f>Ventas!F853</f>
        <v>5</v>
      </c>
      <c r="C853" s="10">
        <f>VLOOKUP(Ventas!$D853,Productos!$A$1:$D$16,4,FALSE)*Ventas!F853</f>
        <v>34.950000000000003</v>
      </c>
      <c r="D853" s="10">
        <f>VLOOKUP(Ventas!$D853,Productos!$A$1:$D$16,3,FALSE)*Ventas!F853</f>
        <v>17.5</v>
      </c>
      <c r="E853" s="10">
        <f t="shared" si="13"/>
        <v>17.450000000000003</v>
      </c>
      <c r="F853" s="9">
        <f>YEAR(Ventas!G853)</f>
        <v>2015</v>
      </c>
      <c r="G853" s="9">
        <f>MONTH(Ventas!G853)</f>
        <v>6</v>
      </c>
      <c r="H853" s="9" t="str">
        <f>VLOOKUP(Ventas!C853,Países!$A$2:$B$186,2,FALSE)</f>
        <v>Middle East and North Africa</v>
      </c>
      <c r="I853" s="9" t="str">
        <f>Ventas!E853</f>
        <v>Online</v>
      </c>
    </row>
    <row r="854" spans="2:9" x14ac:dyDescent="0.25">
      <c r="B854" s="12">
        <f>Ventas!F854</f>
        <v>179</v>
      </c>
      <c r="C854" s="10">
        <f>VLOOKUP(Ventas!$D854,Productos!$A$1:$D$16,4,FALSE)*Ventas!F854</f>
        <v>2595.5</v>
      </c>
      <c r="D854" s="10">
        <f>VLOOKUP(Ventas!$D854,Productos!$A$1:$D$16,3,FALSE)*Ventas!F854</f>
        <v>1432</v>
      </c>
      <c r="E854" s="10">
        <f t="shared" si="13"/>
        <v>1163.5</v>
      </c>
      <c r="F854" s="9">
        <f>YEAR(Ventas!G854)</f>
        <v>2015</v>
      </c>
      <c r="G854" s="9">
        <f>MONTH(Ventas!G854)</f>
        <v>1</v>
      </c>
      <c r="H854" s="9" t="str">
        <f>VLOOKUP(Ventas!C854,Países!$A$2:$B$186,2,FALSE)</f>
        <v>Middle East and North Africa</v>
      </c>
      <c r="I854" s="9" t="str">
        <f>Ventas!E854</f>
        <v>Retail</v>
      </c>
    </row>
    <row r="855" spans="2:9" x14ac:dyDescent="0.25">
      <c r="B855" s="12">
        <f>Ventas!F855</f>
        <v>169</v>
      </c>
      <c r="C855" s="10">
        <f>VLOOKUP(Ventas!$D855,Productos!$A$1:$D$16,4,FALSE)*Ventas!F855</f>
        <v>1688.31</v>
      </c>
      <c r="D855" s="10">
        <f>VLOOKUP(Ventas!$D855,Productos!$A$1:$D$16,3,FALSE)*Ventas!F855</f>
        <v>845</v>
      </c>
      <c r="E855" s="10">
        <f t="shared" si="13"/>
        <v>843.31</v>
      </c>
      <c r="F855" s="9">
        <f>YEAR(Ventas!G855)</f>
        <v>2015</v>
      </c>
      <c r="G855" s="9">
        <f>MONTH(Ventas!G855)</f>
        <v>2</v>
      </c>
      <c r="H855" s="9" t="str">
        <f>VLOOKUP(Ventas!C855,Países!$A$2:$B$186,2,FALSE)</f>
        <v>Europe</v>
      </c>
      <c r="I855" s="9" t="str">
        <f>Ventas!E855</f>
        <v>Retail</v>
      </c>
    </row>
    <row r="856" spans="2:9" x14ac:dyDescent="0.25">
      <c r="B856" s="12">
        <f>Ventas!F856</f>
        <v>153</v>
      </c>
      <c r="C856" s="10">
        <f>VLOOKUP(Ventas!$D856,Productos!$A$1:$D$16,4,FALSE)*Ventas!F856</f>
        <v>459</v>
      </c>
      <c r="D856" s="10">
        <f>VLOOKUP(Ventas!$D856,Productos!$A$1:$D$16,3,FALSE)*Ventas!F856</f>
        <v>229.5</v>
      </c>
      <c r="E856" s="10">
        <f t="shared" si="13"/>
        <v>229.5</v>
      </c>
      <c r="F856" s="9">
        <f>YEAR(Ventas!G856)</f>
        <v>2015</v>
      </c>
      <c r="G856" s="9">
        <f>MONTH(Ventas!G856)</f>
        <v>6</v>
      </c>
      <c r="H856" s="9" t="str">
        <f>VLOOKUP(Ventas!C856,Países!$A$2:$B$186,2,FALSE)</f>
        <v>Europe</v>
      </c>
      <c r="I856" s="9" t="str">
        <f>Ventas!E856</f>
        <v>Online</v>
      </c>
    </row>
    <row r="857" spans="2:9" x14ac:dyDescent="0.25">
      <c r="B857" s="12">
        <f>Ventas!F857</f>
        <v>199</v>
      </c>
      <c r="C857" s="10">
        <f>VLOOKUP(Ventas!$D857,Productos!$A$1:$D$16,4,FALSE)*Ventas!F857</f>
        <v>2885.5</v>
      </c>
      <c r="D857" s="10">
        <f>VLOOKUP(Ventas!$D857,Productos!$A$1:$D$16,3,FALSE)*Ventas!F857</f>
        <v>1592</v>
      </c>
      <c r="E857" s="10">
        <f t="shared" si="13"/>
        <v>1293.5</v>
      </c>
      <c r="F857" s="9">
        <f>YEAR(Ventas!G857)</f>
        <v>2015</v>
      </c>
      <c r="G857" s="9">
        <f>MONTH(Ventas!G857)</f>
        <v>5</v>
      </c>
      <c r="H857" s="9" t="str">
        <f>VLOOKUP(Ventas!C857,Países!$A$2:$B$186,2,FALSE)</f>
        <v>Sub-Saharan Africa</v>
      </c>
      <c r="I857" s="9" t="str">
        <f>Ventas!E857</f>
        <v>Retail</v>
      </c>
    </row>
    <row r="858" spans="2:9" x14ac:dyDescent="0.25">
      <c r="B858" s="12">
        <f>Ventas!F858</f>
        <v>41</v>
      </c>
      <c r="C858" s="10">
        <f>VLOOKUP(Ventas!$D858,Productos!$A$1:$D$16,4,FALSE)*Ventas!F858</f>
        <v>266.5</v>
      </c>
      <c r="D858" s="10">
        <f>VLOOKUP(Ventas!$D858,Productos!$A$1:$D$16,3,FALSE)*Ventas!F858</f>
        <v>143.5</v>
      </c>
      <c r="E858" s="10">
        <f t="shared" si="13"/>
        <v>123</v>
      </c>
      <c r="F858" s="9">
        <f>YEAR(Ventas!G858)</f>
        <v>2015</v>
      </c>
      <c r="G858" s="9">
        <f>MONTH(Ventas!G858)</f>
        <v>2</v>
      </c>
      <c r="H858" s="9" t="str">
        <f>VLOOKUP(Ventas!C858,Países!$A$2:$B$186,2,FALSE)</f>
        <v>Central America and the Caribbean</v>
      </c>
      <c r="I858" s="9" t="str">
        <f>Ventas!E858</f>
        <v>Retail</v>
      </c>
    </row>
    <row r="859" spans="2:9" x14ac:dyDescent="0.25">
      <c r="B859" s="12">
        <f>Ventas!F859</f>
        <v>197</v>
      </c>
      <c r="C859" s="10">
        <f>VLOOKUP(Ventas!$D859,Productos!$A$1:$D$16,4,FALSE)*Ventas!F859</f>
        <v>1773</v>
      </c>
      <c r="D859" s="10">
        <f>VLOOKUP(Ventas!$D859,Productos!$A$1:$D$16,3,FALSE)*Ventas!F859</f>
        <v>1182</v>
      </c>
      <c r="E859" s="10">
        <f t="shared" si="13"/>
        <v>591</v>
      </c>
      <c r="F859" s="9">
        <f>YEAR(Ventas!G859)</f>
        <v>2015</v>
      </c>
      <c r="G859" s="9">
        <f>MONTH(Ventas!G859)</f>
        <v>4</v>
      </c>
      <c r="H859" s="9" t="str">
        <f>VLOOKUP(Ventas!C859,Países!$A$2:$B$186,2,FALSE)</f>
        <v>Sub-Saharan Africa</v>
      </c>
      <c r="I859" s="9" t="str">
        <f>Ventas!E859</f>
        <v>Retail</v>
      </c>
    </row>
    <row r="860" spans="2:9" x14ac:dyDescent="0.25">
      <c r="B860" s="12">
        <f>Ventas!F860</f>
        <v>99</v>
      </c>
      <c r="C860" s="10">
        <f>VLOOKUP(Ventas!$D860,Productos!$A$1:$D$16,4,FALSE)*Ventas!F860</f>
        <v>395.01000000000005</v>
      </c>
      <c r="D860" s="10">
        <f>VLOOKUP(Ventas!$D860,Productos!$A$1:$D$16,3,FALSE)*Ventas!F860</f>
        <v>198</v>
      </c>
      <c r="E860" s="10">
        <f t="shared" si="13"/>
        <v>197.01000000000005</v>
      </c>
      <c r="F860" s="9">
        <f>YEAR(Ventas!G860)</f>
        <v>2015</v>
      </c>
      <c r="G860" s="9">
        <f>MONTH(Ventas!G860)</f>
        <v>3</v>
      </c>
      <c r="H860" s="9" t="str">
        <f>VLOOKUP(Ventas!C860,Países!$A$2:$B$186,2,FALSE)</f>
        <v>Sub-Saharan Africa</v>
      </c>
      <c r="I860" s="9" t="str">
        <f>Ventas!E860</f>
        <v>Online</v>
      </c>
    </row>
    <row r="861" spans="2:9" x14ac:dyDescent="0.25">
      <c r="B861" s="12">
        <f>Ventas!F861</f>
        <v>91</v>
      </c>
      <c r="C861" s="10">
        <f>VLOOKUP(Ventas!$D861,Productos!$A$1:$D$16,4,FALSE)*Ventas!F861</f>
        <v>819</v>
      </c>
      <c r="D861" s="10">
        <f>VLOOKUP(Ventas!$D861,Productos!$A$1:$D$16,3,FALSE)*Ventas!F861</f>
        <v>546</v>
      </c>
      <c r="E861" s="10">
        <f t="shared" si="13"/>
        <v>273</v>
      </c>
      <c r="F861" s="9">
        <f>YEAR(Ventas!G861)</f>
        <v>2015</v>
      </c>
      <c r="G861" s="9">
        <f>MONTH(Ventas!G861)</f>
        <v>3</v>
      </c>
      <c r="H861" s="9" t="str">
        <f>VLOOKUP(Ventas!C861,Países!$A$2:$B$186,2,FALSE)</f>
        <v>Sub-Saharan Africa</v>
      </c>
      <c r="I861" s="9" t="str">
        <f>Ventas!E861</f>
        <v>Online</v>
      </c>
    </row>
    <row r="862" spans="2:9" x14ac:dyDescent="0.25">
      <c r="B862" s="12">
        <f>Ventas!F862</f>
        <v>125</v>
      </c>
      <c r="C862" s="10">
        <f>VLOOKUP(Ventas!$D862,Productos!$A$1:$D$16,4,FALSE)*Ventas!F862</f>
        <v>498.75</v>
      </c>
      <c r="D862" s="10">
        <f>VLOOKUP(Ventas!$D862,Productos!$A$1:$D$16,3,FALSE)*Ventas!F862</f>
        <v>250</v>
      </c>
      <c r="E862" s="10">
        <f t="shared" si="13"/>
        <v>248.75</v>
      </c>
      <c r="F862" s="9">
        <f>YEAR(Ventas!G862)</f>
        <v>2015</v>
      </c>
      <c r="G862" s="9">
        <f>MONTH(Ventas!G862)</f>
        <v>2</v>
      </c>
      <c r="H862" s="9" t="str">
        <f>VLOOKUP(Ventas!C862,Países!$A$2:$B$186,2,FALSE)</f>
        <v>Asia</v>
      </c>
      <c r="I862" s="9" t="str">
        <f>Ventas!E862</f>
        <v>Online</v>
      </c>
    </row>
    <row r="863" spans="2:9" x14ac:dyDescent="0.25">
      <c r="B863" s="12">
        <f>Ventas!F863</f>
        <v>18</v>
      </c>
      <c r="C863" s="10">
        <f>VLOOKUP(Ventas!$D863,Productos!$A$1:$D$16,4,FALSE)*Ventas!F863</f>
        <v>54</v>
      </c>
      <c r="D863" s="10">
        <f>VLOOKUP(Ventas!$D863,Productos!$A$1:$D$16,3,FALSE)*Ventas!F863</f>
        <v>27</v>
      </c>
      <c r="E863" s="10">
        <f t="shared" si="13"/>
        <v>27</v>
      </c>
      <c r="F863" s="9">
        <f>YEAR(Ventas!G863)</f>
        <v>2015</v>
      </c>
      <c r="G863" s="9">
        <f>MONTH(Ventas!G863)</f>
        <v>8</v>
      </c>
      <c r="H863" s="9" t="str">
        <f>VLOOKUP(Ventas!C863,Países!$A$2:$B$186,2,FALSE)</f>
        <v>Asia</v>
      </c>
      <c r="I863" s="9" t="str">
        <f>Ventas!E863</f>
        <v>Online</v>
      </c>
    </row>
    <row r="864" spans="2:9" x14ac:dyDescent="0.25">
      <c r="B864" s="12">
        <f>Ventas!F864</f>
        <v>159</v>
      </c>
      <c r="C864" s="10">
        <f>VLOOKUP(Ventas!$D864,Productos!$A$1:$D$16,4,FALSE)*Ventas!F864</f>
        <v>477</v>
      </c>
      <c r="D864" s="10">
        <f>VLOOKUP(Ventas!$D864,Productos!$A$1:$D$16,3,FALSE)*Ventas!F864</f>
        <v>238.5</v>
      </c>
      <c r="E864" s="10">
        <f t="shared" si="13"/>
        <v>238.5</v>
      </c>
      <c r="F864" s="9">
        <f>YEAR(Ventas!G864)</f>
        <v>2015</v>
      </c>
      <c r="G864" s="9">
        <f>MONTH(Ventas!G864)</f>
        <v>3</v>
      </c>
      <c r="H864" s="9" t="str">
        <f>VLOOKUP(Ventas!C864,Países!$A$2:$B$186,2,FALSE)</f>
        <v>Europe</v>
      </c>
      <c r="I864" s="9" t="str">
        <f>Ventas!E864</f>
        <v>Online</v>
      </c>
    </row>
    <row r="865" spans="2:9" x14ac:dyDescent="0.25">
      <c r="B865" s="12">
        <f>Ventas!F865</f>
        <v>104</v>
      </c>
      <c r="C865" s="10">
        <f>VLOOKUP(Ventas!$D865,Productos!$A$1:$D$16,4,FALSE)*Ventas!F865</f>
        <v>624</v>
      </c>
      <c r="D865" s="10">
        <f>VLOOKUP(Ventas!$D865,Productos!$A$1:$D$16,3,FALSE)*Ventas!F865</f>
        <v>312</v>
      </c>
      <c r="E865" s="10">
        <f t="shared" si="13"/>
        <v>312</v>
      </c>
      <c r="F865" s="9">
        <f>YEAR(Ventas!G865)</f>
        <v>2015</v>
      </c>
      <c r="G865" s="9">
        <f>MONTH(Ventas!G865)</f>
        <v>8</v>
      </c>
      <c r="H865" s="9" t="str">
        <f>VLOOKUP(Ventas!C865,Países!$A$2:$B$186,2,FALSE)</f>
        <v>Sub-Saharan Africa</v>
      </c>
      <c r="I865" s="9" t="str">
        <f>Ventas!E865</f>
        <v>Retail</v>
      </c>
    </row>
    <row r="866" spans="2:9" x14ac:dyDescent="0.25">
      <c r="B866" s="12">
        <f>Ventas!F866</f>
        <v>125</v>
      </c>
      <c r="C866" s="10">
        <f>VLOOKUP(Ventas!$D866,Productos!$A$1:$D$16,4,FALSE)*Ventas!F866</f>
        <v>498.75</v>
      </c>
      <c r="D866" s="10">
        <f>VLOOKUP(Ventas!$D866,Productos!$A$1:$D$16,3,FALSE)*Ventas!F866</f>
        <v>250</v>
      </c>
      <c r="E866" s="10">
        <f t="shared" si="13"/>
        <v>248.75</v>
      </c>
      <c r="F866" s="9">
        <f>YEAR(Ventas!G866)</f>
        <v>2015</v>
      </c>
      <c r="G866" s="9">
        <f>MONTH(Ventas!G866)</f>
        <v>4</v>
      </c>
      <c r="H866" s="9" t="str">
        <f>VLOOKUP(Ventas!C866,Países!$A$2:$B$186,2,FALSE)</f>
        <v>Europe</v>
      </c>
      <c r="I866" s="9" t="str">
        <f>Ventas!E866</f>
        <v>Online</v>
      </c>
    </row>
    <row r="867" spans="2:9" x14ac:dyDescent="0.25">
      <c r="B867" s="12">
        <f>Ventas!F867</f>
        <v>25</v>
      </c>
      <c r="C867" s="10">
        <f>VLOOKUP(Ventas!$D867,Productos!$A$1:$D$16,4,FALSE)*Ventas!F867</f>
        <v>112.5</v>
      </c>
      <c r="D867" s="10">
        <f>VLOOKUP(Ventas!$D867,Productos!$A$1:$D$16,3,FALSE)*Ventas!F867</f>
        <v>62.5</v>
      </c>
      <c r="E867" s="10">
        <f t="shared" si="13"/>
        <v>50</v>
      </c>
      <c r="F867" s="9">
        <f>YEAR(Ventas!G867)</f>
        <v>2015</v>
      </c>
      <c r="G867" s="9">
        <f>MONTH(Ventas!G867)</f>
        <v>6</v>
      </c>
      <c r="H867" s="9" t="str">
        <f>VLOOKUP(Ventas!C867,Países!$A$2:$B$186,2,FALSE)</f>
        <v>Central America and the Caribbean</v>
      </c>
      <c r="I867" s="9" t="str">
        <f>Ventas!E867</f>
        <v>Retail</v>
      </c>
    </row>
    <row r="868" spans="2:9" x14ac:dyDescent="0.25">
      <c r="B868" s="12">
        <f>Ventas!F868</f>
        <v>183</v>
      </c>
      <c r="C868" s="10">
        <f>VLOOKUP(Ventas!$D868,Productos!$A$1:$D$16,4,FALSE)*Ventas!F868</f>
        <v>549</v>
      </c>
      <c r="D868" s="10">
        <f>VLOOKUP(Ventas!$D868,Productos!$A$1:$D$16,3,FALSE)*Ventas!F868</f>
        <v>274.5</v>
      </c>
      <c r="E868" s="10">
        <f t="shared" si="13"/>
        <v>274.5</v>
      </c>
      <c r="F868" s="9">
        <f>YEAR(Ventas!G868)</f>
        <v>2015</v>
      </c>
      <c r="G868" s="9">
        <f>MONTH(Ventas!G868)</f>
        <v>1</v>
      </c>
      <c r="H868" s="9" t="str">
        <f>VLOOKUP(Ventas!C868,Países!$A$2:$B$186,2,FALSE)</f>
        <v>Sub-Saharan Africa</v>
      </c>
      <c r="I868" s="9" t="str">
        <f>Ventas!E868</f>
        <v>Online</v>
      </c>
    </row>
    <row r="869" spans="2:9" x14ac:dyDescent="0.25">
      <c r="B869" s="12">
        <f>Ventas!F869</f>
        <v>197</v>
      </c>
      <c r="C869" s="10">
        <f>VLOOKUP(Ventas!$D869,Productos!$A$1:$D$16,4,FALSE)*Ventas!F869</f>
        <v>786.03000000000009</v>
      </c>
      <c r="D869" s="10">
        <f>VLOOKUP(Ventas!$D869,Productos!$A$1:$D$16,3,FALSE)*Ventas!F869</f>
        <v>394</v>
      </c>
      <c r="E869" s="10">
        <f t="shared" si="13"/>
        <v>392.03000000000009</v>
      </c>
      <c r="F869" s="9">
        <f>YEAR(Ventas!G869)</f>
        <v>2015</v>
      </c>
      <c r="G869" s="9">
        <f>MONTH(Ventas!G869)</f>
        <v>4</v>
      </c>
      <c r="H869" s="9" t="str">
        <f>VLOOKUP(Ventas!C869,Países!$A$2:$B$186,2,FALSE)</f>
        <v>Europe</v>
      </c>
      <c r="I869" s="9" t="str">
        <f>Ventas!E869</f>
        <v>Online</v>
      </c>
    </row>
    <row r="870" spans="2:9" x14ac:dyDescent="0.25">
      <c r="B870" s="12">
        <f>Ventas!F870</f>
        <v>84</v>
      </c>
      <c r="C870" s="10">
        <f>VLOOKUP(Ventas!$D870,Productos!$A$1:$D$16,4,FALSE)*Ventas!F870</f>
        <v>839.16</v>
      </c>
      <c r="D870" s="10">
        <f>VLOOKUP(Ventas!$D870,Productos!$A$1:$D$16,3,FALSE)*Ventas!F870</f>
        <v>420</v>
      </c>
      <c r="E870" s="10">
        <f t="shared" si="13"/>
        <v>419.15999999999997</v>
      </c>
      <c r="F870" s="9">
        <f>YEAR(Ventas!G870)</f>
        <v>2015</v>
      </c>
      <c r="G870" s="9">
        <f>MONTH(Ventas!G870)</f>
        <v>2</v>
      </c>
      <c r="H870" s="9" t="str">
        <f>VLOOKUP(Ventas!C870,Países!$A$2:$B$186,2,FALSE)</f>
        <v>Sub-Saharan Africa</v>
      </c>
      <c r="I870" s="9" t="str">
        <f>Ventas!E870</f>
        <v>Online</v>
      </c>
    </row>
    <row r="871" spans="2:9" x14ac:dyDescent="0.25">
      <c r="B871" s="12">
        <f>Ventas!F871</f>
        <v>198</v>
      </c>
      <c r="C871" s="10">
        <f>VLOOKUP(Ventas!$D871,Productos!$A$1:$D$16,4,FALSE)*Ventas!F871</f>
        <v>1188</v>
      </c>
      <c r="D871" s="10">
        <f>VLOOKUP(Ventas!$D871,Productos!$A$1:$D$16,3,FALSE)*Ventas!F871</f>
        <v>594</v>
      </c>
      <c r="E871" s="10">
        <f t="shared" si="13"/>
        <v>594</v>
      </c>
      <c r="F871" s="9">
        <f>YEAR(Ventas!G871)</f>
        <v>2015</v>
      </c>
      <c r="G871" s="9">
        <f>MONTH(Ventas!G871)</f>
        <v>1</v>
      </c>
      <c r="H871" s="9" t="str">
        <f>VLOOKUP(Ventas!C871,Países!$A$2:$B$186,2,FALSE)</f>
        <v>Middle East and North Africa</v>
      </c>
      <c r="I871" s="9" t="str">
        <f>Ventas!E871</f>
        <v>Retail</v>
      </c>
    </row>
    <row r="872" spans="2:9" x14ac:dyDescent="0.25">
      <c r="B872" s="12">
        <f>Ventas!F872</f>
        <v>206</v>
      </c>
      <c r="C872" s="10">
        <f>VLOOKUP(Ventas!$D872,Productos!$A$1:$D$16,4,FALSE)*Ventas!F872</f>
        <v>1236</v>
      </c>
      <c r="D872" s="10">
        <f>VLOOKUP(Ventas!$D872,Productos!$A$1:$D$16,3,FALSE)*Ventas!F872</f>
        <v>618</v>
      </c>
      <c r="E872" s="10">
        <f t="shared" si="13"/>
        <v>618</v>
      </c>
      <c r="F872" s="9">
        <f>YEAR(Ventas!G872)</f>
        <v>2015</v>
      </c>
      <c r="G872" s="9">
        <f>MONTH(Ventas!G872)</f>
        <v>7</v>
      </c>
      <c r="H872" s="9" t="str">
        <f>VLOOKUP(Ventas!C872,Países!$A$2:$B$186,2,FALSE)</f>
        <v>Middle East and North Africa</v>
      </c>
      <c r="I872" s="9" t="str">
        <f>Ventas!E872</f>
        <v>Online</v>
      </c>
    </row>
    <row r="873" spans="2:9" x14ac:dyDescent="0.25">
      <c r="B873" s="12">
        <f>Ventas!F873</f>
        <v>42</v>
      </c>
      <c r="C873" s="10">
        <f>VLOOKUP(Ventas!$D873,Productos!$A$1:$D$16,4,FALSE)*Ventas!F873</f>
        <v>609</v>
      </c>
      <c r="D873" s="10">
        <f>VLOOKUP(Ventas!$D873,Productos!$A$1:$D$16,3,FALSE)*Ventas!F873</f>
        <v>336</v>
      </c>
      <c r="E873" s="10">
        <f t="shared" si="13"/>
        <v>273</v>
      </c>
      <c r="F873" s="9">
        <f>YEAR(Ventas!G873)</f>
        <v>2015</v>
      </c>
      <c r="G873" s="9">
        <f>MONTH(Ventas!G873)</f>
        <v>8</v>
      </c>
      <c r="H873" s="9" t="str">
        <f>VLOOKUP(Ventas!C873,Países!$A$2:$B$186,2,FALSE)</f>
        <v>Sub-Saharan Africa</v>
      </c>
      <c r="I873" s="9" t="str">
        <f>Ventas!E873</f>
        <v>Retail</v>
      </c>
    </row>
    <row r="874" spans="2:9" x14ac:dyDescent="0.25">
      <c r="B874" s="12">
        <f>Ventas!F874</f>
        <v>47</v>
      </c>
      <c r="C874" s="10">
        <f>VLOOKUP(Ventas!$D874,Productos!$A$1:$D$16,4,FALSE)*Ventas!F874</f>
        <v>328.53000000000003</v>
      </c>
      <c r="D874" s="10">
        <f>VLOOKUP(Ventas!$D874,Productos!$A$1:$D$16,3,FALSE)*Ventas!F874</f>
        <v>164.5</v>
      </c>
      <c r="E874" s="10">
        <f t="shared" si="13"/>
        <v>164.03000000000003</v>
      </c>
      <c r="F874" s="9">
        <f>YEAR(Ventas!G874)</f>
        <v>2015</v>
      </c>
      <c r="G874" s="9">
        <f>MONTH(Ventas!G874)</f>
        <v>2</v>
      </c>
      <c r="H874" s="9" t="str">
        <f>VLOOKUP(Ventas!C874,Países!$A$2:$B$186,2,FALSE)</f>
        <v>Central America and the Caribbean</v>
      </c>
      <c r="I874" s="9" t="str">
        <f>Ventas!E874</f>
        <v>Retail</v>
      </c>
    </row>
    <row r="875" spans="2:9" x14ac:dyDescent="0.25">
      <c r="B875" s="12">
        <f>Ventas!F875</f>
        <v>108</v>
      </c>
      <c r="C875" s="10">
        <f>VLOOKUP(Ventas!$D875,Productos!$A$1:$D$16,4,FALSE)*Ventas!F875</f>
        <v>754.92000000000007</v>
      </c>
      <c r="D875" s="10">
        <f>VLOOKUP(Ventas!$D875,Productos!$A$1:$D$16,3,FALSE)*Ventas!F875</f>
        <v>378</v>
      </c>
      <c r="E875" s="10">
        <f t="shared" si="13"/>
        <v>376.92000000000007</v>
      </c>
      <c r="F875" s="9">
        <f>YEAR(Ventas!G875)</f>
        <v>2015</v>
      </c>
      <c r="G875" s="9">
        <f>MONTH(Ventas!G875)</f>
        <v>4</v>
      </c>
      <c r="H875" s="9" t="str">
        <f>VLOOKUP(Ventas!C875,Países!$A$2:$B$186,2,FALSE)</f>
        <v>Europe</v>
      </c>
      <c r="I875" s="9" t="str">
        <f>Ventas!E875</f>
        <v>Retail</v>
      </c>
    </row>
    <row r="876" spans="2:9" x14ac:dyDescent="0.25">
      <c r="B876" s="12">
        <f>Ventas!F876</f>
        <v>174</v>
      </c>
      <c r="C876" s="10">
        <f>VLOOKUP(Ventas!$D876,Productos!$A$1:$D$16,4,FALSE)*Ventas!F876</f>
        <v>1216.26</v>
      </c>
      <c r="D876" s="10">
        <f>VLOOKUP(Ventas!$D876,Productos!$A$1:$D$16,3,FALSE)*Ventas!F876</f>
        <v>609</v>
      </c>
      <c r="E876" s="10">
        <f t="shared" si="13"/>
        <v>607.26</v>
      </c>
      <c r="F876" s="9">
        <f>YEAR(Ventas!G876)</f>
        <v>2015</v>
      </c>
      <c r="G876" s="9">
        <f>MONTH(Ventas!G876)</f>
        <v>1</v>
      </c>
      <c r="H876" s="9" t="str">
        <f>VLOOKUP(Ventas!C876,Países!$A$2:$B$186,2,FALSE)</f>
        <v>Australia and Oceania</v>
      </c>
      <c r="I876" s="9" t="str">
        <f>Ventas!E876</f>
        <v>Online</v>
      </c>
    </row>
    <row r="877" spans="2:9" x14ac:dyDescent="0.25">
      <c r="B877" s="12">
        <f>Ventas!F877</f>
        <v>68</v>
      </c>
      <c r="C877" s="10">
        <f>VLOOKUP(Ventas!$D877,Productos!$A$1:$D$16,4,FALSE)*Ventas!F877</f>
        <v>306</v>
      </c>
      <c r="D877" s="10">
        <f>VLOOKUP(Ventas!$D877,Productos!$A$1:$D$16,3,FALSE)*Ventas!F877</f>
        <v>170</v>
      </c>
      <c r="E877" s="10">
        <f t="shared" si="13"/>
        <v>136</v>
      </c>
      <c r="F877" s="9">
        <f>YEAR(Ventas!G877)</f>
        <v>2015</v>
      </c>
      <c r="G877" s="9">
        <f>MONTH(Ventas!G877)</f>
        <v>7</v>
      </c>
      <c r="H877" s="9" t="str">
        <f>VLOOKUP(Ventas!C877,Países!$A$2:$B$186,2,FALSE)</f>
        <v>Central America and the Caribbean</v>
      </c>
      <c r="I877" s="9" t="str">
        <f>Ventas!E877</f>
        <v>Retail</v>
      </c>
    </row>
    <row r="878" spans="2:9" x14ac:dyDescent="0.25">
      <c r="B878" s="12">
        <f>Ventas!F878</f>
        <v>108</v>
      </c>
      <c r="C878" s="10">
        <f>VLOOKUP(Ventas!$D878,Productos!$A$1:$D$16,4,FALSE)*Ventas!F878</f>
        <v>1566</v>
      </c>
      <c r="D878" s="10">
        <f>VLOOKUP(Ventas!$D878,Productos!$A$1:$D$16,3,FALSE)*Ventas!F878</f>
        <v>864</v>
      </c>
      <c r="E878" s="10">
        <f t="shared" si="13"/>
        <v>702</v>
      </c>
      <c r="F878" s="9">
        <f>YEAR(Ventas!G878)</f>
        <v>2015</v>
      </c>
      <c r="G878" s="9">
        <f>MONTH(Ventas!G878)</f>
        <v>4</v>
      </c>
      <c r="H878" s="9" t="str">
        <f>VLOOKUP(Ventas!C878,Países!$A$2:$B$186,2,FALSE)</f>
        <v>Central America and the Caribbean</v>
      </c>
      <c r="I878" s="9" t="str">
        <f>Ventas!E878</f>
        <v>Online</v>
      </c>
    </row>
    <row r="879" spans="2:9" x14ac:dyDescent="0.25">
      <c r="B879" s="12">
        <f>Ventas!F879</f>
        <v>10</v>
      </c>
      <c r="C879" s="10">
        <f>VLOOKUP(Ventas!$D879,Productos!$A$1:$D$16,4,FALSE)*Ventas!F879</f>
        <v>39.900000000000006</v>
      </c>
      <c r="D879" s="10">
        <f>VLOOKUP(Ventas!$D879,Productos!$A$1:$D$16,3,FALSE)*Ventas!F879</f>
        <v>20</v>
      </c>
      <c r="E879" s="10">
        <f t="shared" si="13"/>
        <v>19.900000000000006</v>
      </c>
      <c r="F879" s="9">
        <f>YEAR(Ventas!G879)</f>
        <v>2015</v>
      </c>
      <c r="G879" s="9">
        <f>MONTH(Ventas!G879)</f>
        <v>8</v>
      </c>
      <c r="H879" s="9" t="str">
        <f>VLOOKUP(Ventas!C879,Países!$A$2:$B$186,2,FALSE)</f>
        <v>Europe</v>
      </c>
      <c r="I879" s="9" t="str">
        <f>Ventas!E879</f>
        <v>Retail</v>
      </c>
    </row>
    <row r="880" spans="2:9" x14ac:dyDescent="0.25">
      <c r="B880" s="12">
        <f>Ventas!F880</f>
        <v>58</v>
      </c>
      <c r="C880" s="10">
        <f>VLOOKUP(Ventas!$D880,Productos!$A$1:$D$16,4,FALSE)*Ventas!F880</f>
        <v>231.42000000000002</v>
      </c>
      <c r="D880" s="10">
        <f>VLOOKUP(Ventas!$D880,Productos!$A$1:$D$16,3,FALSE)*Ventas!F880</f>
        <v>116</v>
      </c>
      <c r="E880" s="10">
        <f t="shared" si="13"/>
        <v>115.42000000000002</v>
      </c>
      <c r="F880" s="9">
        <f>YEAR(Ventas!G880)</f>
        <v>2015</v>
      </c>
      <c r="G880" s="9">
        <f>MONTH(Ventas!G880)</f>
        <v>4</v>
      </c>
      <c r="H880" s="9" t="str">
        <f>VLOOKUP(Ventas!C880,Países!$A$2:$B$186,2,FALSE)</f>
        <v>North America</v>
      </c>
      <c r="I880" s="9" t="str">
        <f>Ventas!E880</f>
        <v>Retail</v>
      </c>
    </row>
    <row r="881" spans="2:9" x14ac:dyDescent="0.25">
      <c r="B881" s="12">
        <f>Ventas!F881</f>
        <v>203</v>
      </c>
      <c r="C881" s="10">
        <f>VLOOKUP(Ventas!$D881,Productos!$A$1:$D$16,4,FALSE)*Ventas!F881</f>
        <v>809.97</v>
      </c>
      <c r="D881" s="10">
        <f>VLOOKUP(Ventas!$D881,Productos!$A$1:$D$16,3,FALSE)*Ventas!F881</f>
        <v>406</v>
      </c>
      <c r="E881" s="10">
        <f t="shared" si="13"/>
        <v>403.97</v>
      </c>
      <c r="F881" s="9">
        <f>YEAR(Ventas!G881)</f>
        <v>2015</v>
      </c>
      <c r="G881" s="9">
        <f>MONTH(Ventas!G881)</f>
        <v>2</v>
      </c>
      <c r="H881" s="9" t="str">
        <f>VLOOKUP(Ventas!C881,Países!$A$2:$B$186,2,FALSE)</f>
        <v>Asia</v>
      </c>
      <c r="I881" s="9" t="str">
        <f>Ventas!E881</f>
        <v>Online</v>
      </c>
    </row>
    <row r="882" spans="2:9" x14ac:dyDescent="0.25">
      <c r="B882" s="12">
        <f>Ventas!F882</f>
        <v>201</v>
      </c>
      <c r="C882" s="10">
        <f>VLOOKUP(Ventas!$D882,Productos!$A$1:$D$16,4,FALSE)*Ventas!F882</f>
        <v>603</v>
      </c>
      <c r="D882" s="10">
        <f>VLOOKUP(Ventas!$D882,Productos!$A$1:$D$16,3,FALSE)*Ventas!F882</f>
        <v>301.5</v>
      </c>
      <c r="E882" s="10">
        <f t="shared" si="13"/>
        <v>301.5</v>
      </c>
      <c r="F882" s="9">
        <f>YEAR(Ventas!G882)</f>
        <v>2015</v>
      </c>
      <c r="G882" s="9">
        <f>MONTH(Ventas!G882)</f>
        <v>5</v>
      </c>
      <c r="H882" s="9" t="str">
        <f>VLOOKUP(Ventas!C882,Países!$A$2:$B$186,2,FALSE)</f>
        <v>Middle East and North Africa</v>
      </c>
      <c r="I882" s="9" t="str">
        <f>Ventas!E882</f>
        <v>Online</v>
      </c>
    </row>
    <row r="883" spans="2:9" x14ac:dyDescent="0.25">
      <c r="B883" s="12">
        <f>Ventas!F883</f>
        <v>13</v>
      </c>
      <c r="C883" s="10">
        <f>VLOOKUP(Ventas!$D883,Productos!$A$1:$D$16,4,FALSE)*Ventas!F883</f>
        <v>90.87</v>
      </c>
      <c r="D883" s="10">
        <f>VLOOKUP(Ventas!$D883,Productos!$A$1:$D$16,3,FALSE)*Ventas!F883</f>
        <v>45.5</v>
      </c>
      <c r="E883" s="10">
        <f t="shared" si="13"/>
        <v>45.370000000000005</v>
      </c>
      <c r="F883" s="9">
        <f>YEAR(Ventas!G883)</f>
        <v>2015</v>
      </c>
      <c r="G883" s="9">
        <f>MONTH(Ventas!G883)</f>
        <v>5</v>
      </c>
      <c r="H883" s="9" t="str">
        <f>VLOOKUP(Ventas!C883,Países!$A$2:$B$186,2,FALSE)</f>
        <v>Central America and the Caribbean</v>
      </c>
      <c r="I883" s="9" t="str">
        <f>Ventas!E883</f>
        <v>Online</v>
      </c>
    </row>
    <row r="884" spans="2:9" x14ac:dyDescent="0.25">
      <c r="B884" s="12">
        <f>Ventas!F884</f>
        <v>168</v>
      </c>
      <c r="C884" s="10">
        <f>VLOOKUP(Ventas!$D884,Productos!$A$1:$D$16,4,FALSE)*Ventas!F884</f>
        <v>756</v>
      </c>
      <c r="D884" s="10">
        <f>VLOOKUP(Ventas!$D884,Productos!$A$1:$D$16,3,FALSE)*Ventas!F884</f>
        <v>420</v>
      </c>
      <c r="E884" s="10">
        <f t="shared" si="13"/>
        <v>336</v>
      </c>
      <c r="F884" s="9">
        <f>YEAR(Ventas!G884)</f>
        <v>2015</v>
      </c>
      <c r="G884" s="9">
        <f>MONTH(Ventas!G884)</f>
        <v>5</v>
      </c>
      <c r="H884" s="9" t="str">
        <f>VLOOKUP(Ventas!C884,Países!$A$2:$B$186,2,FALSE)</f>
        <v>Sub-Saharan Africa</v>
      </c>
      <c r="I884" s="9" t="str">
        <f>Ventas!E884</f>
        <v>Retail</v>
      </c>
    </row>
    <row r="885" spans="2:9" x14ac:dyDescent="0.25">
      <c r="B885" s="12">
        <f>Ventas!F885</f>
        <v>89</v>
      </c>
      <c r="C885" s="10">
        <f>VLOOKUP(Ventas!$D885,Productos!$A$1:$D$16,4,FALSE)*Ventas!F885</f>
        <v>801</v>
      </c>
      <c r="D885" s="10">
        <f>VLOOKUP(Ventas!$D885,Productos!$A$1:$D$16,3,FALSE)*Ventas!F885</f>
        <v>534</v>
      </c>
      <c r="E885" s="10">
        <f t="shared" si="13"/>
        <v>267</v>
      </c>
      <c r="F885" s="9">
        <f>YEAR(Ventas!G885)</f>
        <v>2015</v>
      </c>
      <c r="G885" s="9">
        <f>MONTH(Ventas!G885)</f>
        <v>5</v>
      </c>
      <c r="H885" s="9" t="str">
        <f>VLOOKUP(Ventas!C885,Países!$A$2:$B$186,2,FALSE)</f>
        <v>Sub-Saharan Africa</v>
      </c>
      <c r="I885" s="9" t="str">
        <f>Ventas!E885</f>
        <v>Retail</v>
      </c>
    </row>
    <row r="886" spans="2:9" x14ac:dyDescent="0.25">
      <c r="B886" s="12">
        <f>Ventas!F886</f>
        <v>64</v>
      </c>
      <c r="C886" s="10">
        <f>VLOOKUP(Ventas!$D886,Productos!$A$1:$D$16,4,FALSE)*Ventas!F886</f>
        <v>416</v>
      </c>
      <c r="D886" s="10">
        <f>VLOOKUP(Ventas!$D886,Productos!$A$1:$D$16,3,FALSE)*Ventas!F886</f>
        <v>224</v>
      </c>
      <c r="E886" s="10">
        <f t="shared" si="13"/>
        <v>192</v>
      </c>
      <c r="F886" s="9">
        <f>YEAR(Ventas!G886)</f>
        <v>2015</v>
      </c>
      <c r="G886" s="9">
        <f>MONTH(Ventas!G886)</f>
        <v>6</v>
      </c>
      <c r="H886" s="9" t="str">
        <f>VLOOKUP(Ventas!C886,Países!$A$2:$B$186,2,FALSE)</f>
        <v>Sub-Saharan Africa</v>
      </c>
      <c r="I886" s="9" t="str">
        <f>Ventas!E886</f>
        <v>Retail</v>
      </c>
    </row>
    <row r="887" spans="2:9" x14ac:dyDescent="0.25">
      <c r="B887" s="12">
        <f>Ventas!F887</f>
        <v>12</v>
      </c>
      <c r="C887" s="10">
        <f>VLOOKUP(Ventas!$D887,Productos!$A$1:$D$16,4,FALSE)*Ventas!F887</f>
        <v>24</v>
      </c>
      <c r="D887" s="10">
        <f>VLOOKUP(Ventas!$D887,Productos!$A$1:$D$16,3,FALSE)*Ventas!F887</f>
        <v>12</v>
      </c>
      <c r="E887" s="10">
        <f t="shared" si="13"/>
        <v>12</v>
      </c>
      <c r="F887" s="9">
        <f>YEAR(Ventas!G887)</f>
        <v>2015</v>
      </c>
      <c r="G887" s="9">
        <f>MONTH(Ventas!G887)</f>
        <v>7</v>
      </c>
      <c r="H887" s="9" t="str">
        <f>VLOOKUP(Ventas!C887,Países!$A$2:$B$186,2,FALSE)</f>
        <v>Europe</v>
      </c>
      <c r="I887" s="9" t="str">
        <f>Ventas!E887</f>
        <v>Direct</v>
      </c>
    </row>
    <row r="888" spans="2:9" x14ac:dyDescent="0.25">
      <c r="B888" s="12">
        <f>Ventas!F888</f>
        <v>58</v>
      </c>
      <c r="C888" s="10">
        <f>VLOOKUP(Ventas!$D888,Productos!$A$1:$D$16,4,FALSE)*Ventas!F888</f>
        <v>231.42000000000002</v>
      </c>
      <c r="D888" s="10">
        <f>VLOOKUP(Ventas!$D888,Productos!$A$1:$D$16,3,FALSE)*Ventas!F888</f>
        <v>116</v>
      </c>
      <c r="E888" s="10">
        <f t="shared" si="13"/>
        <v>115.42000000000002</v>
      </c>
      <c r="F888" s="9">
        <f>YEAR(Ventas!G888)</f>
        <v>2015</v>
      </c>
      <c r="G888" s="9">
        <f>MONTH(Ventas!G888)</f>
        <v>3</v>
      </c>
      <c r="H888" s="9" t="str">
        <f>VLOOKUP(Ventas!C888,Países!$A$2:$B$186,2,FALSE)</f>
        <v>Asia</v>
      </c>
      <c r="I888" s="9" t="str">
        <f>Ventas!E888</f>
        <v>Retail</v>
      </c>
    </row>
    <row r="889" spans="2:9" x14ac:dyDescent="0.25">
      <c r="B889" s="12">
        <f>Ventas!F889</f>
        <v>142</v>
      </c>
      <c r="C889" s="10">
        <f>VLOOKUP(Ventas!$D889,Productos!$A$1:$D$16,4,FALSE)*Ventas!F889</f>
        <v>426</v>
      </c>
      <c r="D889" s="10">
        <f>VLOOKUP(Ventas!$D889,Productos!$A$1:$D$16,3,FALSE)*Ventas!F889</f>
        <v>213</v>
      </c>
      <c r="E889" s="10">
        <f t="shared" si="13"/>
        <v>213</v>
      </c>
      <c r="F889" s="9">
        <f>YEAR(Ventas!G889)</f>
        <v>2015</v>
      </c>
      <c r="G889" s="9">
        <f>MONTH(Ventas!G889)</f>
        <v>3</v>
      </c>
      <c r="H889" s="9" t="str">
        <f>VLOOKUP(Ventas!C889,Países!$A$2:$B$186,2,FALSE)</f>
        <v>Europe</v>
      </c>
      <c r="I889" s="9" t="str">
        <f>Ventas!E889</f>
        <v>Online</v>
      </c>
    </row>
    <row r="890" spans="2:9" x14ac:dyDescent="0.25">
      <c r="B890" s="12">
        <f>Ventas!F890</f>
        <v>46</v>
      </c>
      <c r="C890" s="10">
        <f>VLOOKUP(Ventas!$D890,Productos!$A$1:$D$16,4,FALSE)*Ventas!F890</f>
        <v>92</v>
      </c>
      <c r="D890" s="10">
        <f>VLOOKUP(Ventas!$D890,Productos!$A$1:$D$16,3,FALSE)*Ventas!F890</f>
        <v>46</v>
      </c>
      <c r="E890" s="10">
        <f t="shared" si="13"/>
        <v>46</v>
      </c>
      <c r="F890" s="9">
        <f>YEAR(Ventas!G890)</f>
        <v>2015</v>
      </c>
      <c r="G890" s="9">
        <f>MONTH(Ventas!G890)</f>
        <v>4</v>
      </c>
      <c r="H890" s="9" t="str">
        <f>VLOOKUP(Ventas!C890,Países!$A$2:$B$186,2,FALSE)</f>
        <v>Sub-Saharan Africa</v>
      </c>
      <c r="I890" s="9" t="str">
        <f>Ventas!E890</f>
        <v>Retail</v>
      </c>
    </row>
    <row r="891" spans="2:9" x14ac:dyDescent="0.25">
      <c r="B891" s="12">
        <f>Ventas!F891</f>
        <v>210</v>
      </c>
      <c r="C891" s="10">
        <f>VLOOKUP(Ventas!$D891,Productos!$A$1:$D$16,4,FALSE)*Ventas!F891</f>
        <v>1260</v>
      </c>
      <c r="D891" s="10">
        <f>VLOOKUP(Ventas!$D891,Productos!$A$1:$D$16,3,FALSE)*Ventas!F891</f>
        <v>630</v>
      </c>
      <c r="E891" s="10">
        <f t="shared" si="13"/>
        <v>630</v>
      </c>
      <c r="F891" s="9">
        <f>YEAR(Ventas!G891)</f>
        <v>2015</v>
      </c>
      <c r="G891" s="9">
        <f>MONTH(Ventas!G891)</f>
        <v>7</v>
      </c>
      <c r="H891" s="9" t="str">
        <f>VLOOKUP(Ventas!C891,Países!$A$2:$B$186,2,FALSE)</f>
        <v>Europe</v>
      </c>
      <c r="I891" s="9" t="str">
        <f>Ventas!E891</f>
        <v>Online</v>
      </c>
    </row>
    <row r="892" spans="2:9" x14ac:dyDescent="0.25">
      <c r="B892" s="12">
        <f>Ventas!F892</f>
        <v>130</v>
      </c>
      <c r="C892" s="10">
        <f>VLOOKUP(Ventas!$D892,Productos!$A$1:$D$16,4,FALSE)*Ventas!F892</f>
        <v>260</v>
      </c>
      <c r="D892" s="10">
        <f>VLOOKUP(Ventas!$D892,Productos!$A$1:$D$16,3,FALSE)*Ventas!F892</f>
        <v>130</v>
      </c>
      <c r="E892" s="10">
        <f t="shared" si="13"/>
        <v>130</v>
      </c>
      <c r="F892" s="9">
        <f>YEAR(Ventas!G892)</f>
        <v>2015</v>
      </c>
      <c r="G892" s="9">
        <f>MONTH(Ventas!G892)</f>
        <v>1</v>
      </c>
      <c r="H892" s="9" t="str">
        <f>VLOOKUP(Ventas!C892,Países!$A$2:$B$186,2,FALSE)</f>
        <v>Middle East and North Africa</v>
      </c>
      <c r="I892" s="9" t="str">
        <f>Ventas!E892</f>
        <v>Online</v>
      </c>
    </row>
    <row r="893" spans="2:9" x14ac:dyDescent="0.25">
      <c r="B893" s="12">
        <f>Ventas!F893</f>
        <v>173</v>
      </c>
      <c r="C893" s="10">
        <f>VLOOKUP(Ventas!$D893,Productos!$A$1:$D$16,4,FALSE)*Ventas!F893</f>
        <v>1557</v>
      </c>
      <c r="D893" s="10">
        <f>VLOOKUP(Ventas!$D893,Productos!$A$1:$D$16,3,FALSE)*Ventas!F893</f>
        <v>1038</v>
      </c>
      <c r="E893" s="10">
        <f t="shared" si="13"/>
        <v>519</v>
      </c>
      <c r="F893" s="9">
        <f>YEAR(Ventas!G893)</f>
        <v>2015</v>
      </c>
      <c r="G893" s="9">
        <f>MONTH(Ventas!G893)</f>
        <v>1</v>
      </c>
      <c r="H893" s="9" t="str">
        <f>VLOOKUP(Ventas!C893,Países!$A$2:$B$186,2,FALSE)</f>
        <v>Sub-Saharan Africa</v>
      </c>
      <c r="I893" s="9" t="str">
        <f>Ventas!E893</f>
        <v>Direct</v>
      </c>
    </row>
    <row r="894" spans="2:9" x14ac:dyDescent="0.25">
      <c r="B894" s="12">
        <f>Ventas!F894</f>
        <v>54</v>
      </c>
      <c r="C894" s="10">
        <f>VLOOKUP(Ventas!$D894,Productos!$A$1:$D$16,4,FALSE)*Ventas!F894</f>
        <v>243</v>
      </c>
      <c r="D894" s="10">
        <f>VLOOKUP(Ventas!$D894,Productos!$A$1:$D$16,3,FALSE)*Ventas!F894</f>
        <v>135</v>
      </c>
      <c r="E894" s="10">
        <f t="shared" si="13"/>
        <v>108</v>
      </c>
      <c r="F894" s="9">
        <f>YEAR(Ventas!G894)</f>
        <v>2015</v>
      </c>
      <c r="G894" s="9">
        <f>MONTH(Ventas!G894)</f>
        <v>8</v>
      </c>
      <c r="H894" s="9" t="str">
        <f>VLOOKUP(Ventas!C894,Países!$A$2:$B$186,2,FALSE)</f>
        <v>Australia and Oceania</v>
      </c>
      <c r="I894" s="9" t="str">
        <f>Ventas!E894</f>
        <v>Online</v>
      </c>
    </row>
    <row r="895" spans="2:9" x14ac:dyDescent="0.25">
      <c r="B895" s="12">
        <f>Ventas!F895</f>
        <v>44</v>
      </c>
      <c r="C895" s="10">
        <f>VLOOKUP(Ventas!$D895,Productos!$A$1:$D$16,4,FALSE)*Ventas!F895</f>
        <v>198</v>
      </c>
      <c r="D895" s="10">
        <f>VLOOKUP(Ventas!$D895,Productos!$A$1:$D$16,3,FALSE)*Ventas!F895</f>
        <v>110</v>
      </c>
      <c r="E895" s="10">
        <f t="shared" si="13"/>
        <v>88</v>
      </c>
      <c r="F895" s="9">
        <f>YEAR(Ventas!G895)</f>
        <v>2015</v>
      </c>
      <c r="G895" s="9">
        <f>MONTH(Ventas!G895)</f>
        <v>1</v>
      </c>
      <c r="H895" s="9" t="str">
        <f>VLOOKUP(Ventas!C895,Países!$A$2:$B$186,2,FALSE)</f>
        <v>Australia and Oceania</v>
      </c>
      <c r="I895" s="9" t="str">
        <f>Ventas!E895</f>
        <v>Online</v>
      </c>
    </row>
    <row r="896" spans="2:9" x14ac:dyDescent="0.25">
      <c r="B896" s="12">
        <f>Ventas!F896</f>
        <v>71</v>
      </c>
      <c r="C896" s="10">
        <f>VLOOKUP(Ventas!$D896,Productos!$A$1:$D$16,4,FALSE)*Ventas!F896</f>
        <v>461.5</v>
      </c>
      <c r="D896" s="10">
        <f>VLOOKUP(Ventas!$D896,Productos!$A$1:$D$16,3,FALSE)*Ventas!F896</f>
        <v>248.5</v>
      </c>
      <c r="E896" s="10">
        <f t="shared" si="13"/>
        <v>213</v>
      </c>
      <c r="F896" s="9">
        <f>YEAR(Ventas!G896)</f>
        <v>2015</v>
      </c>
      <c r="G896" s="9">
        <f>MONTH(Ventas!G896)</f>
        <v>3</v>
      </c>
      <c r="H896" s="9" t="str">
        <f>VLOOKUP(Ventas!C896,Países!$A$2:$B$186,2,FALSE)</f>
        <v>Sub-Saharan Africa</v>
      </c>
      <c r="I896" s="9" t="str">
        <f>Ventas!E896</f>
        <v>Direct</v>
      </c>
    </row>
    <row r="897" spans="2:9" x14ac:dyDescent="0.25">
      <c r="B897" s="12">
        <f>Ventas!F897</f>
        <v>132</v>
      </c>
      <c r="C897" s="10">
        <f>VLOOKUP(Ventas!$D897,Productos!$A$1:$D$16,4,FALSE)*Ventas!F897</f>
        <v>526.68000000000006</v>
      </c>
      <c r="D897" s="10">
        <f>VLOOKUP(Ventas!$D897,Productos!$A$1:$D$16,3,FALSE)*Ventas!F897</f>
        <v>264</v>
      </c>
      <c r="E897" s="10">
        <f t="shared" si="13"/>
        <v>262.68000000000006</v>
      </c>
      <c r="F897" s="9">
        <f>YEAR(Ventas!G897)</f>
        <v>2015</v>
      </c>
      <c r="G897" s="9">
        <f>MONTH(Ventas!G897)</f>
        <v>5</v>
      </c>
      <c r="H897" s="9" t="str">
        <f>VLOOKUP(Ventas!C897,Países!$A$2:$B$186,2,FALSE)</f>
        <v>Europe</v>
      </c>
      <c r="I897" s="9" t="str">
        <f>Ventas!E897</f>
        <v>Online</v>
      </c>
    </row>
    <row r="898" spans="2:9" x14ac:dyDescent="0.25">
      <c r="B898" s="12">
        <f>Ventas!F898</f>
        <v>38</v>
      </c>
      <c r="C898" s="10">
        <f>VLOOKUP(Ventas!$D898,Productos!$A$1:$D$16,4,FALSE)*Ventas!F898</f>
        <v>247</v>
      </c>
      <c r="D898" s="10">
        <f>VLOOKUP(Ventas!$D898,Productos!$A$1:$D$16,3,FALSE)*Ventas!F898</f>
        <v>133</v>
      </c>
      <c r="E898" s="10">
        <f t="shared" si="13"/>
        <v>114</v>
      </c>
      <c r="F898" s="9">
        <f>YEAR(Ventas!G898)</f>
        <v>2015</v>
      </c>
      <c r="G898" s="9">
        <f>MONTH(Ventas!G898)</f>
        <v>7</v>
      </c>
      <c r="H898" s="9" t="str">
        <f>VLOOKUP(Ventas!C898,Países!$A$2:$B$186,2,FALSE)</f>
        <v>Asia</v>
      </c>
      <c r="I898" s="9" t="str">
        <f>Ventas!E898</f>
        <v>Retail</v>
      </c>
    </row>
    <row r="899" spans="2:9" x14ac:dyDescent="0.25">
      <c r="B899" s="12">
        <f>Ventas!F899</f>
        <v>40</v>
      </c>
      <c r="C899" s="10">
        <f>VLOOKUP(Ventas!$D899,Productos!$A$1:$D$16,4,FALSE)*Ventas!F899</f>
        <v>180</v>
      </c>
      <c r="D899" s="10">
        <f>VLOOKUP(Ventas!$D899,Productos!$A$1:$D$16,3,FALSE)*Ventas!F899</f>
        <v>100</v>
      </c>
      <c r="E899" s="10">
        <f t="shared" ref="E899:E962" si="14">C899-D899</f>
        <v>80</v>
      </c>
      <c r="F899" s="9">
        <f>YEAR(Ventas!G899)</f>
        <v>2015</v>
      </c>
      <c r="G899" s="9">
        <f>MONTH(Ventas!G899)</f>
        <v>3</v>
      </c>
      <c r="H899" s="9" t="str">
        <f>VLOOKUP(Ventas!C899,Países!$A$2:$B$186,2,FALSE)</f>
        <v>Middle East and North Africa</v>
      </c>
      <c r="I899" s="9" t="str">
        <f>Ventas!E899</f>
        <v>Retail</v>
      </c>
    </row>
    <row r="900" spans="2:9" x14ac:dyDescent="0.25">
      <c r="B900" s="12">
        <f>Ventas!F900</f>
        <v>58</v>
      </c>
      <c r="C900" s="10">
        <f>VLOOKUP(Ventas!$D900,Productos!$A$1:$D$16,4,FALSE)*Ventas!F900</f>
        <v>522</v>
      </c>
      <c r="D900" s="10">
        <f>VLOOKUP(Ventas!$D900,Productos!$A$1:$D$16,3,FALSE)*Ventas!F900</f>
        <v>348</v>
      </c>
      <c r="E900" s="10">
        <f t="shared" si="14"/>
        <v>174</v>
      </c>
      <c r="F900" s="9">
        <f>YEAR(Ventas!G900)</f>
        <v>2015</v>
      </c>
      <c r="G900" s="9">
        <f>MONTH(Ventas!G900)</f>
        <v>8</v>
      </c>
      <c r="H900" s="9" t="str">
        <f>VLOOKUP(Ventas!C900,Países!$A$2:$B$186,2,FALSE)</f>
        <v>Middle East and North Africa</v>
      </c>
      <c r="I900" s="9" t="str">
        <f>Ventas!E900</f>
        <v>Online</v>
      </c>
    </row>
    <row r="901" spans="2:9" x14ac:dyDescent="0.25">
      <c r="B901" s="12">
        <f>Ventas!F901</f>
        <v>185</v>
      </c>
      <c r="C901" s="10">
        <f>VLOOKUP(Ventas!$D901,Productos!$A$1:$D$16,4,FALSE)*Ventas!F901</f>
        <v>1293.1500000000001</v>
      </c>
      <c r="D901" s="10">
        <f>VLOOKUP(Ventas!$D901,Productos!$A$1:$D$16,3,FALSE)*Ventas!F901</f>
        <v>647.5</v>
      </c>
      <c r="E901" s="10">
        <f t="shared" si="14"/>
        <v>645.65000000000009</v>
      </c>
      <c r="F901" s="9">
        <f>YEAR(Ventas!G901)</f>
        <v>2015</v>
      </c>
      <c r="G901" s="9">
        <f>MONTH(Ventas!G901)</f>
        <v>5</v>
      </c>
      <c r="H901" s="9" t="str">
        <f>VLOOKUP(Ventas!C901,Países!$A$2:$B$186,2,FALSE)</f>
        <v>Sub-Saharan Africa</v>
      </c>
      <c r="I901" s="9" t="str">
        <f>Ventas!E901</f>
        <v>Retail</v>
      </c>
    </row>
    <row r="902" spans="2:9" x14ac:dyDescent="0.25">
      <c r="B902" s="12">
        <f>Ventas!F902</f>
        <v>61</v>
      </c>
      <c r="C902" s="10">
        <f>VLOOKUP(Ventas!$D902,Productos!$A$1:$D$16,4,FALSE)*Ventas!F902</f>
        <v>243.39000000000001</v>
      </c>
      <c r="D902" s="10">
        <f>VLOOKUP(Ventas!$D902,Productos!$A$1:$D$16,3,FALSE)*Ventas!F902</f>
        <v>122</v>
      </c>
      <c r="E902" s="10">
        <f t="shared" si="14"/>
        <v>121.39000000000001</v>
      </c>
      <c r="F902" s="9">
        <f>YEAR(Ventas!G902)</f>
        <v>2015</v>
      </c>
      <c r="G902" s="9">
        <f>MONTH(Ventas!G902)</f>
        <v>6</v>
      </c>
      <c r="H902" s="9" t="str">
        <f>VLOOKUP(Ventas!C902,Países!$A$2:$B$186,2,FALSE)</f>
        <v>Australia and Oceania</v>
      </c>
      <c r="I902" s="9" t="str">
        <f>Ventas!E902</f>
        <v>Online</v>
      </c>
    </row>
    <row r="903" spans="2:9" x14ac:dyDescent="0.25">
      <c r="B903" s="12">
        <f>Ventas!F903</f>
        <v>84</v>
      </c>
      <c r="C903" s="10">
        <f>VLOOKUP(Ventas!$D903,Productos!$A$1:$D$16,4,FALSE)*Ventas!F903</f>
        <v>168</v>
      </c>
      <c r="D903" s="10">
        <f>VLOOKUP(Ventas!$D903,Productos!$A$1:$D$16,3,FALSE)*Ventas!F903</f>
        <v>84</v>
      </c>
      <c r="E903" s="10">
        <f t="shared" si="14"/>
        <v>84</v>
      </c>
      <c r="F903" s="9">
        <f>YEAR(Ventas!G903)</f>
        <v>2015</v>
      </c>
      <c r="G903" s="9">
        <f>MONTH(Ventas!G903)</f>
        <v>6</v>
      </c>
      <c r="H903" s="9" t="str">
        <f>VLOOKUP(Ventas!C903,Países!$A$2:$B$186,2,FALSE)</f>
        <v>Europe</v>
      </c>
      <c r="I903" s="9" t="str">
        <f>Ventas!E903</f>
        <v>Retail</v>
      </c>
    </row>
    <row r="904" spans="2:9" x14ac:dyDescent="0.25">
      <c r="B904" s="12">
        <f>Ventas!F904</f>
        <v>119</v>
      </c>
      <c r="C904" s="10">
        <f>VLOOKUP(Ventas!$D904,Productos!$A$1:$D$16,4,FALSE)*Ventas!F904</f>
        <v>474.81</v>
      </c>
      <c r="D904" s="10">
        <f>VLOOKUP(Ventas!$D904,Productos!$A$1:$D$16,3,FALSE)*Ventas!F904</f>
        <v>238</v>
      </c>
      <c r="E904" s="10">
        <f t="shared" si="14"/>
        <v>236.81</v>
      </c>
      <c r="F904" s="9">
        <f>YEAR(Ventas!G904)</f>
        <v>2015</v>
      </c>
      <c r="G904" s="9">
        <f>MONTH(Ventas!G904)</f>
        <v>1</v>
      </c>
      <c r="H904" s="9" t="str">
        <f>VLOOKUP(Ventas!C904,Países!$A$2:$B$186,2,FALSE)</f>
        <v>Middle East and North Africa</v>
      </c>
      <c r="I904" s="9" t="str">
        <f>Ventas!E904</f>
        <v>Online</v>
      </c>
    </row>
    <row r="905" spans="2:9" x14ac:dyDescent="0.25">
      <c r="B905" s="12">
        <f>Ventas!F905</f>
        <v>54</v>
      </c>
      <c r="C905" s="10">
        <f>VLOOKUP(Ventas!$D905,Productos!$A$1:$D$16,4,FALSE)*Ventas!F905</f>
        <v>783</v>
      </c>
      <c r="D905" s="10">
        <f>VLOOKUP(Ventas!$D905,Productos!$A$1:$D$16,3,FALSE)*Ventas!F905</f>
        <v>432</v>
      </c>
      <c r="E905" s="10">
        <f t="shared" si="14"/>
        <v>351</v>
      </c>
      <c r="F905" s="9">
        <f>YEAR(Ventas!G905)</f>
        <v>2015</v>
      </c>
      <c r="G905" s="9">
        <f>MONTH(Ventas!G905)</f>
        <v>3</v>
      </c>
      <c r="H905" s="9" t="str">
        <f>VLOOKUP(Ventas!C905,Países!$A$2:$B$186,2,FALSE)</f>
        <v>Sub-Saharan Africa</v>
      </c>
      <c r="I905" s="9" t="str">
        <f>Ventas!E905</f>
        <v>Retail</v>
      </c>
    </row>
    <row r="906" spans="2:9" x14ac:dyDescent="0.25">
      <c r="B906" s="12">
        <f>Ventas!F906</f>
        <v>191</v>
      </c>
      <c r="C906" s="10">
        <f>VLOOKUP(Ventas!$D906,Productos!$A$1:$D$16,4,FALSE)*Ventas!F906</f>
        <v>573</v>
      </c>
      <c r="D906" s="10">
        <f>VLOOKUP(Ventas!$D906,Productos!$A$1:$D$16,3,FALSE)*Ventas!F906</f>
        <v>286.5</v>
      </c>
      <c r="E906" s="10">
        <f t="shared" si="14"/>
        <v>286.5</v>
      </c>
      <c r="F906" s="9">
        <f>YEAR(Ventas!G906)</f>
        <v>2015</v>
      </c>
      <c r="G906" s="9">
        <f>MONTH(Ventas!G906)</f>
        <v>1</v>
      </c>
      <c r="H906" s="9" t="str">
        <f>VLOOKUP(Ventas!C906,Países!$A$2:$B$186,2,FALSE)</f>
        <v>Sub-Saharan Africa</v>
      </c>
      <c r="I906" s="9" t="str">
        <f>Ventas!E906</f>
        <v>Online</v>
      </c>
    </row>
    <row r="907" spans="2:9" x14ac:dyDescent="0.25">
      <c r="B907" s="12">
        <f>Ventas!F907</f>
        <v>181</v>
      </c>
      <c r="C907" s="10">
        <f>VLOOKUP(Ventas!$D907,Productos!$A$1:$D$16,4,FALSE)*Ventas!F907</f>
        <v>1176.5</v>
      </c>
      <c r="D907" s="10">
        <f>VLOOKUP(Ventas!$D907,Productos!$A$1:$D$16,3,FALSE)*Ventas!F907</f>
        <v>633.5</v>
      </c>
      <c r="E907" s="10">
        <f t="shared" si="14"/>
        <v>543</v>
      </c>
      <c r="F907" s="9">
        <f>YEAR(Ventas!G907)</f>
        <v>2015</v>
      </c>
      <c r="G907" s="9">
        <f>MONTH(Ventas!G907)</f>
        <v>7</v>
      </c>
      <c r="H907" s="9" t="str">
        <f>VLOOKUP(Ventas!C907,Países!$A$2:$B$186,2,FALSE)</f>
        <v>Sub-Saharan Africa</v>
      </c>
      <c r="I907" s="9" t="str">
        <f>Ventas!E907</f>
        <v>Online</v>
      </c>
    </row>
    <row r="908" spans="2:9" x14ac:dyDescent="0.25">
      <c r="B908" s="12">
        <f>Ventas!F908</f>
        <v>99</v>
      </c>
      <c r="C908" s="10">
        <f>VLOOKUP(Ventas!$D908,Productos!$A$1:$D$16,4,FALSE)*Ventas!F908</f>
        <v>395.01000000000005</v>
      </c>
      <c r="D908" s="10">
        <f>VLOOKUP(Ventas!$D908,Productos!$A$1:$D$16,3,FALSE)*Ventas!F908</f>
        <v>198</v>
      </c>
      <c r="E908" s="10">
        <f t="shared" si="14"/>
        <v>197.01000000000005</v>
      </c>
      <c r="F908" s="9">
        <f>YEAR(Ventas!G908)</f>
        <v>2015</v>
      </c>
      <c r="G908" s="9">
        <f>MONTH(Ventas!G908)</f>
        <v>5</v>
      </c>
      <c r="H908" s="9" t="str">
        <f>VLOOKUP(Ventas!C908,Países!$A$2:$B$186,2,FALSE)</f>
        <v>Asia</v>
      </c>
      <c r="I908" s="9" t="str">
        <f>Ventas!E908</f>
        <v>Retail</v>
      </c>
    </row>
    <row r="909" spans="2:9" x14ac:dyDescent="0.25">
      <c r="B909" s="12">
        <f>Ventas!F909</f>
        <v>120</v>
      </c>
      <c r="C909" s="10">
        <f>VLOOKUP(Ventas!$D909,Productos!$A$1:$D$16,4,FALSE)*Ventas!F909</f>
        <v>720</v>
      </c>
      <c r="D909" s="10">
        <f>VLOOKUP(Ventas!$D909,Productos!$A$1:$D$16,3,FALSE)*Ventas!F909</f>
        <v>360</v>
      </c>
      <c r="E909" s="10">
        <f t="shared" si="14"/>
        <v>360</v>
      </c>
      <c r="F909" s="9">
        <f>YEAR(Ventas!G909)</f>
        <v>2015</v>
      </c>
      <c r="G909" s="9">
        <f>MONTH(Ventas!G909)</f>
        <v>7</v>
      </c>
      <c r="H909" s="9" t="str">
        <f>VLOOKUP(Ventas!C909,Países!$A$2:$B$186,2,FALSE)</f>
        <v>Europe</v>
      </c>
      <c r="I909" s="9" t="str">
        <f>Ventas!E909</f>
        <v>Online</v>
      </c>
    </row>
    <row r="910" spans="2:9" x14ac:dyDescent="0.25">
      <c r="B910" s="12">
        <f>Ventas!F910</f>
        <v>38</v>
      </c>
      <c r="C910" s="10">
        <f>VLOOKUP(Ventas!$D910,Productos!$A$1:$D$16,4,FALSE)*Ventas!F910</f>
        <v>228</v>
      </c>
      <c r="D910" s="10">
        <f>VLOOKUP(Ventas!$D910,Productos!$A$1:$D$16,3,FALSE)*Ventas!F910</f>
        <v>114</v>
      </c>
      <c r="E910" s="10">
        <f t="shared" si="14"/>
        <v>114</v>
      </c>
      <c r="F910" s="9">
        <f>YEAR(Ventas!G910)</f>
        <v>2015</v>
      </c>
      <c r="G910" s="9">
        <f>MONTH(Ventas!G910)</f>
        <v>7</v>
      </c>
      <c r="H910" s="9" t="str">
        <f>VLOOKUP(Ventas!C910,Países!$A$2:$B$186,2,FALSE)</f>
        <v>Middle East and North Africa</v>
      </c>
      <c r="I910" s="9" t="str">
        <f>Ventas!E910</f>
        <v>Online</v>
      </c>
    </row>
    <row r="911" spans="2:9" x14ac:dyDescent="0.25">
      <c r="B911" s="12">
        <f>Ventas!F911</f>
        <v>2</v>
      </c>
      <c r="C911" s="10">
        <f>VLOOKUP(Ventas!$D911,Productos!$A$1:$D$16,4,FALSE)*Ventas!F911</f>
        <v>19.98</v>
      </c>
      <c r="D911" s="10">
        <f>VLOOKUP(Ventas!$D911,Productos!$A$1:$D$16,3,FALSE)*Ventas!F911</f>
        <v>10</v>
      </c>
      <c r="E911" s="10">
        <f t="shared" si="14"/>
        <v>9.98</v>
      </c>
      <c r="F911" s="9">
        <f>YEAR(Ventas!G911)</f>
        <v>2015</v>
      </c>
      <c r="G911" s="9">
        <f>MONTH(Ventas!G911)</f>
        <v>8</v>
      </c>
      <c r="H911" s="9" t="str">
        <f>VLOOKUP(Ventas!C911,Países!$A$2:$B$186,2,FALSE)</f>
        <v>Australia and Oceania</v>
      </c>
      <c r="I911" s="9" t="str">
        <f>Ventas!E911</f>
        <v>Online</v>
      </c>
    </row>
    <row r="912" spans="2:9" x14ac:dyDescent="0.25">
      <c r="B912" s="12">
        <f>Ventas!F912</f>
        <v>99</v>
      </c>
      <c r="C912" s="10">
        <f>VLOOKUP(Ventas!$D912,Productos!$A$1:$D$16,4,FALSE)*Ventas!F912</f>
        <v>297</v>
      </c>
      <c r="D912" s="10">
        <f>VLOOKUP(Ventas!$D912,Productos!$A$1:$D$16,3,FALSE)*Ventas!F912</f>
        <v>148.5</v>
      </c>
      <c r="E912" s="10">
        <f t="shared" si="14"/>
        <v>148.5</v>
      </c>
      <c r="F912" s="9">
        <f>YEAR(Ventas!G912)</f>
        <v>2015</v>
      </c>
      <c r="G912" s="9">
        <f>MONTH(Ventas!G912)</f>
        <v>7</v>
      </c>
      <c r="H912" s="9" t="str">
        <f>VLOOKUP(Ventas!C912,Países!$A$2:$B$186,2,FALSE)</f>
        <v>Sub-Saharan Africa</v>
      </c>
      <c r="I912" s="9" t="str">
        <f>Ventas!E912</f>
        <v>Retail</v>
      </c>
    </row>
    <row r="913" spans="2:9" x14ac:dyDescent="0.25">
      <c r="B913" s="12">
        <f>Ventas!F913</f>
        <v>136</v>
      </c>
      <c r="C913" s="10">
        <f>VLOOKUP(Ventas!$D913,Productos!$A$1:$D$16,4,FALSE)*Ventas!F913</f>
        <v>1358.64</v>
      </c>
      <c r="D913" s="10">
        <f>VLOOKUP(Ventas!$D913,Productos!$A$1:$D$16,3,FALSE)*Ventas!F913</f>
        <v>680</v>
      </c>
      <c r="E913" s="10">
        <f t="shared" si="14"/>
        <v>678.6400000000001</v>
      </c>
      <c r="F913" s="9">
        <f>YEAR(Ventas!G913)</f>
        <v>2015</v>
      </c>
      <c r="G913" s="9">
        <f>MONTH(Ventas!G913)</f>
        <v>1</v>
      </c>
      <c r="H913" s="9" t="str">
        <f>VLOOKUP(Ventas!C913,Países!$A$2:$B$186,2,FALSE)</f>
        <v>Sub-Saharan Africa</v>
      </c>
      <c r="I913" s="9" t="str">
        <f>Ventas!E913</f>
        <v>Online</v>
      </c>
    </row>
    <row r="914" spans="2:9" x14ac:dyDescent="0.25">
      <c r="B914" s="12">
        <f>Ventas!F914</f>
        <v>163</v>
      </c>
      <c r="C914" s="10">
        <f>VLOOKUP(Ventas!$D914,Productos!$A$1:$D$16,4,FALSE)*Ventas!F914</f>
        <v>650.37</v>
      </c>
      <c r="D914" s="10">
        <f>VLOOKUP(Ventas!$D914,Productos!$A$1:$D$16,3,FALSE)*Ventas!F914</f>
        <v>326</v>
      </c>
      <c r="E914" s="10">
        <f t="shared" si="14"/>
        <v>324.37</v>
      </c>
      <c r="F914" s="9">
        <f>YEAR(Ventas!G914)</f>
        <v>2015</v>
      </c>
      <c r="G914" s="9">
        <f>MONTH(Ventas!G914)</f>
        <v>7</v>
      </c>
      <c r="H914" s="9" t="str">
        <f>VLOOKUP(Ventas!C914,Países!$A$2:$B$186,2,FALSE)</f>
        <v>Asia</v>
      </c>
      <c r="I914" s="9" t="str">
        <f>Ventas!E914</f>
        <v>Online</v>
      </c>
    </row>
    <row r="915" spans="2:9" x14ac:dyDescent="0.25">
      <c r="B915" s="12">
        <f>Ventas!F915</f>
        <v>97</v>
      </c>
      <c r="C915" s="10">
        <f>VLOOKUP(Ventas!$D915,Productos!$A$1:$D$16,4,FALSE)*Ventas!F915</f>
        <v>387.03000000000003</v>
      </c>
      <c r="D915" s="10">
        <f>VLOOKUP(Ventas!$D915,Productos!$A$1:$D$16,3,FALSE)*Ventas!F915</f>
        <v>194</v>
      </c>
      <c r="E915" s="10">
        <f t="shared" si="14"/>
        <v>193.03000000000003</v>
      </c>
      <c r="F915" s="9">
        <f>YEAR(Ventas!G915)</f>
        <v>2015</v>
      </c>
      <c r="G915" s="9">
        <f>MONTH(Ventas!G915)</f>
        <v>2</v>
      </c>
      <c r="H915" s="9" t="str">
        <f>VLOOKUP(Ventas!C915,Países!$A$2:$B$186,2,FALSE)</f>
        <v>Sub-Saharan Africa</v>
      </c>
      <c r="I915" s="9" t="str">
        <f>Ventas!E915</f>
        <v>Retail</v>
      </c>
    </row>
    <row r="916" spans="2:9" x14ac:dyDescent="0.25">
      <c r="B916" s="12">
        <f>Ventas!F916</f>
        <v>209</v>
      </c>
      <c r="C916" s="10">
        <f>VLOOKUP(Ventas!$D916,Productos!$A$1:$D$16,4,FALSE)*Ventas!F916</f>
        <v>1358.5</v>
      </c>
      <c r="D916" s="10">
        <f>VLOOKUP(Ventas!$D916,Productos!$A$1:$D$16,3,FALSE)*Ventas!F916</f>
        <v>731.5</v>
      </c>
      <c r="E916" s="10">
        <f t="shared" si="14"/>
        <v>627</v>
      </c>
      <c r="F916" s="9">
        <f>YEAR(Ventas!G916)</f>
        <v>2015</v>
      </c>
      <c r="G916" s="9">
        <f>MONTH(Ventas!G916)</f>
        <v>4</v>
      </c>
      <c r="H916" s="9" t="str">
        <f>VLOOKUP(Ventas!C916,Países!$A$2:$B$186,2,FALSE)</f>
        <v>Sub-Saharan Africa</v>
      </c>
      <c r="I916" s="9" t="str">
        <f>Ventas!E916</f>
        <v>Retail</v>
      </c>
    </row>
    <row r="917" spans="2:9" x14ac:dyDescent="0.25">
      <c r="B917" s="12">
        <f>Ventas!F917</f>
        <v>33</v>
      </c>
      <c r="C917" s="10">
        <f>VLOOKUP(Ventas!$D917,Productos!$A$1:$D$16,4,FALSE)*Ventas!F917</f>
        <v>214.5</v>
      </c>
      <c r="D917" s="10">
        <f>VLOOKUP(Ventas!$D917,Productos!$A$1:$D$16,3,FALSE)*Ventas!F917</f>
        <v>115.5</v>
      </c>
      <c r="E917" s="10">
        <f t="shared" si="14"/>
        <v>99</v>
      </c>
      <c r="F917" s="9">
        <f>YEAR(Ventas!G917)</f>
        <v>2015</v>
      </c>
      <c r="G917" s="9">
        <f>MONTH(Ventas!G917)</f>
        <v>3</v>
      </c>
      <c r="H917" s="9" t="str">
        <f>VLOOKUP(Ventas!C917,Países!$A$2:$B$186,2,FALSE)</f>
        <v>Sub-Saharan Africa</v>
      </c>
      <c r="I917" s="9" t="str">
        <f>Ventas!E917</f>
        <v>Retail</v>
      </c>
    </row>
    <row r="918" spans="2:9" x14ac:dyDescent="0.25">
      <c r="B918" s="12">
        <f>Ventas!F918</f>
        <v>80</v>
      </c>
      <c r="C918" s="10">
        <f>VLOOKUP(Ventas!$D918,Productos!$A$1:$D$16,4,FALSE)*Ventas!F918</f>
        <v>240</v>
      </c>
      <c r="D918" s="10">
        <f>VLOOKUP(Ventas!$D918,Productos!$A$1:$D$16,3,FALSE)*Ventas!F918</f>
        <v>120</v>
      </c>
      <c r="E918" s="10">
        <f t="shared" si="14"/>
        <v>120</v>
      </c>
      <c r="F918" s="9">
        <f>YEAR(Ventas!G918)</f>
        <v>2015</v>
      </c>
      <c r="G918" s="9">
        <f>MONTH(Ventas!G918)</f>
        <v>6</v>
      </c>
      <c r="H918" s="9" t="str">
        <f>VLOOKUP(Ventas!C918,Países!$A$2:$B$186,2,FALSE)</f>
        <v>Sub-Saharan Africa</v>
      </c>
      <c r="I918" s="9" t="str">
        <f>Ventas!E918</f>
        <v>Retail</v>
      </c>
    </row>
    <row r="919" spans="2:9" x14ac:dyDescent="0.25">
      <c r="B919" s="12">
        <f>Ventas!F919</f>
        <v>190</v>
      </c>
      <c r="C919" s="10">
        <f>VLOOKUP(Ventas!$D919,Productos!$A$1:$D$16,4,FALSE)*Ventas!F919</f>
        <v>1235</v>
      </c>
      <c r="D919" s="10">
        <f>VLOOKUP(Ventas!$D919,Productos!$A$1:$D$16,3,FALSE)*Ventas!F919</f>
        <v>665</v>
      </c>
      <c r="E919" s="10">
        <f t="shared" si="14"/>
        <v>570</v>
      </c>
      <c r="F919" s="9">
        <f>YEAR(Ventas!G919)</f>
        <v>2015</v>
      </c>
      <c r="G919" s="9">
        <f>MONTH(Ventas!G919)</f>
        <v>8</v>
      </c>
      <c r="H919" s="9" t="str">
        <f>VLOOKUP(Ventas!C919,Países!$A$2:$B$186,2,FALSE)</f>
        <v>Middle East and North Africa</v>
      </c>
      <c r="I919" s="9" t="str">
        <f>Ventas!E919</f>
        <v>Retail</v>
      </c>
    </row>
    <row r="920" spans="2:9" x14ac:dyDescent="0.25">
      <c r="B920" s="12">
        <f>Ventas!F920</f>
        <v>168</v>
      </c>
      <c r="C920" s="10">
        <f>VLOOKUP(Ventas!$D920,Productos!$A$1:$D$16,4,FALSE)*Ventas!F920</f>
        <v>336</v>
      </c>
      <c r="D920" s="10">
        <f>VLOOKUP(Ventas!$D920,Productos!$A$1:$D$16,3,FALSE)*Ventas!F920</f>
        <v>168</v>
      </c>
      <c r="E920" s="10">
        <f t="shared" si="14"/>
        <v>168</v>
      </c>
      <c r="F920" s="9">
        <f>YEAR(Ventas!G920)</f>
        <v>2015</v>
      </c>
      <c r="G920" s="9">
        <f>MONTH(Ventas!G920)</f>
        <v>1</v>
      </c>
      <c r="H920" s="9" t="str">
        <f>VLOOKUP(Ventas!C920,Países!$A$2:$B$186,2,FALSE)</f>
        <v>Central America and the Caribbean</v>
      </c>
      <c r="I920" s="9" t="str">
        <f>Ventas!E920</f>
        <v>Online</v>
      </c>
    </row>
    <row r="921" spans="2:9" x14ac:dyDescent="0.25">
      <c r="B921" s="12">
        <f>Ventas!F921</f>
        <v>12</v>
      </c>
      <c r="C921" s="10">
        <f>VLOOKUP(Ventas!$D921,Productos!$A$1:$D$16,4,FALSE)*Ventas!F921</f>
        <v>54</v>
      </c>
      <c r="D921" s="10">
        <f>VLOOKUP(Ventas!$D921,Productos!$A$1:$D$16,3,FALSE)*Ventas!F921</f>
        <v>30</v>
      </c>
      <c r="E921" s="10">
        <f t="shared" si="14"/>
        <v>24</v>
      </c>
      <c r="F921" s="9">
        <f>YEAR(Ventas!G921)</f>
        <v>2015</v>
      </c>
      <c r="G921" s="9">
        <f>MONTH(Ventas!G921)</f>
        <v>3</v>
      </c>
      <c r="H921" s="9" t="str">
        <f>VLOOKUP(Ventas!C921,Países!$A$2:$B$186,2,FALSE)</f>
        <v>Australia and Oceania</v>
      </c>
      <c r="I921" s="9" t="str">
        <f>Ventas!E921</f>
        <v>Online</v>
      </c>
    </row>
    <row r="922" spans="2:9" x14ac:dyDescent="0.25">
      <c r="B922" s="12">
        <f>Ventas!F922</f>
        <v>31</v>
      </c>
      <c r="C922" s="10">
        <f>VLOOKUP(Ventas!$D922,Productos!$A$1:$D$16,4,FALSE)*Ventas!F922</f>
        <v>216.69</v>
      </c>
      <c r="D922" s="10">
        <f>VLOOKUP(Ventas!$D922,Productos!$A$1:$D$16,3,FALSE)*Ventas!F922</f>
        <v>108.5</v>
      </c>
      <c r="E922" s="10">
        <f t="shared" si="14"/>
        <v>108.19</v>
      </c>
      <c r="F922" s="9">
        <f>YEAR(Ventas!G922)</f>
        <v>2015</v>
      </c>
      <c r="G922" s="9">
        <f>MONTH(Ventas!G922)</f>
        <v>4</v>
      </c>
      <c r="H922" s="9" t="str">
        <f>VLOOKUP(Ventas!C922,Países!$A$2:$B$186,2,FALSE)</f>
        <v>Europe</v>
      </c>
      <c r="I922" s="9" t="str">
        <f>Ventas!E922</f>
        <v>Direct</v>
      </c>
    </row>
    <row r="923" spans="2:9" x14ac:dyDescent="0.25">
      <c r="B923" s="12">
        <f>Ventas!F923</f>
        <v>51</v>
      </c>
      <c r="C923" s="10">
        <f>VLOOKUP(Ventas!$D923,Productos!$A$1:$D$16,4,FALSE)*Ventas!F923</f>
        <v>153</v>
      </c>
      <c r="D923" s="10">
        <f>VLOOKUP(Ventas!$D923,Productos!$A$1:$D$16,3,FALSE)*Ventas!F923</f>
        <v>76.5</v>
      </c>
      <c r="E923" s="10">
        <f t="shared" si="14"/>
        <v>76.5</v>
      </c>
      <c r="F923" s="9">
        <f>YEAR(Ventas!G923)</f>
        <v>2015</v>
      </c>
      <c r="G923" s="9">
        <f>MONTH(Ventas!G923)</f>
        <v>4</v>
      </c>
      <c r="H923" s="9" t="str">
        <f>VLOOKUP(Ventas!C923,Países!$A$2:$B$186,2,FALSE)</f>
        <v>Sub-Saharan Africa</v>
      </c>
      <c r="I923" s="9" t="str">
        <f>Ventas!E923</f>
        <v>Retail</v>
      </c>
    </row>
    <row r="924" spans="2:9" x14ac:dyDescent="0.25">
      <c r="B924" s="12">
        <f>Ventas!F924</f>
        <v>135</v>
      </c>
      <c r="C924" s="10">
        <f>VLOOKUP(Ventas!$D924,Productos!$A$1:$D$16,4,FALSE)*Ventas!F924</f>
        <v>1957.5</v>
      </c>
      <c r="D924" s="10">
        <f>VLOOKUP(Ventas!$D924,Productos!$A$1:$D$16,3,FALSE)*Ventas!F924</f>
        <v>1080</v>
      </c>
      <c r="E924" s="10">
        <f t="shared" si="14"/>
        <v>877.5</v>
      </c>
      <c r="F924" s="9">
        <f>YEAR(Ventas!G924)</f>
        <v>2015</v>
      </c>
      <c r="G924" s="9">
        <f>MONTH(Ventas!G924)</f>
        <v>2</v>
      </c>
      <c r="H924" s="9" t="str">
        <f>VLOOKUP(Ventas!C924,Países!$A$2:$B$186,2,FALSE)</f>
        <v>Sub-Saharan Africa</v>
      </c>
      <c r="I924" s="9" t="str">
        <f>Ventas!E924</f>
        <v>Online</v>
      </c>
    </row>
    <row r="925" spans="2:9" x14ac:dyDescent="0.25">
      <c r="B925" s="12">
        <f>Ventas!F925</f>
        <v>80</v>
      </c>
      <c r="C925" s="10">
        <f>VLOOKUP(Ventas!$D925,Productos!$A$1:$D$16,4,FALSE)*Ventas!F925</f>
        <v>480</v>
      </c>
      <c r="D925" s="10">
        <f>VLOOKUP(Ventas!$D925,Productos!$A$1:$D$16,3,FALSE)*Ventas!F925</f>
        <v>240</v>
      </c>
      <c r="E925" s="10">
        <f t="shared" si="14"/>
        <v>240</v>
      </c>
      <c r="F925" s="9">
        <f>YEAR(Ventas!G925)</f>
        <v>2015</v>
      </c>
      <c r="G925" s="9">
        <f>MONTH(Ventas!G925)</f>
        <v>6</v>
      </c>
      <c r="H925" s="9" t="str">
        <f>VLOOKUP(Ventas!C925,Países!$A$2:$B$186,2,FALSE)</f>
        <v>Central America and the Caribbean</v>
      </c>
      <c r="I925" s="9" t="str">
        <f>Ventas!E925</f>
        <v>Online</v>
      </c>
    </row>
    <row r="926" spans="2:9" x14ac:dyDescent="0.25">
      <c r="B926" s="12">
        <f>Ventas!F926</f>
        <v>15</v>
      </c>
      <c r="C926" s="10">
        <f>VLOOKUP(Ventas!$D926,Productos!$A$1:$D$16,4,FALSE)*Ventas!F926</f>
        <v>97.5</v>
      </c>
      <c r="D926" s="10">
        <f>VLOOKUP(Ventas!$D926,Productos!$A$1:$D$16,3,FALSE)*Ventas!F926</f>
        <v>52.5</v>
      </c>
      <c r="E926" s="10">
        <f t="shared" si="14"/>
        <v>45</v>
      </c>
      <c r="F926" s="9">
        <f>YEAR(Ventas!G926)</f>
        <v>2015</v>
      </c>
      <c r="G926" s="9">
        <f>MONTH(Ventas!G926)</f>
        <v>3</v>
      </c>
      <c r="H926" s="9" t="str">
        <f>VLOOKUP(Ventas!C926,Países!$A$2:$B$186,2,FALSE)</f>
        <v>Central America and the Caribbean</v>
      </c>
      <c r="I926" s="9" t="str">
        <f>Ventas!E926</f>
        <v>Online</v>
      </c>
    </row>
    <row r="927" spans="2:9" x14ac:dyDescent="0.25">
      <c r="B927" s="12">
        <f>Ventas!F927</f>
        <v>81</v>
      </c>
      <c r="C927" s="10">
        <f>VLOOKUP(Ventas!$D927,Productos!$A$1:$D$16,4,FALSE)*Ventas!F927</f>
        <v>323.19</v>
      </c>
      <c r="D927" s="10">
        <f>VLOOKUP(Ventas!$D927,Productos!$A$1:$D$16,3,FALSE)*Ventas!F927</f>
        <v>162</v>
      </c>
      <c r="E927" s="10">
        <f t="shared" si="14"/>
        <v>161.19</v>
      </c>
      <c r="F927" s="9">
        <f>YEAR(Ventas!G927)</f>
        <v>2015</v>
      </c>
      <c r="G927" s="9">
        <f>MONTH(Ventas!G927)</f>
        <v>5</v>
      </c>
      <c r="H927" s="9" t="str">
        <f>VLOOKUP(Ventas!C927,Países!$A$2:$B$186,2,FALSE)</f>
        <v>Australia and Oceania</v>
      </c>
      <c r="I927" s="9" t="str">
        <f>Ventas!E927</f>
        <v>Retail</v>
      </c>
    </row>
    <row r="928" spans="2:9" x14ac:dyDescent="0.25">
      <c r="B928" s="12">
        <f>Ventas!F928</f>
        <v>185</v>
      </c>
      <c r="C928" s="10">
        <f>VLOOKUP(Ventas!$D928,Productos!$A$1:$D$16,4,FALSE)*Ventas!F928</f>
        <v>738.15000000000009</v>
      </c>
      <c r="D928" s="10">
        <f>VLOOKUP(Ventas!$D928,Productos!$A$1:$D$16,3,FALSE)*Ventas!F928</f>
        <v>370</v>
      </c>
      <c r="E928" s="10">
        <f t="shared" si="14"/>
        <v>368.15000000000009</v>
      </c>
      <c r="F928" s="9">
        <f>YEAR(Ventas!G928)</f>
        <v>2015</v>
      </c>
      <c r="G928" s="9">
        <f>MONTH(Ventas!G928)</f>
        <v>2</v>
      </c>
      <c r="H928" s="9" t="str">
        <f>VLOOKUP(Ventas!C928,Países!$A$2:$B$186,2,FALSE)</f>
        <v>Asia</v>
      </c>
      <c r="I928" s="9" t="str">
        <f>Ventas!E928</f>
        <v>Retail</v>
      </c>
    </row>
    <row r="929" spans="2:9" x14ac:dyDescent="0.25">
      <c r="B929" s="12">
        <f>Ventas!F929</f>
        <v>3</v>
      </c>
      <c r="C929" s="10">
        <f>VLOOKUP(Ventas!$D929,Productos!$A$1:$D$16,4,FALSE)*Ventas!F929</f>
        <v>6</v>
      </c>
      <c r="D929" s="10">
        <f>VLOOKUP(Ventas!$D929,Productos!$A$1:$D$16,3,FALSE)*Ventas!F929</f>
        <v>3</v>
      </c>
      <c r="E929" s="10">
        <f t="shared" si="14"/>
        <v>3</v>
      </c>
      <c r="F929" s="9">
        <f>YEAR(Ventas!G929)</f>
        <v>2015</v>
      </c>
      <c r="G929" s="9">
        <f>MONTH(Ventas!G929)</f>
        <v>8</v>
      </c>
      <c r="H929" s="9" t="str">
        <f>VLOOKUP(Ventas!C929,Países!$A$2:$B$186,2,FALSE)</f>
        <v>Australia and Oceania</v>
      </c>
      <c r="I929" s="9" t="str">
        <f>Ventas!E929</f>
        <v>Retail</v>
      </c>
    </row>
    <row r="930" spans="2:9" x14ac:dyDescent="0.25">
      <c r="B930" s="12">
        <f>Ventas!F930</f>
        <v>185</v>
      </c>
      <c r="C930" s="10">
        <f>VLOOKUP(Ventas!$D930,Productos!$A$1:$D$16,4,FALSE)*Ventas!F930</f>
        <v>1202.5</v>
      </c>
      <c r="D930" s="10">
        <f>VLOOKUP(Ventas!$D930,Productos!$A$1:$D$16,3,FALSE)*Ventas!F930</f>
        <v>647.5</v>
      </c>
      <c r="E930" s="10">
        <f t="shared" si="14"/>
        <v>555</v>
      </c>
      <c r="F930" s="9">
        <f>YEAR(Ventas!G930)</f>
        <v>2015</v>
      </c>
      <c r="G930" s="9">
        <f>MONTH(Ventas!G930)</f>
        <v>2</v>
      </c>
      <c r="H930" s="9" t="str">
        <f>VLOOKUP(Ventas!C930,Países!$A$2:$B$186,2,FALSE)</f>
        <v>Sub-Saharan Africa</v>
      </c>
      <c r="I930" s="9" t="str">
        <f>Ventas!E930</f>
        <v>Retail</v>
      </c>
    </row>
    <row r="931" spans="2:9" x14ac:dyDescent="0.25">
      <c r="B931" s="12">
        <f>Ventas!F931</f>
        <v>127</v>
      </c>
      <c r="C931" s="10">
        <f>VLOOKUP(Ventas!$D931,Productos!$A$1:$D$16,4,FALSE)*Ventas!F931</f>
        <v>887.73</v>
      </c>
      <c r="D931" s="10">
        <f>VLOOKUP(Ventas!$D931,Productos!$A$1:$D$16,3,FALSE)*Ventas!F931</f>
        <v>444.5</v>
      </c>
      <c r="E931" s="10">
        <f t="shared" si="14"/>
        <v>443.23</v>
      </c>
      <c r="F931" s="9">
        <f>YEAR(Ventas!G931)</f>
        <v>2015</v>
      </c>
      <c r="G931" s="9">
        <f>MONTH(Ventas!G931)</f>
        <v>1</v>
      </c>
      <c r="H931" s="9" t="str">
        <f>VLOOKUP(Ventas!C931,Países!$A$2:$B$186,2,FALSE)</f>
        <v>Europe</v>
      </c>
      <c r="I931" s="9" t="str">
        <f>Ventas!E931</f>
        <v>Retail</v>
      </c>
    </row>
    <row r="932" spans="2:9" x14ac:dyDescent="0.25">
      <c r="B932" s="12">
        <f>Ventas!F932</f>
        <v>15</v>
      </c>
      <c r="C932" s="10">
        <f>VLOOKUP(Ventas!$D932,Productos!$A$1:$D$16,4,FALSE)*Ventas!F932</f>
        <v>135</v>
      </c>
      <c r="D932" s="10">
        <f>VLOOKUP(Ventas!$D932,Productos!$A$1:$D$16,3,FALSE)*Ventas!F932</f>
        <v>90</v>
      </c>
      <c r="E932" s="10">
        <f t="shared" si="14"/>
        <v>45</v>
      </c>
      <c r="F932" s="9">
        <f>YEAR(Ventas!G932)</f>
        <v>2015</v>
      </c>
      <c r="G932" s="9">
        <f>MONTH(Ventas!G932)</f>
        <v>4</v>
      </c>
      <c r="H932" s="9" t="str">
        <f>VLOOKUP(Ventas!C932,Países!$A$2:$B$186,2,FALSE)</f>
        <v>Europe</v>
      </c>
      <c r="I932" s="9" t="str">
        <f>Ventas!E932</f>
        <v>Online</v>
      </c>
    </row>
    <row r="933" spans="2:9" x14ac:dyDescent="0.25">
      <c r="B933" s="12">
        <f>Ventas!F933</f>
        <v>133</v>
      </c>
      <c r="C933" s="10">
        <f>VLOOKUP(Ventas!$D933,Productos!$A$1:$D$16,4,FALSE)*Ventas!F933</f>
        <v>929.67000000000007</v>
      </c>
      <c r="D933" s="10">
        <f>VLOOKUP(Ventas!$D933,Productos!$A$1:$D$16,3,FALSE)*Ventas!F933</f>
        <v>465.5</v>
      </c>
      <c r="E933" s="10">
        <f t="shared" si="14"/>
        <v>464.17000000000007</v>
      </c>
      <c r="F933" s="9">
        <f>YEAR(Ventas!G933)</f>
        <v>2015</v>
      </c>
      <c r="G933" s="9">
        <f>MONTH(Ventas!G933)</f>
        <v>1</v>
      </c>
      <c r="H933" s="9" t="str">
        <f>VLOOKUP(Ventas!C933,Países!$A$2:$B$186,2,FALSE)</f>
        <v>Sub-Saharan Africa</v>
      </c>
      <c r="I933" s="9" t="str">
        <f>Ventas!E933</f>
        <v>Online</v>
      </c>
    </row>
    <row r="934" spans="2:9" x14ac:dyDescent="0.25">
      <c r="B934" s="12">
        <f>Ventas!F934</f>
        <v>138</v>
      </c>
      <c r="C934" s="10">
        <f>VLOOKUP(Ventas!$D934,Productos!$A$1:$D$16,4,FALSE)*Ventas!F934</f>
        <v>621</v>
      </c>
      <c r="D934" s="10">
        <f>VLOOKUP(Ventas!$D934,Productos!$A$1:$D$16,3,FALSE)*Ventas!F934</f>
        <v>345</v>
      </c>
      <c r="E934" s="10">
        <f t="shared" si="14"/>
        <v>276</v>
      </c>
      <c r="F934" s="9">
        <f>YEAR(Ventas!G934)</f>
        <v>2015</v>
      </c>
      <c r="G934" s="9">
        <f>MONTH(Ventas!G934)</f>
        <v>2</v>
      </c>
      <c r="H934" s="9" t="str">
        <f>VLOOKUP(Ventas!C934,Países!$A$2:$B$186,2,FALSE)</f>
        <v>Asia</v>
      </c>
      <c r="I934" s="9" t="str">
        <f>Ventas!E934</f>
        <v>Retail</v>
      </c>
    </row>
    <row r="935" spans="2:9" x14ac:dyDescent="0.25">
      <c r="B935" s="12">
        <f>Ventas!F935</f>
        <v>132</v>
      </c>
      <c r="C935" s="10">
        <f>VLOOKUP(Ventas!$D935,Productos!$A$1:$D$16,4,FALSE)*Ventas!F935</f>
        <v>264</v>
      </c>
      <c r="D935" s="10">
        <f>VLOOKUP(Ventas!$D935,Productos!$A$1:$D$16,3,FALSE)*Ventas!F935</f>
        <v>132</v>
      </c>
      <c r="E935" s="10">
        <f t="shared" si="14"/>
        <v>132</v>
      </c>
      <c r="F935" s="9">
        <f>YEAR(Ventas!G935)</f>
        <v>2015</v>
      </c>
      <c r="G935" s="9">
        <f>MONTH(Ventas!G935)</f>
        <v>1</v>
      </c>
      <c r="H935" s="9" t="str">
        <f>VLOOKUP(Ventas!C935,Países!$A$2:$B$186,2,FALSE)</f>
        <v>Europe</v>
      </c>
      <c r="I935" s="9" t="str">
        <f>Ventas!E935</f>
        <v>Retail</v>
      </c>
    </row>
    <row r="936" spans="2:9" x14ac:dyDescent="0.25">
      <c r="B936" s="12">
        <f>Ventas!F936</f>
        <v>13</v>
      </c>
      <c r="C936" s="10">
        <f>VLOOKUP(Ventas!$D936,Productos!$A$1:$D$16,4,FALSE)*Ventas!F936</f>
        <v>129.87</v>
      </c>
      <c r="D936" s="10">
        <f>VLOOKUP(Ventas!$D936,Productos!$A$1:$D$16,3,FALSE)*Ventas!F936</f>
        <v>65</v>
      </c>
      <c r="E936" s="10">
        <f t="shared" si="14"/>
        <v>64.87</v>
      </c>
      <c r="F936" s="9">
        <f>YEAR(Ventas!G936)</f>
        <v>2015</v>
      </c>
      <c r="G936" s="9">
        <f>MONTH(Ventas!G936)</f>
        <v>7</v>
      </c>
      <c r="H936" s="9" t="str">
        <f>VLOOKUP(Ventas!C936,Países!$A$2:$B$186,2,FALSE)</f>
        <v>Asia</v>
      </c>
      <c r="I936" s="9" t="str">
        <f>Ventas!E936</f>
        <v>Retail</v>
      </c>
    </row>
    <row r="937" spans="2:9" x14ac:dyDescent="0.25">
      <c r="B937" s="12">
        <f>Ventas!F937</f>
        <v>136</v>
      </c>
      <c r="C937" s="10">
        <f>VLOOKUP(Ventas!$D937,Productos!$A$1:$D$16,4,FALSE)*Ventas!F937</f>
        <v>542.64</v>
      </c>
      <c r="D937" s="10">
        <f>VLOOKUP(Ventas!$D937,Productos!$A$1:$D$16,3,FALSE)*Ventas!F937</f>
        <v>272</v>
      </c>
      <c r="E937" s="10">
        <f t="shared" si="14"/>
        <v>270.64</v>
      </c>
      <c r="F937" s="9">
        <f>YEAR(Ventas!G937)</f>
        <v>2015</v>
      </c>
      <c r="G937" s="9">
        <f>MONTH(Ventas!G937)</f>
        <v>7</v>
      </c>
      <c r="H937" s="9" t="str">
        <f>VLOOKUP(Ventas!C937,Países!$A$2:$B$186,2,FALSE)</f>
        <v>Europe</v>
      </c>
      <c r="I937" s="9" t="str">
        <f>Ventas!E937</f>
        <v>Retail</v>
      </c>
    </row>
    <row r="938" spans="2:9" x14ac:dyDescent="0.25">
      <c r="B938" s="12">
        <f>Ventas!F938</f>
        <v>25</v>
      </c>
      <c r="C938" s="10">
        <f>VLOOKUP(Ventas!$D938,Productos!$A$1:$D$16,4,FALSE)*Ventas!F938</f>
        <v>99.75</v>
      </c>
      <c r="D938" s="10">
        <f>VLOOKUP(Ventas!$D938,Productos!$A$1:$D$16,3,FALSE)*Ventas!F938</f>
        <v>50</v>
      </c>
      <c r="E938" s="10">
        <f t="shared" si="14"/>
        <v>49.75</v>
      </c>
      <c r="F938" s="9">
        <f>YEAR(Ventas!G938)</f>
        <v>2015</v>
      </c>
      <c r="G938" s="9">
        <f>MONTH(Ventas!G938)</f>
        <v>4</v>
      </c>
      <c r="H938" s="9" t="str">
        <f>VLOOKUP(Ventas!C938,Países!$A$2:$B$186,2,FALSE)</f>
        <v>Sub-Saharan Africa</v>
      </c>
      <c r="I938" s="9" t="str">
        <f>Ventas!E938</f>
        <v>Retail</v>
      </c>
    </row>
    <row r="939" spans="2:9" x14ac:dyDescent="0.25">
      <c r="B939" s="12">
        <f>Ventas!F939</f>
        <v>200</v>
      </c>
      <c r="C939" s="10">
        <f>VLOOKUP(Ventas!$D939,Productos!$A$1:$D$16,4,FALSE)*Ventas!F939</f>
        <v>1800</v>
      </c>
      <c r="D939" s="10">
        <f>VLOOKUP(Ventas!$D939,Productos!$A$1:$D$16,3,FALSE)*Ventas!F939</f>
        <v>1200</v>
      </c>
      <c r="E939" s="10">
        <f t="shared" si="14"/>
        <v>600</v>
      </c>
      <c r="F939" s="9">
        <f>YEAR(Ventas!G939)</f>
        <v>2015</v>
      </c>
      <c r="G939" s="9">
        <f>MONTH(Ventas!G939)</f>
        <v>4</v>
      </c>
      <c r="H939" s="9" t="str">
        <f>VLOOKUP(Ventas!C939,Países!$A$2:$B$186,2,FALSE)</f>
        <v>Sub-Saharan Africa</v>
      </c>
      <c r="I939" s="9" t="str">
        <f>Ventas!E939</f>
        <v>Retail</v>
      </c>
    </row>
    <row r="940" spans="2:9" x14ac:dyDescent="0.25">
      <c r="B940" s="12">
        <f>Ventas!F940</f>
        <v>148</v>
      </c>
      <c r="C940" s="10">
        <f>VLOOKUP(Ventas!$D940,Productos!$A$1:$D$16,4,FALSE)*Ventas!F940</f>
        <v>590.52</v>
      </c>
      <c r="D940" s="10">
        <f>VLOOKUP(Ventas!$D940,Productos!$A$1:$D$16,3,FALSE)*Ventas!F940</f>
        <v>296</v>
      </c>
      <c r="E940" s="10">
        <f t="shared" si="14"/>
        <v>294.52</v>
      </c>
      <c r="F940" s="9">
        <f>YEAR(Ventas!G940)</f>
        <v>2015</v>
      </c>
      <c r="G940" s="9">
        <f>MONTH(Ventas!G940)</f>
        <v>7</v>
      </c>
      <c r="H940" s="9" t="str">
        <f>VLOOKUP(Ventas!C940,Países!$A$2:$B$186,2,FALSE)</f>
        <v>Australia and Oceania</v>
      </c>
      <c r="I940" s="9" t="str">
        <f>Ventas!E940</f>
        <v>Online</v>
      </c>
    </row>
    <row r="941" spans="2:9" x14ac:dyDescent="0.25">
      <c r="B941" s="12">
        <f>Ventas!F941</f>
        <v>175</v>
      </c>
      <c r="C941" s="10">
        <f>VLOOKUP(Ventas!$D941,Productos!$A$1:$D$16,4,FALSE)*Ventas!F941</f>
        <v>787.5</v>
      </c>
      <c r="D941" s="10">
        <f>VLOOKUP(Ventas!$D941,Productos!$A$1:$D$16,3,FALSE)*Ventas!F941</f>
        <v>437.5</v>
      </c>
      <c r="E941" s="10">
        <f t="shared" si="14"/>
        <v>350</v>
      </c>
      <c r="F941" s="9">
        <f>YEAR(Ventas!G941)</f>
        <v>2015</v>
      </c>
      <c r="G941" s="9">
        <f>MONTH(Ventas!G941)</f>
        <v>4</v>
      </c>
      <c r="H941" s="9" t="str">
        <f>VLOOKUP(Ventas!C941,Países!$A$2:$B$186,2,FALSE)</f>
        <v>Sub-Saharan Africa</v>
      </c>
      <c r="I941" s="9" t="str">
        <f>Ventas!E941</f>
        <v>Online</v>
      </c>
    </row>
    <row r="942" spans="2:9" x14ac:dyDescent="0.25">
      <c r="B942" s="12">
        <f>Ventas!F942</f>
        <v>44</v>
      </c>
      <c r="C942" s="10">
        <f>VLOOKUP(Ventas!$D942,Productos!$A$1:$D$16,4,FALSE)*Ventas!F942</f>
        <v>286</v>
      </c>
      <c r="D942" s="10">
        <f>VLOOKUP(Ventas!$D942,Productos!$A$1:$D$16,3,FALSE)*Ventas!F942</f>
        <v>154</v>
      </c>
      <c r="E942" s="10">
        <f t="shared" si="14"/>
        <v>132</v>
      </c>
      <c r="F942" s="9">
        <f>YEAR(Ventas!G942)</f>
        <v>2015</v>
      </c>
      <c r="G942" s="9">
        <f>MONTH(Ventas!G942)</f>
        <v>1</v>
      </c>
      <c r="H942" s="9" t="str">
        <f>VLOOKUP(Ventas!C942,Países!$A$2:$B$186,2,FALSE)</f>
        <v>Sub-Saharan Africa</v>
      </c>
      <c r="I942" s="9" t="str">
        <f>Ventas!E942</f>
        <v>Direct</v>
      </c>
    </row>
    <row r="943" spans="2:9" x14ac:dyDescent="0.25">
      <c r="B943" s="12">
        <f>Ventas!F943</f>
        <v>39</v>
      </c>
      <c r="C943" s="10">
        <f>VLOOKUP(Ventas!$D943,Productos!$A$1:$D$16,4,FALSE)*Ventas!F943</f>
        <v>389.61</v>
      </c>
      <c r="D943" s="10">
        <f>VLOOKUP(Ventas!$D943,Productos!$A$1:$D$16,3,FALSE)*Ventas!F943</f>
        <v>195</v>
      </c>
      <c r="E943" s="10">
        <f t="shared" si="14"/>
        <v>194.61</v>
      </c>
      <c r="F943" s="9">
        <f>YEAR(Ventas!G943)</f>
        <v>2015</v>
      </c>
      <c r="G943" s="9">
        <f>MONTH(Ventas!G943)</f>
        <v>7</v>
      </c>
      <c r="H943" s="9" t="str">
        <f>VLOOKUP(Ventas!C943,Países!$A$2:$B$186,2,FALSE)</f>
        <v>Sub-Saharan Africa</v>
      </c>
      <c r="I943" s="9" t="str">
        <f>Ventas!E943</f>
        <v>Retail</v>
      </c>
    </row>
    <row r="944" spans="2:9" x14ac:dyDescent="0.25">
      <c r="B944" s="12">
        <f>Ventas!F944</f>
        <v>80</v>
      </c>
      <c r="C944" s="10">
        <f>VLOOKUP(Ventas!$D944,Productos!$A$1:$D$16,4,FALSE)*Ventas!F944</f>
        <v>1160</v>
      </c>
      <c r="D944" s="10">
        <f>VLOOKUP(Ventas!$D944,Productos!$A$1:$D$16,3,FALSE)*Ventas!F944</f>
        <v>640</v>
      </c>
      <c r="E944" s="10">
        <f t="shared" si="14"/>
        <v>520</v>
      </c>
      <c r="F944" s="9">
        <f>YEAR(Ventas!G944)</f>
        <v>2015</v>
      </c>
      <c r="G944" s="9">
        <f>MONTH(Ventas!G944)</f>
        <v>6</v>
      </c>
      <c r="H944" s="9" t="str">
        <f>VLOOKUP(Ventas!C944,Países!$A$2:$B$186,2,FALSE)</f>
        <v>Europe</v>
      </c>
      <c r="I944" s="9" t="str">
        <f>Ventas!E944</f>
        <v>Retail</v>
      </c>
    </row>
    <row r="945" spans="2:9" x14ac:dyDescent="0.25">
      <c r="B945" s="12">
        <f>Ventas!F945</f>
        <v>198</v>
      </c>
      <c r="C945" s="10">
        <f>VLOOKUP(Ventas!$D945,Productos!$A$1:$D$16,4,FALSE)*Ventas!F945</f>
        <v>790.0200000000001</v>
      </c>
      <c r="D945" s="10">
        <f>VLOOKUP(Ventas!$D945,Productos!$A$1:$D$16,3,FALSE)*Ventas!F945</f>
        <v>396</v>
      </c>
      <c r="E945" s="10">
        <f t="shared" si="14"/>
        <v>394.0200000000001</v>
      </c>
      <c r="F945" s="9">
        <f>YEAR(Ventas!G945)</f>
        <v>2015</v>
      </c>
      <c r="G945" s="9">
        <f>MONTH(Ventas!G945)</f>
        <v>5</v>
      </c>
      <c r="H945" s="9" t="str">
        <f>VLOOKUP(Ventas!C945,Países!$A$2:$B$186,2,FALSE)</f>
        <v>Europe</v>
      </c>
      <c r="I945" s="9" t="str">
        <f>Ventas!E945</f>
        <v>Retail</v>
      </c>
    </row>
    <row r="946" spans="2:9" x14ac:dyDescent="0.25">
      <c r="B946" s="12">
        <f>Ventas!F946</f>
        <v>203</v>
      </c>
      <c r="C946" s="10">
        <f>VLOOKUP(Ventas!$D946,Productos!$A$1:$D$16,4,FALSE)*Ventas!F946</f>
        <v>1319.5</v>
      </c>
      <c r="D946" s="10">
        <f>VLOOKUP(Ventas!$D946,Productos!$A$1:$D$16,3,FALSE)*Ventas!F946</f>
        <v>710.5</v>
      </c>
      <c r="E946" s="10">
        <f t="shared" si="14"/>
        <v>609</v>
      </c>
      <c r="F946" s="9">
        <f>YEAR(Ventas!G946)</f>
        <v>2015</v>
      </c>
      <c r="G946" s="9">
        <f>MONTH(Ventas!G946)</f>
        <v>5</v>
      </c>
      <c r="H946" s="9" t="str">
        <f>VLOOKUP(Ventas!C946,Países!$A$2:$B$186,2,FALSE)</f>
        <v>Sub-Saharan Africa</v>
      </c>
      <c r="I946" s="9" t="str">
        <f>Ventas!E946</f>
        <v>Online</v>
      </c>
    </row>
    <row r="947" spans="2:9" x14ac:dyDescent="0.25">
      <c r="B947" s="12">
        <f>Ventas!F947</f>
        <v>210</v>
      </c>
      <c r="C947" s="10">
        <f>VLOOKUP(Ventas!$D947,Productos!$A$1:$D$16,4,FALSE)*Ventas!F947</f>
        <v>420</v>
      </c>
      <c r="D947" s="10">
        <f>VLOOKUP(Ventas!$D947,Productos!$A$1:$D$16,3,FALSE)*Ventas!F947</f>
        <v>210</v>
      </c>
      <c r="E947" s="10">
        <f t="shared" si="14"/>
        <v>210</v>
      </c>
      <c r="F947" s="9">
        <f>YEAR(Ventas!G947)</f>
        <v>2015</v>
      </c>
      <c r="G947" s="9">
        <f>MONTH(Ventas!G947)</f>
        <v>1</v>
      </c>
      <c r="H947" s="9" t="str">
        <f>VLOOKUP(Ventas!C947,Países!$A$2:$B$186,2,FALSE)</f>
        <v>Asia</v>
      </c>
      <c r="I947" s="9" t="str">
        <f>Ventas!E947</f>
        <v>Direct</v>
      </c>
    </row>
    <row r="948" spans="2:9" x14ac:dyDescent="0.25">
      <c r="B948" s="12">
        <f>Ventas!F948</f>
        <v>94</v>
      </c>
      <c r="C948" s="10">
        <f>VLOOKUP(Ventas!$D948,Productos!$A$1:$D$16,4,FALSE)*Ventas!F948</f>
        <v>375.06</v>
      </c>
      <c r="D948" s="10">
        <f>VLOOKUP(Ventas!$D948,Productos!$A$1:$D$16,3,FALSE)*Ventas!F948</f>
        <v>188</v>
      </c>
      <c r="E948" s="10">
        <f t="shared" si="14"/>
        <v>187.06</v>
      </c>
      <c r="F948" s="9">
        <f>YEAR(Ventas!G948)</f>
        <v>2015</v>
      </c>
      <c r="G948" s="9">
        <f>MONTH(Ventas!G948)</f>
        <v>1</v>
      </c>
      <c r="H948" s="9" t="str">
        <f>VLOOKUP(Ventas!C948,Países!$A$2:$B$186,2,FALSE)</f>
        <v>Australia and Oceania</v>
      </c>
      <c r="I948" s="9" t="str">
        <f>Ventas!E948</f>
        <v>Online</v>
      </c>
    </row>
    <row r="949" spans="2:9" x14ac:dyDescent="0.25">
      <c r="B949" s="12">
        <f>Ventas!F949</f>
        <v>142</v>
      </c>
      <c r="C949" s="10">
        <f>VLOOKUP(Ventas!$D949,Productos!$A$1:$D$16,4,FALSE)*Ventas!F949</f>
        <v>992.58</v>
      </c>
      <c r="D949" s="10">
        <f>VLOOKUP(Ventas!$D949,Productos!$A$1:$D$16,3,FALSE)*Ventas!F949</f>
        <v>497</v>
      </c>
      <c r="E949" s="10">
        <f t="shared" si="14"/>
        <v>495.58000000000004</v>
      </c>
      <c r="F949" s="9">
        <f>YEAR(Ventas!G949)</f>
        <v>2015</v>
      </c>
      <c r="G949" s="9">
        <f>MONTH(Ventas!G949)</f>
        <v>6</v>
      </c>
      <c r="H949" s="9" t="str">
        <f>VLOOKUP(Ventas!C949,Países!$A$2:$B$186,2,FALSE)</f>
        <v>Australia and Oceania</v>
      </c>
      <c r="I949" s="9" t="str">
        <f>Ventas!E949</f>
        <v>Online</v>
      </c>
    </row>
    <row r="950" spans="2:9" x14ac:dyDescent="0.25">
      <c r="B950" s="12">
        <f>Ventas!F950</f>
        <v>94</v>
      </c>
      <c r="C950" s="10">
        <f>VLOOKUP(Ventas!$D950,Productos!$A$1:$D$16,4,FALSE)*Ventas!F950</f>
        <v>423</v>
      </c>
      <c r="D950" s="10">
        <f>VLOOKUP(Ventas!$D950,Productos!$A$1:$D$16,3,FALSE)*Ventas!F950</f>
        <v>235</v>
      </c>
      <c r="E950" s="10">
        <f t="shared" si="14"/>
        <v>188</v>
      </c>
      <c r="F950" s="9">
        <f>YEAR(Ventas!G950)</f>
        <v>2015</v>
      </c>
      <c r="G950" s="9">
        <f>MONTH(Ventas!G950)</f>
        <v>6</v>
      </c>
      <c r="H950" s="9" t="str">
        <f>VLOOKUP(Ventas!C950,Países!$A$2:$B$186,2,FALSE)</f>
        <v>Europe</v>
      </c>
      <c r="I950" s="9" t="str">
        <f>Ventas!E950</f>
        <v>Retail</v>
      </c>
    </row>
    <row r="951" spans="2:9" x14ac:dyDescent="0.25">
      <c r="B951" s="12">
        <f>Ventas!F951</f>
        <v>129</v>
      </c>
      <c r="C951" s="10">
        <f>VLOOKUP(Ventas!$D951,Productos!$A$1:$D$16,4,FALSE)*Ventas!F951</f>
        <v>387</v>
      </c>
      <c r="D951" s="10">
        <f>VLOOKUP(Ventas!$D951,Productos!$A$1:$D$16,3,FALSE)*Ventas!F951</f>
        <v>193.5</v>
      </c>
      <c r="E951" s="10">
        <f t="shared" si="14"/>
        <v>193.5</v>
      </c>
      <c r="F951" s="9">
        <f>YEAR(Ventas!G951)</f>
        <v>2015</v>
      </c>
      <c r="G951" s="9">
        <f>MONTH(Ventas!G951)</f>
        <v>7</v>
      </c>
      <c r="H951" s="9" t="str">
        <f>VLOOKUP(Ventas!C951,Países!$A$2:$B$186,2,FALSE)</f>
        <v>Central America and the Caribbean</v>
      </c>
      <c r="I951" s="9" t="str">
        <f>Ventas!E951</f>
        <v>Retail</v>
      </c>
    </row>
    <row r="952" spans="2:9" x14ac:dyDescent="0.25">
      <c r="B952" s="12">
        <f>Ventas!F952</f>
        <v>15</v>
      </c>
      <c r="C952" s="10">
        <f>VLOOKUP(Ventas!$D952,Productos!$A$1:$D$16,4,FALSE)*Ventas!F952</f>
        <v>67.5</v>
      </c>
      <c r="D952" s="10">
        <f>VLOOKUP(Ventas!$D952,Productos!$A$1:$D$16,3,FALSE)*Ventas!F952</f>
        <v>37.5</v>
      </c>
      <c r="E952" s="10">
        <f t="shared" si="14"/>
        <v>30</v>
      </c>
      <c r="F952" s="9">
        <f>YEAR(Ventas!G952)</f>
        <v>2015</v>
      </c>
      <c r="G952" s="9">
        <f>MONTH(Ventas!G952)</f>
        <v>3</v>
      </c>
      <c r="H952" s="9" t="str">
        <f>VLOOKUP(Ventas!C952,Países!$A$2:$B$186,2,FALSE)</f>
        <v>Europe</v>
      </c>
      <c r="I952" s="9" t="str">
        <f>Ventas!E952</f>
        <v>Online</v>
      </c>
    </row>
    <row r="953" spans="2:9" x14ac:dyDescent="0.25">
      <c r="B953" s="12">
        <f>Ventas!F953</f>
        <v>155</v>
      </c>
      <c r="C953" s="10">
        <f>VLOOKUP(Ventas!$D953,Productos!$A$1:$D$16,4,FALSE)*Ventas!F953</f>
        <v>1548.45</v>
      </c>
      <c r="D953" s="10">
        <f>VLOOKUP(Ventas!$D953,Productos!$A$1:$D$16,3,FALSE)*Ventas!F953</f>
        <v>775</v>
      </c>
      <c r="E953" s="10">
        <f t="shared" si="14"/>
        <v>773.45</v>
      </c>
      <c r="F953" s="9">
        <f>YEAR(Ventas!G953)</f>
        <v>2015</v>
      </c>
      <c r="G953" s="9">
        <f>MONTH(Ventas!G953)</f>
        <v>5</v>
      </c>
      <c r="H953" s="9" t="str">
        <f>VLOOKUP(Ventas!C953,Países!$A$2:$B$186,2,FALSE)</f>
        <v>Central America and the Caribbean</v>
      </c>
      <c r="I953" s="9" t="str">
        <f>Ventas!E953</f>
        <v>Online</v>
      </c>
    </row>
    <row r="954" spans="2:9" x14ac:dyDescent="0.25">
      <c r="B954" s="12">
        <f>Ventas!F954</f>
        <v>120</v>
      </c>
      <c r="C954" s="10">
        <f>VLOOKUP(Ventas!$D954,Productos!$A$1:$D$16,4,FALSE)*Ventas!F954</f>
        <v>1198.8</v>
      </c>
      <c r="D954" s="10">
        <f>VLOOKUP(Ventas!$D954,Productos!$A$1:$D$16,3,FALSE)*Ventas!F954</f>
        <v>600</v>
      </c>
      <c r="E954" s="10">
        <f t="shared" si="14"/>
        <v>598.79999999999995</v>
      </c>
      <c r="F954" s="9">
        <f>YEAR(Ventas!G954)</f>
        <v>2015</v>
      </c>
      <c r="G954" s="9">
        <f>MONTH(Ventas!G954)</f>
        <v>2</v>
      </c>
      <c r="H954" s="9" t="str">
        <f>VLOOKUP(Ventas!C954,Países!$A$2:$B$186,2,FALSE)</f>
        <v>Europe</v>
      </c>
      <c r="I954" s="9" t="str">
        <f>Ventas!E954</f>
        <v>Online</v>
      </c>
    </row>
    <row r="955" spans="2:9" x14ac:dyDescent="0.25">
      <c r="B955" s="12">
        <f>Ventas!F955</f>
        <v>171</v>
      </c>
      <c r="C955" s="10">
        <f>VLOOKUP(Ventas!$D955,Productos!$A$1:$D$16,4,FALSE)*Ventas!F955</f>
        <v>513</v>
      </c>
      <c r="D955" s="10">
        <f>VLOOKUP(Ventas!$D955,Productos!$A$1:$D$16,3,FALSE)*Ventas!F955</f>
        <v>256.5</v>
      </c>
      <c r="E955" s="10">
        <f t="shared" si="14"/>
        <v>256.5</v>
      </c>
      <c r="F955" s="9">
        <f>YEAR(Ventas!G955)</f>
        <v>2015</v>
      </c>
      <c r="G955" s="9">
        <f>MONTH(Ventas!G955)</f>
        <v>5</v>
      </c>
      <c r="H955" s="9" t="str">
        <f>VLOOKUP(Ventas!C955,Países!$A$2:$B$186,2,FALSE)</f>
        <v>Sub-Saharan Africa</v>
      </c>
      <c r="I955" s="9" t="str">
        <f>Ventas!E955</f>
        <v>Direct</v>
      </c>
    </row>
    <row r="956" spans="2:9" x14ac:dyDescent="0.25">
      <c r="B956" s="12">
        <f>Ventas!F956</f>
        <v>11</v>
      </c>
      <c r="C956" s="10">
        <f>VLOOKUP(Ventas!$D956,Productos!$A$1:$D$16,4,FALSE)*Ventas!F956</f>
        <v>43.89</v>
      </c>
      <c r="D956" s="10">
        <f>VLOOKUP(Ventas!$D956,Productos!$A$1:$D$16,3,FALSE)*Ventas!F956</f>
        <v>22</v>
      </c>
      <c r="E956" s="10">
        <f t="shared" si="14"/>
        <v>21.89</v>
      </c>
      <c r="F956" s="9">
        <f>YEAR(Ventas!G956)</f>
        <v>2015</v>
      </c>
      <c r="G956" s="9">
        <f>MONTH(Ventas!G956)</f>
        <v>3</v>
      </c>
      <c r="H956" s="9" t="str">
        <f>VLOOKUP(Ventas!C956,Países!$A$2:$B$186,2,FALSE)</f>
        <v>Europe</v>
      </c>
      <c r="I956" s="9" t="str">
        <f>Ventas!E956</f>
        <v>Direct</v>
      </c>
    </row>
    <row r="957" spans="2:9" x14ac:dyDescent="0.25">
      <c r="B957" s="12">
        <f>Ventas!F957</f>
        <v>159</v>
      </c>
      <c r="C957" s="10">
        <f>VLOOKUP(Ventas!$D957,Productos!$A$1:$D$16,4,FALSE)*Ventas!F957</f>
        <v>1588.41</v>
      </c>
      <c r="D957" s="10">
        <f>VLOOKUP(Ventas!$D957,Productos!$A$1:$D$16,3,FALSE)*Ventas!F957</f>
        <v>795</v>
      </c>
      <c r="E957" s="10">
        <f t="shared" si="14"/>
        <v>793.41000000000008</v>
      </c>
      <c r="F957" s="9">
        <f>YEAR(Ventas!G957)</f>
        <v>2015</v>
      </c>
      <c r="G957" s="9">
        <f>MONTH(Ventas!G957)</f>
        <v>7</v>
      </c>
      <c r="H957" s="9" t="str">
        <f>VLOOKUP(Ventas!C957,Países!$A$2:$B$186,2,FALSE)</f>
        <v>Asia</v>
      </c>
      <c r="I957" s="9" t="str">
        <f>Ventas!E957</f>
        <v>Retail</v>
      </c>
    </row>
    <row r="958" spans="2:9" x14ac:dyDescent="0.25">
      <c r="B958" s="12">
        <f>Ventas!F958</f>
        <v>66</v>
      </c>
      <c r="C958" s="10">
        <f>VLOOKUP(Ventas!$D958,Productos!$A$1:$D$16,4,FALSE)*Ventas!F958</f>
        <v>396</v>
      </c>
      <c r="D958" s="10">
        <f>VLOOKUP(Ventas!$D958,Productos!$A$1:$D$16,3,FALSE)*Ventas!F958</f>
        <v>198</v>
      </c>
      <c r="E958" s="10">
        <f t="shared" si="14"/>
        <v>198</v>
      </c>
      <c r="F958" s="9">
        <f>YEAR(Ventas!G958)</f>
        <v>2015</v>
      </c>
      <c r="G958" s="9">
        <f>MONTH(Ventas!G958)</f>
        <v>6</v>
      </c>
      <c r="H958" s="9" t="str">
        <f>VLOOKUP(Ventas!C958,Países!$A$2:$B$186,2,FALSE)</f>
        <v>Sub-Saharan Africa</v>
      </c>
      <c r="I958" s="9" t="str">
        <f>Ventas!E958</f>
        <v>Online</v>
      </c>
    </row>
    <row r="959" spans="2:9" x14ac:dyDescent="0.25">
      <c r="B959" s="12">
        <f>Ventas!F959</f>
        <v>143</v>
      </c>
      <c r="C959" s="10">
        <f>VLOOKUP(Ventas!$D959,Productos!$A$1:$D$16,4,FALSE)*Ventas!F959</f>
        <v>1287</v>
      </c>
      <c r="D959" s="10">
        <f>VLOOKUP(Ventas!$D959,Productos!$A$1:$D$16,3,FALSE)*Ventas!F959</f>
        <v>858</v>
      </c>
      <c r="E959" s="10">
        <f t="shared" si="14"/>
        <v>429</v>
      </c>
      <c r="F959" s="9">
        <f>YEAR(Ventas!G959)</f>
        <v>2015</v>
      </c>
      <c r="G959" s="9">
        <f>MONTH(Ventas!G959)</f>
        <v>6</v>
      </c>
      <c r="H959" s="9" t="str">
        <f>VLOOKUP(Ventas!C959,Países!$A$2:$B$186,2,FALSE)</f>
        <v>Australia and Oceania</v>
      </c>
      <c r="I959" s="9" t="str">
        <f>Ventas!E959</f>
        <v>Retail</v>
      </c>
    </row>
    <row r="960" spans="2:9" x14ac:dyDescent="0.25">
      <c r="B960" s="12">
        <f>Ventas!F960</f>
        <v>26</v>
      </c>
      <c r="C960" s="10">
        <f>VLOOKUP(Ventas!$D960,Productos!$A$1:$D$16,4,FALSE)*Ventas!F960</f>
        <v>169</v>
      </c>
      <c r="D960" s="10">
        <f>VLOOKUP(Ventas!$D960,Productos!$A$1:$D$16,3,FALSE)*Ventas!F960</f>
        <v>91</v>
      </c>
      <c r="E960" s="10">
        <f t="shared" si="14"/>
        <v>78</v>
      </c>
      <c r="F960" s="9">
        <f>YEAR(Ventas!G960)</f>
        <v>2015</v>
      </c>
      <c r="G960" s="9">
        <f>MONTH(Ventas!G960)</f>
        <v>5</v>
      </c>
      <c r="H960" s="9" t="str">
        <f>VLOOKUP(Ventas!C960,Países!$A$2:$B$186,2,FALSE)</f>
        <v>Middle East and North Africa</v>
      </c>
      <c r="I960" s="9" t="str">
        <f>Ventas!E960</f>
        <v>Retail</v>
      </c>
    </row>
    <row r="961" spans="2:9" x14ac:dyDescent="0.25">
      <c r="B961" s="12">
        <f>Ventas!F961</f>
        <v>190</v>
      </c>
      <c r="C961" s="10">
        <f>VLOOKUP(Ventas!$D961,Productos!$A$1:$D$16,4,FALSE)*Ventas!F961</f>
        <v>1328.1000000000001</v>
      </c>
      <c r="D961" s="10">
        <f>VLOOKUP(Ventas!$D961,Productos!$A$1:$D$16,3,FALSE)*Ventas!F961</f>
        <v>665</v>
      </c>
      <c r="E961" s="10">
        <f t="shared" si="14"/>
        <v>663.10000000000014</v>
      </c>
      <c r="F961" s="9">
        <f>YEAR(Ventas!G961)</f>
        <v>2015</v>
      </c>
      <c r="G961" s="9">
        <f>MONTH(Ventas!G961)</f>
        <v>5</v>
      </c>
      <c r="H961" s="9" t="str">
        <f>VLOOKUP(Ventas!C961,Países!$A$2:$B$186,2,FALSE)</f>
        <v>Middle East and North Africa</v>
      </c>
      <c r="I961" s="9" t="str">
        <f>Ventas!E961</f>
        <v>Online</v>
      </c>
    </row>
    <row r="962" spans="2:9" x14ac:dyDescent="0.25">
      <c r="B962" s="12">
        <f>Ventas!F962</f>
        <v>3</v>
      </c>
      <c r="C962" s="10">
        <f>VLOOKUP(Ventas!$D962,Productos!$A$1:$D$16,4,FALSE)*Ventas!F962</f>
        <v>20.97</v>
      </c>
      <c r="D962" s="10">
        <f>VLOOKUP(Ventas!$D962,Productos!$A$1:$D$16,3,FALSE)*Ventas!F962</f>
        <v>10.5</v>
      </c>
      <c r="E962" s="10">
        <f t="shared" si="14"/>
        <v>10.469999999999999</v>
      </c>
      <c r="F962" s="9">
        <f>YEAR(Ventas!G962)</f>
        <v>2015</v>
      </c>
      <c r="G962" s="9">
        <f>MONTH(Ventas!G962)</f>
        <v>1</v>
      </c>
      <c r="H962" s="9" t="str">
        <f>VLOOKUP(Ventas!C962,Países!$A$2:$B$186,2,FALSE)</f>
        <v>Sub-Saharan Africa</v>
      </c>
      <c r="I962" s="9" t="str">
        <f>Ventas!E962</f>
        <v>Online</v>
      </c>
    </row>
    <row r="963" spans="2:9" x14ac:dyDescent="0.25">
      <c r="B963" s="12">
        <f>Ventas!F963</f>
        <v>106</v>
      </c>
      <c r="C963" s="10">
        <f>VLOOKUP(Ventas!$D963,Productos!$A$1:$D$16,4,FALSE)*Ventas!F963</f>
        <v>422.94</v>
      </c>
      <c r="D963" s="10">
        <f>VLOOKUP(Ventas!$D963,Productos!$A$1:$D$16,3,FALSE)*Ventas!F963</f>
        <v>212</v>
      </c>
      <c r="E963" s="10">
        <f t="shared" ref="E963:E999" si="15">C963-D963</f>
        <v>210.94</v>
      </c>
      <c r="F963" s="9">
        <f>YEAR(Ventas!G963)</f>
        <v>2015</v>
      </c>
      <c r="G963" s="9">
        <f>MONTH(Ventas!G963)</f>
        <v>1</v>
      </c>
      <c r="H963" s="9" t="str">
        <f>VLOOKUP(Ventas!C963,Países!$A$2:$B$186,2,FALSE)</f>
        <v>Europe</v>
      </c>
      <c r="I963" s="9" t="str">
        <f>Ventas!E963</f>
        <v>Retail</v>
      </c>
    </row>
    <row r="964" spans="2:9" x14ac:dyDescent="0.25">
      <c r="B964" s="12">
        <f>Ventas!F964</f>
        <v>181</v>
      </c>
      <c r="C964" s="10">
        <f>VLOOKUP(Ventas!$D964,Productos!$A$1:$D$16,4,FALSE)*Ventas!F964</f>
        <v>1086</v>
      </c>
      <c r="D964" s="10">
        <f>VLOOKUP(Ventas!$D964,Productos!$A$1:$D$16,3,FALSE)*Ventas!F964</f>
        <v>543</v>
      </c>
      <c r="E964" s="10">
        <f t="shared" si="15"/>
        <v>543</v>
      </c>
      <c r="F964" s="9">
        <f>YEAR(Ventas!G964)</f>
        <v>2015</v>
      </c>
      <c r="G964" s="9">
        <f>MONTH(Ventas!G964)</f>
        <v>3</v>
      </c>
      <c r="H964" s="9" t="str">
        <f>VLOOKUP(Ventas!C964,Países!$A$2:$B$186,2,FALSE)</f>
        <v>Europe</v>
      </c>
      <c r="I964" s="9" t="str">
        <f>Ventas!E964</f>
        <v>Online</v>
      </c>
    </row>
    <row r="965" spans="2:9" x14ac:dyDescent="0.25">
      <c r="B965" s="12">
        <f>Ventas!F965</f>
        <v>141</v>
      </c>
      <c r="C965" s="10">
        <f>VLOOKUP(Ventas!$D965,Productos!$A$1:$D$16,4,FALSE)*Ventas!F965</f>
        <v>423</v>
      </c>
      <c r="D965" s="10">
        <f>VLOOKUP(Ventas!$D965,Productos!$A$1:$D$16,3,FALSE)*Ventas!F965</f>
        <v>211.5</v>
      </c>
      <c r="E965" s="10">
        <f t="shared" si="15"/>
        <v>211.5</v>
      </c>
      <c r="F965" s="9">
        <f>YEAR(Ventas!G965)</f>
        <v>2015</v>
      </c>
      <c r="G965" s="9">
        <f>MONTH(Ventas!G965)</f>
        <v>1</v>
      </c>
      <c r="H965" s="9" t="str">
        <f>VLOOKUP(Ventas!C965,Países!$A$2:$B$186,2,FALSE)</f>
        <v>Middle East and North Africa</v>
      </c>
      <c r="I965" s="9" t="str">
        <f>Ventas!E965</f>
        <v>Retail</v>
      </c>
    </row>
    <row r="966" spans="2:9" x14ac:dyDescent="0.25">
      <c r="B966" s="12">
        <f>Ventas!F966</f>
        <v>64</v>
      </c>
      <c r="C966" s="10">
        <f>VLOOKUP(Ventas!$D966,Productos!$A$1:$D$16,4,FALSE)*Ventas!F966</f>
        <v>192</v>
      </c>
      <c r="D966" s="10">
        <f>VLOOKUP(Ventas!$D966,Productos!$A$1:$D$16,3,FALSE)*Ventas!F966</f>
        <v>96</v>
      </c>
      <c r="E966" s="10">
        <f t="shared" si="15"/>
        <v>96</v>
      </c>
      <c r="F966" s="9">
        <f>YEAR(Ventas!G966)</f>
        <v>2015</v>
      </c>
      <c r="G966" s="9">
        <f>MONTH(Ventas!G966)</f>
        <v>3</v>
      </c>
      <c r="H966" s="9" t="str">
        <f>VLOOKUP(Ventas!C966,Países!$A$2:$B$186,2,FALSE)</f>
        <v>Sub-Saharan Africa</v>
      </c>
      <c r="I966" s="9" t="str">
        <f>Ventas!E966</f>
        <v>Online</v>
      </c>
    </row>
    <row r="967" spans="2:9" x14ac:dyDescent="0.25">
      <c r="B967" s="12">
        <f>Ventas!F967</f>
        <v>204</v>
      </c>
      <c r="C967" s="10">
        <f>VLOOKUP(Ventas!$D967,Productos!$A$1:$D$16,4,FALSE)*Ventas!F967</f>
        <v>1836</v>
      </c>
      <c r="D967" s="10">
        <f>VLOOKUP(Ventas!$D967,Productos!$A$1:$D$16,3,FALSE)*Ventas!F967</f>
        <v>1224</v>
      </c>
      <c r="E967" s="10">
        <f t="shared" si="15"/>
        <v>612</v>
      </c>
      <c r="F967" s="9">
        <f>YEAR(Ventas!G967)</f>
        <v>2015</v>
      </c>
      <c r="G967" s="9">
        <f>MONTH(Ventas!G967)</f>
        <v>7</v>
      </c>
      <c r="H967" s="9" t="str">
        <f>VLOOKUP(Ventas!C967,Países!$A$2:$B$186,2,FALSE)</f>
        <v>Europe</v>
      </c>
      <c r="I967" s="9" t="str">
        <f>Ventas!E967</f>
        <v>Retail</v>
      </c>
    </row>
    <row r="968" spans="2:9" x14ac:dyDescent="0.25">
      <c r="B968" s="12">
        <f>Ventas!F968</f>
        <v>1</v>
      </c>
      <c r="C968" s="10">
        <f>VLOOKUP(Ventas!$D968,Productos!$A$1:$D$16,4,FALSE)*Ventas!F968</f>
        <v>3.99</v>
      </c>
      <c r="D968" s="10">
        <f>VLOOKUP(Ventas!$D968,Productos!$A$1:$D$16,3,FALSE)*Ventas!F968</f>
        <v>2</v>
      </c>
      <c r="E968" s="10">
        <f t="shared" si="15"/>
        <v>1.9900000000000002</v>
      </c>
      <c r="F968" s="9">
        <f>YEAR(Ventas!G968)</f>
        <v>2015</v>
      </c>
      <c r="G968" s="9">
        <f>MONTH(Ventas!G968)</f>
        <v>5</v>
      </c>
      <c r="H968" s="9" t="str">
        <f>VLOOKUP(Ventas!C968,Países!$A$2:$B$186,2,FALSE)</f>
        <v>Sub-Saharan Africa</v>
      </c>
      <c r="I968" s="9" t="str">
        <f>Ventas!E968</f>
        <v>Online</v>
      </c>
    </row>
    <row r="969" spans="2:9" x14ac:dyDescent="0.25">
      <c r="B969" s="12">
        <f>Ventas!F969</f>
        <v>21</v>
      </c>
      <c r="C969" s="10">
        <f>VLOOKUP(Ventas!$D969,Productos!$A$1:$D$16,4,FALSE)*Ventas!F969</f>
        <v>126</v>
      </c>
      <c r="D969" s="10">
        <f>VLOOKUP(Ventas!$D969,Productos!$A$1:$D$16,3,FALSE)*Ventas!F969</f>
        <v>63</v>
      </c>
      <c r="E969" s="10">
        <f t="shared" si="15"/>
        <v>63</v>
      </c>
      <c r="F969" s="9">
        <f>YEAR(Ventas!G969)</f>
        <v>2015</v>
      </c>
      <c r="G969" s="9">
        <f>MONTH(Ventas!G969)</f>
        <v>4</v>
      </c>
      <c r="H969" s="9" t="str">
        <f>VLOOKUP(Ventas!C969,Países!$A$2:$B$186,2,FALSE)</f>
        <v>Sub-Saharan Africa</v>
      </c>
      <c r="I969" s="9" t="str">
        <f>Ventas!E969</f>
        <v>Online</v>
      </c>
    </row>
    <row r="970" spans="2:9" x14ac:dyDescent="0.25">
      <c r="B970" s="12">
        <f>Ventas!F970</f>
        <v>84</v>
      </c>
      <c r="C970" s="10">
        <f>VLOOKUP(Ventas!$D970,Productos!$A$1:$D$16,4,FALSE)*Ventas!F970</f>
        <v>168</v>
      </c>
      <c r="D970" s="10">
        <f>VLOOKUP(Ventas!$D970,Productos!$A$1:$D$16,3,FALSE)*Ventas!F970</f>
        <v>84</v>
      </c>
      <c r="E970" s="10">
        <f t="shared" si="15"/>
        <v>84</v>
      </c>
      <c r="F970" s="9">
        <f>YEAR(Ventas!G970)</f>
        <v>2015</v>
      </c>
      <c r="G970" s="9">
        <f>MONTH(Ventas!G970)</f>
        <v>7</v>
      </c>
      <c r="H970" s="9" t="str">
        <f>VLOOKUP(Ventas!C970,Países!$A$2:$B$186,2,FALSE)</f>
        <v>Asia</v>
      </c>
      <c r="I970" s="9" t="str">
        <f>Ventas!E970</f>
        <v>Online</v>
      </c>
    </row>
    <row r="971" spans="2:9" x14ac:dyDescent="0.25">
      <c r="B971" s="12">
        <f>Ventas!F971</f>
        <v>33</v>
      </c>
      <c r="C971" s="10">
        <f>VLOOKUP(Ventas!$D971,Productos!$A$1:$D$16,4,FALSE)*Ventas!F971</f>
        <v>131.67000000000002</v>
      </c>
      <c r="D971" s="10">
        <f>VLOOKUP(Ventas!$D971,Productos!$A$1:$D$16,3,FALSE)*Ventas!F971</f>
        <v>66</v>
      </c>
      <c r="E971" s="10">
        <f t="shared" si="15"/>
        <v>65.670000000000016</v>
      </c>
      <c r="F971" s="9">
        <f>YEAR(Ventas!G971)</f>
        <v>2015</v>
      </c>
      <c r="G971" s="9">
        <f>MONTH(Ventas!G971)</f>
        <v>8</v>
      </c>
      <c r="H971" s="9" t="str">
        <f>VLOOKUP(Ventas!C971,Países!$A$2:$B$186,2,FALSE)</f>
        <v>Central America and the Caribbean</v>
      </c>
      <c r="I971" s="9" t="str">
        <f>Ventas!E971</f>
        <v>Direct</v>
      </c>
    </row>
    <row r="972" spans="2:9" x14ac:dyDescent="0.25">
      <c r="B972" s="12">
        <f>Ventas!F972</f>
        <v>177</v>
      </c>
      <c r="C972" s="10">
        <f>VLOOKUP(Ventas!$D972,Productos!$A$1:$D$16,4,FALSE)*Ventas!F972</f>
        <v>1062</v>
      </c>
      <c r="D972" s="10">
        <f>VLOOKUP(Ventas!$D972,Productos!$A$1:$D$16,3,FALSE)*Ventas!F972</f>
        <v>531</v>
      </c>
      <c r="E972" s="10">
        <f t="shared" si="15"/>
        <v>531</v>
      </c>
      <c r="F972" s="9">
        <f>YEAR(Ventas!G972)</f>
        <v>2015</v>
      </c>
      <c r="G972" s="9">
        <f>MONTH(Ventas!G972)</f>
        <v>5</v>
      </c>
      <c r="H972" s="9" t="str">
        <f>VLOOKUP(Ventas!C972,Países!$A$2:$B$186,2,FALSE)</f>
        <v>Central America and the Caribbean</v>
      </c>
      <c r="I972" s="9" t="str">
        <f>Ventas!E972</f>
        <v>Retail</v>
      </c>
    </row>
    <row r="973" spans="2:9" x14ac:dyDescent="0.25">
      <c r="B973" s="12">
        <f>Ventas!F973</f>
        <v>162</v>
      </c>
      <c r="C973" s="10">
        <f>VLOOKUP(Ventas!$D973,Productos!$A$1:$D$16,4,FALSE)*Ventas!F973</f>
        <v>729</v>
      </c>
      <c r="D973" s="10">
        <f>VLOOKUP(Ventas!$D973,Productos!$A$1:$D$16,3,FALSE)*Ventas!F973</f>
        <v>405</v>
      </c>
      <c r="E973" s="10">
        <f t="shared" si="15"/>
        <v>324</v>
      </c>
      <c r="F973" s="9">
        <f>YEAR(Ventas!G973)</f>
        <v>2015</v>
      </c>
      <c r="G973" s="9">
        <f>MONTH(Ventas!G973)</f>
        <v>3</v>
      </c>
      <c r="H973" s="9" t="str">
        <f>VLOOKUP(Ventas!C973,Países!$A$2:$B$186,2,FALSE)</f>
        <v>Middle East and North Africa</v>
      </c>
      <c r="I973" s="9" t="str">
        <f>Ventas!E973</f>
        <v>Online</v>
      </c>
    </row>
    <row r="974" spans="2:9" x14ac:dyDescent="0.25">
      <c r="B974" s="12">
        <f>Ventas!F974</f>
        <v>204</v>
      </c>
      <c r="C974" s="10">
        <f>VLOOKUP(Ventas!$D974,Productos!$A$1:$D$16,4,FALSE)*Ventas!F974</f>
        <v>1425.96</v>
      </c>
      <c r="D974" s="10">
        <f>VLOOKUP(Ventas!$D974,Productos!$A$1:$D$16,3,FALSE)*Ventas!F974</f>
        <v>714</v>
      </c>
      <c r="E974" s="10">
        <f t="shared" si="15"/>
        <v>711.96</v>
      </c>
      <c r="F974" s="9">
        <f>YEAR(Ventas!G974)</f>
        <v>2015</v>
      </c>
      <c r="G974" s="9">
        <f>MONTH(Ventas!G974)</f>
        <v>8</v>
      </c>
      <c r="H974" s="9" t="str">
        <f>VLOOKUP(Ventas!C974,Países!$A$2:$B$186,2,FALSE)</f>
        <v>Central America and the Caribbean</v>
      </c>
      <c r="I974" s="9" t="str">
        <f>Ventas!E974</f>
        <v>Online</v>
      </c>
    </row>
    <row r="975" spans="2:9" x14ac:dyDescent="0.25">
      <c r="B975" s="12">
        <f>Ventas!F975</f>
        <v>138</v>
      </c>
      <c r="C975" s="10">
        <f>VLOOKUP(Ventas!$D975,Productos!$A$1:$D$16,4,FALSE)*Ventas!F975</f>
        <v>964.62</v>
      </c>
      <c r="D975" s="10">
        <f>VLOOKUP(Ventas!$D975,Productos!$A$1:$D$16,3,FALSE)*Ventas!F975</f>
        <v>483</v>
      </c>
      <c r="E975" s="10">
        <f t="shared" si="15"/>
        <v>481.62</v>
      </c>
      <c r="F975" s="9">
        <f>YEAR(Ventas!G975)</f>
        <v>2015</v>
      </c>
      <c r="G975" s="9">
        <f>MONTH(Ventas!G975)</f>
        <v>7</v>
      </c>
      <c r="H975" s="9" t="str">
        <f>VLOOKUP(Ventas!C975,Países!$A$2:$B$186,2,FALSE)</f>
        <v>Sub-Saharan Africa</v>
      </c>
      <c r="I975" s="9" t="str">
        <f>Ventas!E975</f>
        <v>Online</v>
      </c>
    </row>
    <row r="976" spans="2:9" x14ac:dyDescent="0.25">
      <c r="B976" s="12">
        <f>Ventas!F976</f>
        <v>195</v>
      </c>
      <c r="C976" s="10">
        <f>VLOOKUP(Ventas!$D976,Productos!$A$1:$D$16,4,FALSE)*Ventas!F976</f>
        <v>1755</v>
      </c>
      <c r="D976" s="10">
        <f>VLOOKUP(Ventas!$D976,Productos!$A$1:$D$16,3,FALSE)*Ventas!F976</f>
        <v>1170</v>
      </c>
      <c r="E976" s="10">
        <f t="shared" si="15"/>
        <v>585</v>
      </c>
      <c r="F976" s="9">
        <f>YEAR(Ventas!G976)</f>
        <v>2015</v>
      </c>
      <c r="G976" s="9">
        <f>MONTH(Ventas!G976)</f>
        <v>2</v>
      </c>
      <c r="H976" s="9" t="str">
        <f>VLOOKUP(Ventas!C976,Países!$A$2:$B$186,2,FALSE)</f>
        <v>Middle East and North Africa</v>
      </c>
      <c r="I976" s="9" t="str">
        <f>Ventas!E976</f>
        <v>Retail</v>
      </c>
    </row>
    <row r="977" spans="2:9" x14ac:dyDescent="0.25">
      <c r="B977" s="12">
        <f>Ventas!F977</f>
        <v>110</v>
      </c>
      <c r="C977" s="10">
        <f>VLOOKUP(Ventas!$D977,Productos!$A$1:$D$16,4,FALSE)*Ventas!F977</f>
        <v>330</v>
      </c>
      <c r="D977" s="10">
        <f>VLOOKUP(Ventas!$D977,Productos!$A$1:$D$16,3,FALSE)*Ventas!F977</f>
        <v>165</v>
      </c>
      <c r="E977" s="10">
        <f t="shared" si="15"/>
        <v>165</v>
      </c>
      <c r="F977" s="9">
        <f>YEAR(Ventas!G977)</f>
        <v>2015</v>
      </c>
      <c r="G977" s="9">
        <f>MONTH(Ventas!G977)</f>
        <v>7</v>
      </c>
      <c r="H977" s="9" t="str">
        <f>VLOOKUP(Ventas!C977,Países!$A$2:$B$186,2,FALSE)</f>
        <v>Australia and Oceania</v>
      </c>
      <c r="I977" s="9" t="str">
        <f>Ventas!E977</f>
        <v>Direct</v>
      </c>
    </row>
    <row r="978" spans="2:9" x14ac:dyDescent="0.25">
      <c r="B978" s="12">
        <f>Ventas!F978</f>
        <v>59</v>
      </c>
      <c r="C978" s="10">
        <f>VLOOKUP(Ventas!$D978,Productos!$A$1:$D$16,4,FALSE)*Ventas!F978</f>
        <v>383.5</v>
      </c>
      <c r="D978" s="10">
        <f>VLOOKUP(Ventas!$D978,Productos!$A$1:$D$16,3,FALSE)*Ventas!F978</f>
        <v>206.5</v>
      </c>
      <c r="E978" s="10">
        <f t="shared" si="15"/>
        <v>177</v>
      </c>
      <c r="F978" s="9">
        <f>YEAR(Ventas!G978)</f>
        <v>2015</v>
      </c>
      <c r="G978" s="9">
        <f>MONTH(Ventas!G978)</f>
        <v>5</v>
      </c>
      <c r="H978" s="9" t="str">
        <f>VLOOKUP(Ventas!C978,Países!$A$2:$B$186,2,FALSE)</f>
        <v>Middle East and North Africa</v>
      </c>
      <c r="I978" s="9" t="str">
        <f>Ventas!E978</f>
        <v>Retail</v>
      </c>
    </row>
    <row r="979" spans="2:9" x14ac:dyDescent="0.25">
      <c r="B979" s="12">
        <f>Ventas!F979</f>
        <v>201</v>
      </c>
      <c r="C979" s="10">
        <f>VLOOKUP(Ventas!$D979,Productos!$A$1:$D$16,4,FALSE)*Ventas!F979</f>
        <v>801.99</v>
      </c>
      <c r="D979" s="10">
        <f>VLOOKUP(Ventas!$D979,Productos!$A$1:$D$16,3,FALSE)*Ventas!F979</f>
        <v>402</v>
      </c>
      <c r="E979" s="10">
        <f t="shared" si="15"/>
        <v>399.99</v>
      </c>
      <c r="F979" s="9">
        <f>YEAR(Ventas!G979)</f>
        <v>2015</v>
      </c>
      <c r="G979" s="9">
        <f>MONTH(Ventas!G979)</f>
        <v>6</v>
      </c>
      <c r="H979" s="9" t="str">
        <f>VLOOKUP(Ventas!C979,Países!$A$2:$B$186,2,FALSE)</f>
        <v>Asia</v>
      </c>
      <c r="I979" s="9" t="str">
        <f>Ventas!E979</f>
        <v>Retail</v>
      </c>
    </row>
    <row r="980" spans="2:9" x14ac:dyDescent="0.25">
      <c r="B980" s="12">
        <f>Ventas!F980</f>
        <v>44</v>
      </c>
      <c r="C980" s="10">
        <f>VLOOKUP(Ventas!$D980,Productos!$A$1:$D$16,4,FALSE)*Ventas!F980</f>
        <v>175.56</v>
      </c>
      <c r="D980" s="10">
        <f>VLOOKUP(Ventas!$D980,Productos!$A$1:$D$16,3,FALSE)*Ventas!F980</f>
        <v>88</v>
      </c>
      <c r="E980" s="10">
        <f t="shared" si="15"/>
        <v>87.56</v>
      </c>
      <c r="F980" s="9">
        <f>YEAR(Ventas!G980)</f>
        <v>2015</v>
      </c>
      <c r="G980" s="9">
        <f>MONTH(Ventas!G980)</f>
        <v>5</v>
      </c>
      <c r="H980" s="9" t="str">
        <f>VLOOKUP(Ventas!C980,Países!$A$2:$B$186,2,FALSE)</f>
        <v>Asia</v>
      </c>
      <c r="I980" s="9" t="str">
        <f>Ventas!E980</f>
        <v>Direct</v>
      </c>
    </row>
    <row r="981" spans="2:9" x14ac:dyDescent="0.25">
      <c r="B981" s="12">
        <f>Ventas!F981</f>
        <v>36</v>
      </c>
      <c r="C981" s="10">
        <f>VLOOKUP(Ventas!$D981,Productos!$A$1:$D$16,4,FALSE)*Ventas!F981</f>
        <v>143.64000000000001</v>
      </c>
      <c r="D981" s="10">
        <f>VLOOKUP(Ventas!$D981,Productos!$A$1:$D$16,3,FALSE)*Ventas!F981</f>
        <v>72</v>
      </c>
      <c r="E981" s="10">
        <f t="shared" si="15"/>
        <v>71.640000000000015</v>
      </c>
      <c r="F981" s="9">
        <f>YEAR(Ventas!G981)</f>
        <v>2015</v>
      </c>
      <c r="G981" s="9">
        <f>MONTH(Ventas!G981)</f>
        <v>8</v>
      </c>
      <c r="H981" s="9" t="str">
        <f>VLOOKUP(Ventas!C981,Países!$A$2:$B$186,2,FALSE)</f>
        <v>Europe</v>
      </c>
      <c r="I981" s="9" t="str">
        <f>Ventas!E981</f>
        <v>Retail</v>
      </c>
    </row>
    <row r="982" spans="2:9" x14ac:dyDescent="0.25">
      <c r="B982" s="12">
        <f>Ventas!F982</f>
        <v>11</v>
      </c>
      <c r="C982" s="10">
        <f>VLOOKUP(Ventas!$D982,Productos!$A$1:$D$16,4,FALSE)*Ventas!F982</f>
        <v>66</v>
      </c>
      <c r="D982" s="10">
        <f>VLOOKUP(Ventas!$D982,Productos!$A$1:$D$16,3,FALSE)*Ventas!F982</f>
        <v>33</v>
      </c>
      <c r="E982" s="10">
        <f t="shared" si="15"/>
        <v>33</v>
      </c>
      <c r="F982" s="9">
        <f>YEAR(Ventas!G982)</f>
        <v>2015</v>
      </c>
      <c r="G982" s="9">
        <f>MONTH(Ventas!G982)</f>
        <v>4</v>
      </c>
      <c r="H982" s="9" t="str">
        <f>VLOOKUP(Ventas!C982,Países!$A$2:$B$186,2,FALSE)</f>
        <v>Sub-Saharan Africa</v>
      </c>
      <c r="I982" s="9" t="str">
        <f>Ventas!E982</f>
        <v>Retail</v>
      </c>
    </row>
    <row r="983" spans="2:9" x14ac:dyDescent="0.25">
      <c r="B983" s="12">
        <f>Ventas!F983</f>
        <v>88</v>
      </c>
      <c r="C983" s="10">
        <f>VLOOKUP(Ventas!$D983,Productos!$A$1:$D$16,4,FALSE)*Ventas!F983</f>
        <v>351.12</v>
      </c>
      <c r="D983" s="10">
        <f>VLOOKUP(Ventas!$D983,Productos!$A$1:$D$16,3,FALSE)*Ventas!F983</f>
        <v>176</v>
      </c>
      <c r="E983" s="10">
        <f t="shared" si="15"/>
        <v>175.12</v>
      </c>
      <c r="F983" s="9">
        <f>YEAR(Ventas!G983)</f>
        <v>2015</v>
      </c>
      <c r="G983" s="9">
        <f>MONTH(Ventas!G983)</f>
        <v>2</v>
      </c>
      <c r="H983" s="9" t="str">
        <f>VLOOKUP(Ventas!C983,Países!$A$2:$B$186,2,FALSE)</f>
        <v>Europe</v>
      </c>
      <c r="I983" s="9" t="str">
        <f>Ventas!E983</f>
        <v>Retail</v>
      </c>
    </row>
    <row r="984" spans="2:9" x14ac:dyDescent="0.25">
      <c r="B984" s="12">
        <f>Ventas!F984</f>
        <v>16</v>
      </c>
      <c r="C984" s="10">
        <f>VLOOKUP(Ventas!$D984,Productos!$A$1:$D$16,4,FALSE)*Ventas!F984</f>
        <v>63.84</v>
      </c>
      <c r="D984" s="10">
        <f>VLOOKUP(Ventas!$D984,Productos!$A$1:$D$16,3,FALSE)*Ventas!F984</f>
        <v>32</v>
      </c>
      <c r="E984" s="10">
        <f t="shared" si="15"/>
        <v>31.840000000000003</v>
      </c>
      <c r="F984" s="9">
        <f>YEAR(Ventas!G984)</f>
        <v>2015</v>
      </c>
      <c r="G984" s="9">
        <f>MONTH(Ventas!G984)</f>
        <v>8</v>
      </c>
      <c r="H984" s="9" t="str">
        <f>VLOOKUP(Ventas!C984,Países!$A$2:$B$186,2,FALSE)</f>
        <v>Australia and Oceania</v>
      </c>
      <c r="I984" s="9" t="str">
        <f>Ventas!E984</f>
        <v>Online</v>
      </c>
    </row>
    <row r="985" spans="2:9" x14ac:dyDescent="0.25">
      <c r="B985" s="12">
        <f>Ventas!F985</f>
        <v>138</v>
      </c>
      <c r="C985" s="10">
        <f>VLOOKUP(Ventas!$D985,Productos!$A$1:$D$16,4,FALSE)*Ventas!F985</f>
        <v>621</v>
      </c>
      <c r="D985" s="10">
        <f>VLOOKUP(Ventas!$D985,Productos!$A$1:$D$16,3,FALSE)*Ventas!F985</f>
        <v>345</v>
      </c>
      <c r="E985" s="10">
        <f t="shared" si="15"/>
        <v>276</v>
      </c>
      <c r="F985" s="9">
        <f>YEAR(Ventas!G985)</f>
        <v>2015</v>
      </c>
      <c r="G985" s="9">
        <f>MONTH(Ventas!G985)</f>
        <v>7</v>
      </c>
      <c r="H985" s="9" t="str">
        <f>VLOOKUP(Ventas!C985,Países!$A$2:$B$186,2,FALSE)</f>
        <v>Europe</v>
      </c>
      <c r="I985" s="9" t="str">
        <f>Ventas!E985</f>
        <v>Retail</v>
      </c>
    </row>
    <row r="986" spans="2:9" x14ac:dyDescent="0.25">
      <c r="B986" s="12">
        <f>Ventas!F986</f>
        <v>92</v>
      </c>
      <c r="C986" s="10">
        <f>VLOOKUP(Ventas!$D986,Productos!$A$1:$D$16,4,FALSE)*Ventas!F986</f>
        <v>919.08</v>
      </c>
      <c r="D986" s="10">
        <f>VLOOKUP(Ventas!$D986,Productos!$A$1:$D$16,3,FALSE)*Ventas!F986</f>
        <v>460</v>
      </c>
      <c r="E986" s="10">
        <f t="shared" si="15"/>
        <v>459.08000000000004</v>
      </c>
      <c r="F986" s="9">
        <f>YEAR(Ventas!G986)</f>
        <v>2015</v>
      </c>
      <c r="G986" s="9">
        <f>MONTH(Ventas!G986)</f>
        <v>6</v>
      </c>
      <c r="H986" s="9" t="str">
        <f>VLOOKUP(Ventas!C986,Países!$A$2:$B$186,2,FALSE)</f>
        <v>Europe</v>
      </c>
      <c r="I986" s="9" t="str">
        <f>Ventas!E986</f>
        <v>Retail</v>
      </c>
    </row>
    <row r="987" spans="2:9" x14ac:dyDescent="0.25">
      <c r="B987" s="12">
        <f>Ventas!F987</f>
        <v>74</v>
      </c>
      <c r="C987" s="10">
        <f>VLOOKUP(Ventas!$D987,Productos!$A$1:$D$16,4,FALSE)*Ventas!F987</f>
        <v>295.26</v>
      </c>
      <c r="D987" s="10">
        <f>VLOOKUP(Ventas!$D987,Productos!$A$1:$D$16,3,FALSE)*Ventas!F987</f>
        <v>148</v>
      </c>
      <c r="E987" s="10">
        <f t="shared" si="15"/>
        <v>147.26</v>
      </c>
      <c r="F987" s="9">
        <f>YEAR(Ventas!G987)</f>
        <v>2015</v>
      </c>
      <c r="G987" s="9">
        <f>MONTH(Ventas!G987)</f>
        <v>7</v>
      </c>
      <c r="H987" s="9" t="str">
        <f>VLOOKUP(Ventas!C987,Países!$A$2:$B$186,2,FALSE)</f>
        <v>Europe</v>
      </c>
      <c r="I987" s="9" t="str">
        <f>Ventas!E987</f>
        <v>Retail</v>
      </c>
    </row>
    <row r="988" spans="2:9" x14ac:dyDescent="0.25">
      <c r="B988" s="12">
        <f>Ventas!F988</f>
        <v>144</v>
      </c>
      <c r="C988" s="10">
        <f>VLOOKUP(Ventas!$D988,Productos!$A$1:$D$16,4,FALSE)*Ventas!F988</f>
        <v>288</v>
      </c>
      <c r="D988" s="10">
        <f>VLOOKUP(Ventas!$D988,Productos!$A$1:$D$16,3,FALSE)*Ventas!F988</f>
        <v>144</v>
      </c>
      <c r="E988" s="10">
        <f t="shared" si="15"/>
        <v>144</v>
      </c>
      <c r="F988" s="9">
        <f>YEAR(Ventas!G988)</f>
        <v>2015</v>
      </c>
      <c r="G988" s="9">
        <f>MONTH(Ventas!G988)</f>
        <v>5</v>
      </c>
      <c r="H988" s="9" t="str">
        <f>VLOOKUP(Ventas!C988,Países!$A$2:$B$186,2,FALSE)</f>
        <v>Sub-Saharan Africa</v>
      </c>
      <c r="I988" s="9" t="str">
        <f>Ventas!E988</f>
        <v>Retail</v>
      </c>
    </row>
    <row r="989" spans="2:9" x14ac:dyDescent="0.25">
      <c r="B989" s="12">
        <f>Ventas!F989</f>
        <v>151</v>
      </c>
      <c r="C989" s="10">
        <f>VLOOKUP(Ventas!$D989,Productos!$A$1:$D$16,4,FALSE)*Ventas!F989</f>
        <v>302</v>
      </c>
      <c r="D989" s="10">
        <f>VLOOKUP(Ventas!$D989,Productos!$A$1:$D$16,3,FALSE)*Ventas!F989</f>
        <v>151</v>
      </c>
      <c r="E989" s="10">
        <f t="shared" si="15"/>
        <v>151</v>
      </c>
      <c r="F989" s="9">
        <f>YEAR(Ventas!G989)</f>
        <v>2015</v>
      </c>
      <c r="G989" s="9">
        <f>MONTH(Ventas!G989)</f>
        <v>3</v>
      </c>
      <c r="H989" s="9" t="str">
        <f>VLOOKUP(Ventas!C989,Países!$A$2:$B$186,2,FALSE)</f>
        <v>Europe</v>
      </c>
      <c r="I989" s="9" t="str">
        <f>Ventas!E989</f>
        <v>Direct</v>
      </c>
    </row>
    <row r="990" spans="2:9" x14ac:dyDescent="0.25">
      <c r="B990" s="12">
        <f>Ventas!F990</f>
        <v>11</v>
      </c>
      <c r="C990" s="10">
        <f>VLOOKUP(Ventas!$D990,Productos!$A$1:$D$16,4,FALSE)*Ventas!F990</f>
        <v>49.5</v>
      </c>
      <c r="D990" s="10">
        <f>VLOOKUP(Ventas!$D990,Productos!$A$1:$D$16,3,FALSE)*Ventas!F990</f>
        <v>27.5</v>
      </c>
      <c r="E990" s="10">
        <f t="shared" si="15"/>
        <v>22</v>
      </c>
      <c r="F990" s="9">
        <f>YEAR(Ventas!G990)</f>
        <v>2015</v>
      </c>
      <c r="G990" s="9">
        <f>MONTH(Ventas!G990)</f>
        <v>3</v>
      </c>
      <c r="H990" s="9" t="str">
        <f>VLOOKUP(Ventas!C990,Países!$A$2:$B$186,2,FALSE)</f>
        <v>Middle East and North Africa</v>
      </c>
      <c r="I990" s="9" t="str">
        <f>Ventas!E990</f>
        <v>Retail</v>
      </c>
    </row>
    <row r="991" spans="2:9" x14ac:dyDescent="0.25">
      <c r="B991" s="12">
        <f>Ventas!F991</f>
        <v>15</v>
      </c>
      <c r="C991" s="10">
        <f>VLOOKUP(Ventas!$D991,Productos!$A$1:$D$16,4,FALSE)*Ventas!F991</f>
        <v>97.5</v>
      </c>
      <c r="D991" s="10">
        <f>VLOOKUP(Ventas!$D991,Productos!$A$1:$D$16,3,FALSE)*Ventas!F991</f>
        <v>52.5</v>
      </c>
      <c r="E991" s="10">
        <f t="shared" si="15"/>
        <v>45</v>
      </c>
      <c r="F991" s="9">
        <f>YEAR(Ventas!G991)</f>
        <v>2015</v>
      </c>
      <c r="G991" s="9">
        <f>MONTH(Ventas!G991)</f>
        <v>4</v>
      </c>
      <c r="H991" s="9" t="str">
        <f>VLOOKUP(Ventas!C991,Países!$A$2:$B$186,2,FALSE)</f>
        <v>Europe</v>
      </c>
      <c r="I991" s="9" t="str">
        <f>Ventas!E991</f>
        <v>Online</v>
      </c>
    </row>
    <row r="992" spans="2:9" x14ac:dyDescent="0.25">
      <c r="B992" s="12">
        <f>Ventas!F992</f>
        <v>170</v>
      </c>
      <c r="C992" s="10">
        <f>VLOOKUP(Ventas!$D992,Productos!$A$1:$D$16,4,FALSE)*Ventas!F992</f>
        <v>678.30000000000007</v>
      </c>
      <c r="D992" s="10">
        <f>VLOOKUP(Ventas!$D992,Productos!$A$1:$D$16,3,FALSE)*Ventas!F992</f>
        <v>340</v>
      </c>
      <c r="E992" s="10">
        <f t="shared" si="15"/>
        <v>338.30000000000007</v>
      </c>
      <c r="F992" s="9">
        <f>YEAR(Ventas!G992)</f>
        <v>2015</v>
      </c>
      <c r="G992" s="9">
        <f>MONTH(Ventas!G992)</f>
        <v>6</v>
      </c>
      <c r="H992" s="9" t="str">
        <f>VLOOKUP(Ventas!C992,Países!$A$2:$B$186,2,FALSE)</f>
        <v>Sub-Saharan Africa</v>
      </c>
      <c r="I992" s="9" t="str">
        <f>Ventas!E992</f>
        <v>Retail</v>
      </c>
    </row>
    <row r="993" spans="2:9" x14ac:dyDescent="0.25">
      <c r="B993" s="12">
        <f>Ventas!F993</f>
        <v>77</v>
      </c>
      <c r="C993" s="10">
        <f>VLOOKUP(Ventas!$D993,Productos!$A$1:$D$16,4,FALSE)*Ventas!F993</f>
        <v>462</v>
      </c>
      <c r="D993" s="10">
        <f>VLOOKUP(Ventas!$D993,Productos!$A$1:$D$16,3,FALSE)*Ventas!F993</f>
        <v>231</v>
      </c>
      <c r="E993" s="10">
        <f t="shared" si="15"/>
        <v>231</v>
      </c>
      <c r="F993" s="9">
        <f>YEAR(Ventas!G993)</f>
        <v>2015</v>
      </c>
      <c r="G993" s="9">
        <f>MONTH(Ventas!G993)</f>
        <v>5</v>
      </c>
      <c r="H993" s="9" t="str">
        <f>VLOOKUP(Ventas!C993,Países!$A$2:$B$186,2,FALSE)</f>
        <v>Middle East and North Africa</v>
      </c>
      <c r="I993" s="9" t="str">
        <f>Ventas!E993</f>
        <v>Retail</v>
      </c>
    </row>
    <row r="994" spans="2:9" x14ac:dyDescent="0.25">
      <c r="B994" s="12">
        <f>Ventas!F994</f>
        <v>6</v>
      </c>
      <c r="C994" s="10">
        <f>VLOOKUP(Ventas!$D994,Productos!$A$1:$D$16,4,FALSE)*Ventas!F994</f>
        <v>54</v>
      </c>
      <c r="D994" s="10">
        <f>VLOOKUP(Ventas!$D994,Productos!$A$1:$D$16,3,FALSE)*Ventas!F994</f>
        <v>36</v>
      </c>
      <c r="E994" s="10">
        <f t="shared" si="15"/>
        <v>18</v>
      </c>
      <c r="F994" s="9">
        <f>YEAR(Ventas!G994)</f>
        <v>2015</v>
      </c>
      <c r="G994" s="9">
        <f>MONTH(Ventas!G994)</f>
        <v>7</v>
      </c>
      <c r="H994" s="9" t="str">
        <f>VLOOKUP(Ventas!C994,Países!$A$2:$B$186,2,FALSE)</f>
        <v>Central America and the Caribbean</v>
      </c>
      <c r="I994" s="9" t="str">
        <f>Ventas!E994</f>
        <v>Retail</v>
      </c>
    </row>
    <row r="995" spans="2:9" x14ac:dyDescent="0.25">
      <c r="B995" s="12">
        <f>Ventas!F995</f>
        <v>189</v>
      </c>
      <c r="C995" s="10">
        <f>VLOOKUP(Ventas!$D995,Productos!$A$1:$D$16,4,FALSE)*Ventas!F995</f>
        <v>1134</v>
      </c>
      <c r="D995" s="10">
        <f>VLOOKUP(Ventas!$D995,Productos!$A$1:$D$16,3,FALSE)*Ventas!F995</f>
        <v>567</v>
      </c>
      <c r="E995" s="10">
        <f t="shared" si="15"/>
        <v>567</v>
      </c>
      <c r="F995" s="9">
        <f>YEAR(Ventas!G995)</f>
        <v>2015</v>
      </c>
      <c r="G995" s="9">
        <f>MONTH(Ventas!G995)</f>
        <v>1</v>
      </c>
      <c r="H995" s="9" t="str">
        <f>VLOOKUP(Ventas!C995,Países!$A$2:$B$186,2,FALSE)</f>
        <v>Asia</v>
      </c>
      <c r="I995" s="9" t="str">
        <f>Ventas!E995</f>
        <v>Online</v>
      </c>
    </row>
    <row r="996" spans="2:9" x14ac:dyDescent="0.25">
      <c r="B996" s="12">
        <f>Ventas!F996</f>
        <v>43</v>
      </c>
      <c r="C996" s="10">
        <f>VLOOKUP(Ventas!$D996,Productos!$A$1:$D$16,4,FALSE)*Ventas!F996</f>
        <v>279.5</v>
      </c>
      <c r="D996" s="10">
        <f>VLOOKUP(Ventas!$D996,Productos!$A$1:$D$16,3,FALSE)*Ventas!F996</f>
        <v>150.5</v>
      </c>
      <c r="E996" s="10">
        <f t="shared" si="15"/>
        <v>129</v>
      </c>
      <c r="F996" s="9">
        <f>YEAR(Ventas!G996)</f>
        <v>2015</v>
      </c>
      <c r="G996" s="9">
        <f>MONTH(Ventas!G996)</f>
        <v>5</v>
      </c>
      <c r="H996" s="9" t="str">
        <f>VLOOKUP(Ventas!C996,Países!$A$2:$B$186,2,FALSE)</f>
        <v>Australia and Oceania</v>
      </c>
      <c r="I996" s="9" t="str">
        <f>Ventas!E996</f>
        <v>Retail</v>
      </c>
    </row>
    <row r="997" spans="2:9" x14ac:dyDescent="0.25">
      <c r="B997" s="12">
        <f>Ventas!F997</f>
        <v>17</v>
      </c>
      <c r="C997" s="10">
        <f>VLOOKUP(Ventas!$D997,Productos!$A$1:$D$16,4,FALSE)*Ventas!F997</f>
        <v>153</v>
      </c>
      <c r="D997" s="10">
        <f>VLOOKUP(Ventas!$D997,Productos!$A$1:$D$16,3,FALSE)*Ventas!F997</f>
        <v>102</v>
      </c>
      <c r="E997" s="10">
        <f t="shared" si="15"/>
        <v>51</v>
      </c>
      <c r="F997" s="9">
        <f>YEAR(Ventas!G997)</f>
        <v>2015</v>
      </c>
      <c r="G997" s="9">
        <f>MONTH(Ventas!G997)</f>
        <v>2</v>
      </c>
      <c r="H997" s="9" t="str">
        <f>VLOOKUP(Ventas!C997,Países!$A$2:$B$186,2,FALSE)</f>
        <v>Europe</v>
      </c>
      <c r="I997" s="9" t="str">
        <f>Ventas!E997</f>
        <v>Retail</v>
      </c>
    </row>
    <row r="998" spans="2:9" x14ac:dyDescent="0.25">
      <c r="B998" s="12">
        <f>Ventas!F998</f>
        <v>80</v>
      </c>
      <c r="C998" s="10">
        <f>VLOOKUP(Ventas!$D998,Productos!$A$1:$D$16,4,FALSE)*Ventas!F998</f>
        <v>559.20000000000005</v>
      </c>
      <c r="D998" s="10">
        <f>VLOOKUP(Ventas!$D998,Productos!$A$1:$D$16,3,FALSE)*Ventas!F998</f>
        <v>280</v>
      </c>
      <c r="E998" s="10">
        <f t="shared" si="15"/>
        <v>279.20000000000005</v>
      </c>
      <c r="F998" s="9">
        <f>YEAR(Ventas!G998)</f>
        <v>2015</v>
      </c>
      <c r="G998" s="9">
        <f>MONTH(Ventas!G998)</f>
        <v>1</v>
      </c>
      <c r="H998" s="9" t="str">
        <f>VLOOKUP(Ventas!C998,Países!$A$2:$B$186,2,FALSE)</f>
        <v>Europe</v>
      </c>
      <c r="I998" s="9" t="str">
        <f>Ventas!E998</f>
        <v>Retail</v>
      </c>
    </row>
    <row r="999" spans="2:9" x14ac:dyDescent="0.25">
      <c r="B999" s="12">
        <f>Ventas!F999</f>
        <v>138</v>
      </c>
      <c r="C999" s="10">
        <f>VLOOKUP(Ventas!$D999,Productos!$A$1:$D$16,4,FALSE)*Ventas!F999</f>
        <v>897</v>
      </c>
      <c r="D999" s="10">
        <f>VLOOKUP(Ventas!$D999,Productos!$A$1:$D$16,3,FALSE)*Ventas!F999</f>
        <v>483</v>
      </c>
      <c r="E999" s="10">
        <f t="shared" si="15"/>
        <v>414</v>
      </c>
      <c r="F999" s="9">
        <f>YEAR(Ventas!G999)</f>
        <v>2015</v>
      </c>
      <c r="G999" s="9">
        <f>MONTH(Ventas!G999)</f>
        <v>8</v>
      </c>
      <c r="H999" s="9" t="str">
        <f>VLOOKUP(Ventas!C999,Países!$A$2:$B$186,2,FALSE)</f>
        <v>Asia</v>
      </c>
      <c r="I999" s="9" t="str">
        <f>Ventas!E999</f>
        <v>Online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1DE7-121D-459C-8A66-ABDBDABE0743}">
  <dimension ref="A1:K1000"/>
  <sheetViews>
    <sheetView workbookViewId="0">
      <selection activeCell="H2" sqref="H2"/>
    </sheetView>
  </sheetViews>
  <sheetFormatPr baseColWidth="10" defaultColWidth="8.88671875" defaultRowHeight="13.2" x14ac:dyDescent="0.25"/>
  <cols>
    <col min="1" max="1" width="9" bestFit="1" customWidth="1"/>
    <col min="2" max="2" width="29.33203125" bestFit="1" customWidth="1"/>
    <col min="3" max="3" width="29.44140625" bestFit="1" customWidth="1"/>
    <col min="4" max="4" width="33" customWidth="1"/>
    <col min="5" max="5" width="11" bestFit="1" customWidth="1"/>
    <col min="6" max="6" width="13.33203125" bestFit="1" customWidth="1"/>
    <col min="7" max="8" width="13.33203125" customWidth="1"/>
    <col min="9" max="9" width="12.33203125" bestFit="1" customWidth="1"/>
    <col min="10" max="10" width="12.88671875" bestFit="1" customWidth="1"/>
    <col min="11" max="11" width="11.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1200</v>
      </c>
      <c r="E1" s="1" t="s">
        <v>3</v>
      </c>
      <c r="F1" s="1" t="s">
        <v>1184</v>
      </c>
      <c r="G1" s="1" t="s">
        <v>1185</v>
      </c>
      <c r="H1" s="1" t="s">
        <v>1186</v>
      </c>
      <c r="I1" s="1" t="s">
        <v>4</v>
      </c>
      <c r="J1" s="1" t="s">
        <v>5</v>
      </c>
      <c r="K1" s="3" t="s">
        <v>6</v>
      </c>
    </row>
    <row r="2" spans="1:11" x14ac:dyDescent="0.25">
      <c r="A2" s="4">
        <v>23262</v>
      </c>
      <c r="B2" s="4" t="s">
        <v>7</v>
      </c>
      <c r="C2" s="4" t="s">
        <v>8</v>
      </c>
      <c r="D2" s="4" t="str">
        <f>VLOOKUP(C2,Países!$A$1:$B$186,2,TRUE)</f>
        <v>Sub-Saharan Africa</v>
      </c>
      <c r="E2" s="4" t="s">
        <v>9</v>
      </c>
      <c r="F2" s="4" t="str">
        <f>VLOOKUP(E2,Productos!$A$2:$D$13,2,TRUE)</f>
        <v>garrafa 1l</v>
      </c>
      <c r="G2" s="4">
        <f>VLOOKUP(E2,Productos!$A$2:$D$13,3,TRUE)</f>
        <v>1</v>
      </c>
      <c r="H2" s="4">
        <f>VLOOKUP(E2,Productos!$A$2:$D$13,4,TRUE)</f>
        <v>2</v>
      </c>
      <c r="I2" s="4" t="s">
        <v>10</v>
      </c>
      <c r="J2" s="4">
        <v>117</v>
      </c>
      <c r="K2" s="7">
        <v>42591</v>
      </c>
    </row>
    <row r="3" spans="1:11" x14ac:dyDescent="0.25">
      <c r="A3" s="4">
        <v>23263</v>
      </c>
      <c r="B3" s="4" t="s">
        <v>11</v>
      </c>
      <c r="C3" s="4" t="s">
        <v>12</v>
      </c>
      <c r="D3" s="4" t="str">
        <f>VLOOKUP(C3,Países!$A$1:$B$186,2,TRUE)</f>
        <v>Central America and the Caribbean</v>
      </c>
      <c r="E3" s="4" t="s">
        <v>13</v>
      </c>
      <c r="F3" s="4" t="str">
        <f>VLOOKUP(E3,Productos!$A$2:$D$13,2,TRUE)</f>
        <v>botella 1l</v>
      </c>
      <c r="G3" s="4">
        <f>VLOOKUP(E3,Productos!$A$2:$D$13,3,TRUE)</f>
        <v>3.5</v>
      </c>
      <c r="H3" s="4">
        <f>VLOOKUP(E3,Productos!$A$2:$D$13,4,TRUE)</f>
        <v>6.5</v>
      </c>
      <c r="I3" s="4" t="s">
        <v>10</v>
      </c>
      <c r="J3" s="4">
        <v>73</v>
      </c>
      <c r="K3" s="7">
        <v>42557</v>
      </c>
    </row>
    <row r="4" spans="1:11" x14ac:dyDescent="0.25">
      <c r="A4" s="4">
        <v>23264</v>
      </c>
      <c r="B4" s="4" t="s">
        <v>14</v>
      </c>
      <c r="C4" s="4" t="s">
        <v>15</v>
      </c>
      <c r="D4" s="4" t="str">
        <f>VLOOKUP(C4,Países!$A$1:$B$186,2,TRUE)</f>
        <v>Sub-Saharan Africa</v>
      </c>
      <c r="E4" s="4" t="s">
        <v>16</v>
      </c>
      <c r="F4" s="4" t="str">
        <f>VLOOKUP(E4,Productos!$A$2:$D$13,2,TRUE)</f>
        <v>botella 5l</v>
      </c>
      <c r="G4" s="4">
        <f>VLOOKUP(E4,Productos!$A$2:$D$13,3,TRUE)</f>
        <v>6</v>
      </c>
      <c r="H4" s="4">
        <f>VLOOKUP(E4,Productos!$A$2:$D$13,4,TRUE)</f>
        <v>9</v>
      </c>
      <c r="I4" s="4" t="s">
        <v>17</v>
      </c>
      <c r="J4" s="4">
        <v>205</v>
      </c>
      <c r="K4" s="7">
        <v>42600</v>
      </c>
    </row>
    <row r="5" spans="1:11" x14ac:dyDescent="0.25">
      <c r="A5" s="4">
        <v>23265</v>
      </c>
      <c r="B5" s="4" t="s">
        <v>18</v>
      </c>
      <c r="C5" s="4" t="s">
        <v>19</v>
      </c>
      <c r="D5" s="4" t="str">
        <f>VLOOKUP(C5,Países!$A$1:$B$186,2,TRUE)</f>
        <v>Sub-Saharan Africa</v>
      </c>
      <c r="E5" s="4" t="s">
        <v>20</v>
      </c>
      <c r="F5" s="4" t="str">
        <f>VLOOKUP(E5,Productos!$A$2:$D$13,2,TRUE)</f>
        <v>garrafa 4l</v>
      </c>
      <c r="G5" s="4">
        <f>VLOOKUP(E5,Productos!$A$2:$D$13,3,TRUE)</f>
        <v>5</v>
      </c>
      <c r="H5" s="4">
        <f>VLOOKUP(E5,Productos!$A$2:$D$13,4,TRUE)</f>
        <v>9.99</v>
      </c>
      <c r="I5" s="4" t="s">
        <v>17</v>
      </c>
      <c r="J5" s="4">
        <v>14</v>
      </c>
      <c r="K5" s="7">
        <v>42587</v>
      </c>
    </row>
    <row r="6" spans="1:11" x14ac:dyDescent="0.25">
      <c r="A6" s="4">
        <v>23266</v>
      </c>
      <c r="B6" s="4" t="s">
        <v>21</v>
      </c>
      <c r="C6" s="4" t="s">
        <v>22</v>
      </c>
      <c r="D6" s="4" t="str">
        <f>VLOOKUP(C6,Países!$A$1:$B$186,2,TRUE)</f>
        <v>Sub-Saharan Africa</v>
      </c>
      <c r="E6" s="4" t="s">
        <v>23</v>
      </c>
      <c r="F6" s="4" t="str">
        <f>VLOOKUP(E6,Productos!$A$2:$D$13,2,TRUE)</f>
        <v>botellín 400cc</v>
      </c>
      <c r="G6" s="4">
        <f>VLOOKUP(E6,Productos!$A$2:$D$13,3,TRUE)</f>
        <v>2.2999999999999998</v>
      </c>
      <c r="H6" s="4">
        <f>VLOOKUP(E6,Productos!$A$2:$D$13,4,TRUE)</f>
        <v>4.5</v>
      </c>
      <c r="I6" s="4" t="s">
        <v>17</v>
      </c>
      <c r="J6" s="4">
        <v>170</v>
      </c>
      <c r="K6" s="7">
        <v>42593</v>
      </c>
    </row>
    <row r="7" spans="1:11" x14ac:dyDescent="0.25">
      <c r="A7" s="4">
        <v>23267</v>
      </c>
      <c r="B7" s="4" t="s">
        <v>24</v>
      </c>
      <c r="C7" s="4" t="s">
        <v>25</v>
      </c>
      <c r="D7" s="4" t="str">
        <f>VLOOKUP(C7,Países!$A$1:$B$186,2,TRUE)</f>
        <v>Middle East and North Africa</v>
      </c>
      <c r="E7" s="4" t="s">
        <v>26</v>
      </c>
      <c r="F7" s="4" t="str">
        <f>VLOOKUP(E7,Productos!$A$2:$D$13,2,TRUE)</f>
        <v>botellín 200cc</v>
      </c>
      <c r="G7" s="4">
        <f>VLOOKUP(E7,Productos!$A$2:$D$13,3,TRUE)</f>
        <v>1.5</v>
      </c>
      <c r="H7" s="4">
        <f>VLOOKUP(E7,Productos!$A$2:$D$13,4,TRUE)</f>
        <v>3</v>
      </c>
      <c r="I7" s="4" t="s">
        <v>17</v>
      </c>
      <c r="J7" s="4">
        <v>129</v>
      </c>
      <c r="K7" s="7">
        <v>42562</v>
      </c>
    </row>
    <row r="8" spans="1:11" x14ac:dyDescent="0.25">
      <c r="A8" s="4">
        <v>23268</v>
      </c>
      <c r="B8" s="4" t="s">
        <v>27</v>
      </c>
      <c r="C8" s="4" t="s">
        <v>28</v>
      </c>
      <c r="D8" s="4" t="str">
        <f>VLOOKUP(C8,Países!$A$1:$B$186,2,TRUE)</f>
        <v>Central America and the Caribbean</v>
      </c>
      <c r="E8" s="4" t="s">
        <v>29</v>
      </c>
      <c r="F8" s="4" t="str">
        <f>VLOOKUP(E8,Productos!$A$2:$D$13,2,TRUE)</f>
        <v>botella 0.5l</v>
      </c>
      <c r="G8" s="4">
        <f>VLOOKUP(E8,Productos!$A$2:$D$13,3,TRUE)</f>
        <v>3</v>
      </c>
      <c r="H8" s="4">
        <f>VLOOKUP(E8,Productos!$A$2:$D$13,4,TRUE)</f>
        <v>6</v>
      </c>
      <c r="I8" s="4" t="s">
        <v>10</v>
      </c>
      <c r="J8" s="4">
        <v>82</v>
      </c>
      <c r="K8" s="7">
        <v>42563</v>
      </c>
    </row>
    <row r="9" spans="1:11" x14ac:dyDescent="0.25">
      <c r="A9" s="4">
        <v>23269</v>
      </c>
      <c r="B9" s="4" t="s">
        <v>30</v>
      </c>
      <c r="C9" s="4" t="s">
        <v>31</v>
      </c>
      <c r="D9" s="4" t="str">
        <f>VLOOKUP(C9,Países!$A$1:$B$186,2,TRUE)</f>
        <v>Europe</v>
      </c>
      <c r="E9" s="4" t="s">
        <v>26</v>
      </c>
      <c r="F9" s="4" t="str">
        <f>VLOOKUP(E9,Productos!$A$2:$D$13,2,TRUE)</f>
        <v>botellín 200cc</v>
      </c>
      <c r="G9" s="4">
        <f>VLOOKUP(E9,Productos!$A$2:$D$13,3,TRUE)</f>
        <v>1.5</v>
      </c>
      <c r="H9" s="4">
        <f>VLOOKUP(E9,Productos!$A$2:$D$13,4,TRUE)</f>
        <v>3</v>
      </c>
      <c r="I9" s="4" t="s">
        <v>17</v>
      </c>
      <c r="J9" s="4">
        <v>116</v>
      </c>
      <c r="K9" s="7">
        <v>42524</v>
      </c>
    </row>
    <row r="10" spans="1:11" x14ac:dyDescent="0.25">
      <c r="A10" s="4">
        <v>23270</v>
      </c>
      <c r="B10" s="4" t="s">
        <v>32</v>
      </c>
      <c r="C10" s="4" t="s">
        <v>33</v>
      </c>
      <c r="D10" s="4" t="str">
        <f>VLOOKUP(C10,Países!$A$1:$B$186,2,TRUE)</f>
        <v>Asia</v>
      </c>
      <c r="E10" s="4" t="s">
        <v>34</v>
      </c>
      <c r="F10" s="4" t="str">
        <f>VLOOKUP(E10,Productos!$A$2:$D$13,2,TRUE)</f>
        <v>garrafa 3l</v>
      </c>
      <c r="G10" s="4">
        <f>VLOOKUP(E10,Productos!$A$2:$D$13,3,TRUE)</f>
        <v>3.5</v>
      </c>
      <c r="H10" s="4">
        <f>VLOOKUP(E10,Productos!$A$2:$D$13,4,TRUE)</f>
        <v>6.99</v>
      </c>
      <c r="I10" s="4" t="s">
        <v>10</v>
      </c>
      <c r="J10" s="4">
        <v>67</v>
      </c>
      <c r="K10" s="7">
        <v>42528</v>
      </c>
    </row>
    <row r="11" spans="1:11" x14ac:dyDescent="0.25">
      <c r="A11" s="4">
        <v>23271</v>
      </c>
      <c r="B11" s="4" t="s">
        <v>35</v>
      </c>
      <c r="C11" s="4" t="s">
        <v>36</v>
      </c>
      <c r="D11" s="4" t="str">
        <f>VLOOKUP(C11,Países!$A$1:$B$186,2,TRUE)</f>
        <v>Sub-Saharan Africa</v>
      </c>
      <c r="E11" s="4" t="s">
        <v>34</v>
      </c>
      <c r="F11" s="4" t="str">
        <f>VLOOKUP(E11,Productos!$A$2:$D$13,2,TRUE)</f>
        <v>garrafa 3l</v>
      </c>
      <c r="G11" s="4">
        <f>VLOOKUP(E11,Productos!$A$2:$D$13,3,TRUE)</f>
        <v>3.5</v>
      </c>
      <c r="H11" s="4">
        <f>VLOOKUP(E11,Productos!$A$2:$D$13,4,TRUE)</f>
        <v>6.99</v>
      </c>
      <c r="I11" s="4" t="s">
        <v>17</v>
      </c>
      <c r="J11" s="4">
        <v>125</v>
      </c>
      <c r="K11" s="7">
        <v>42578</v>
      </c>
    </row>
    <row r="12" spans="1:11" x14ac:dyDescent="0.25">
      <c r="A12" s="4">
        <v>23272</v>
      </c>
      <c r="B12" s="4" t="s">
        <v>37</v>
      </c>
      <c r="C12" s="4" t="s">
        <v>38</v>
      </c>
      <c r="D12" s="4" t="str">
        <f>VLOOKUP(C12,Países!$A$1:$B$186,2,TRUE)</f>
        <v>Asia</v>
      </c>
      <c r="E12" s="4" t="s">
        <v>13</v>
      </c>
      <c r="F12" s="4" t="str">
        <f>VLOOKUP(E12,Productos!$A$2:$D$13,2,TRUE)</f>
        <v>botella 1l</v>
      </c>
      <c r="G12" s="4">
        <f>VLOOKUP(E12,Productos!$A$2:$D$13,3,TRUE)</f>
        <v>3.5</v>
      </c>
      <c r="H12" s="4">
        <f>VLOOKUP(E12,Productos!$A$2:$D$13,4,TRUE)</f>
        <v>6.5</v>
      </c>
      <c r="I12" s="4" t="s">
        <v>17</v>
      </c>
      <c r="J12" s="4">
        <v>71</v>
      </c>
      <c r="K12" s="7">
        <v>42582</v>
      </c>
    </row>
    <row r="13" spans="1:11" x14ac:dyDescent="0.25">
      <c r="A13" s="4">
        <v>23273</v>
      </c>
      <c r="B13" s="4" t="s">
        <v>39</v>
      </c>
      <c r="C13" s="4" t="s">
        <v>40</v>
      </c>
      <c r="D13" s="4" t="str">
        <f>VLOOKUP(C13,Países!$A$1:$B$186,2,TRUE)</f>
        <v>Europe</v>
      </c>
      <c r="E13" s="4" t="s">
        <v>20</v>
      </c>
      <c r="F13" s="4" t="str">
        <f>VLOOKUP(E13,Productos!$A$2:$D$13,2,TRUE)</f>
        <v>garrafa 4l</v>
      </c>
      <c r="G13" s="4">
        <f>VLOOKUP(E13,Productos!$A$2:$D$13,3,TRUE)</f>
        <v>5</v>
      </c>
      <c r="H13" s="4">
        <f>VLOOKUP(E13,Productos!$A$2:$D$13,4,TRUE)</f>
        <v>9.99</v>
      </c>
      <c r="I13" s="4" t="s">
        <v>10</v>
      </c>
      <c r="J13" s="4">
        <v>22</v>
      </c>
      <c r="K13" s="7">
        <v>42595</v>
      </c>
    </row>
    <row r="14" spans="1:11" x14ac:dyDescent="0.25">
      <c r="A14" s="4">
        <v>23274</v>
      </c>
      <c r="B14" s="4" t="s">
        <v>41</v>
      </c>
      <c r="C14" s="4" t="s">
        <v>31</v>
      </c>
      <c r="D14" s="4" t="str">
        <f>VLOOKUP(C14,Países!$A$1:$B$186,2,TRUE)</f>
        <v>Europe</v>
      </c>
      <c r="E14" s="4" t="s">
        <v>26</v>
      </c>
      <c r="F14" s="4" t="str">
        <f>VLOOKUP(E14,Productos!$A$2:$D$13,2,TRUE)</f>
        <v>botellín 200cc</v>
      </c>
      <c r="G14" s="4">
        <f>VLOOKUP(E14,Productos!$A$2:$D$13,3,TRUE)</f>
        <v>1.5</v>
      </c>
      <c r="H14" s="4">
        <f>VLOOKUP(E14,Productos!$A$2:$D$13,4,TRUE)</f>
        <v>3</v>
      </c>
      <c r="I14" s="4" t="s">
        <v>17</v>
      </c>
      <c r="J14" s="4">
        <v>153</v>
      </c>
      <c r="K14" s="7">
        <v>42604</v>
      </c>
    </row>
    <row r="15" spans="1:11" x14ac:dyDescent="0.25">
      <c r="A15" s="4">
        <v>23275</v>
      </c>
      <c r="B15" s="4" t="s">
        <v>42</v>
      </c>
      <c r="C15" s="4" t="s">
        <v>43</v>
      </c>
      <c r="D15" s="4" t="str">
        <f>VLOOKUP(C15,Países!$A$1:$B$186,2,TRUE)</f>
        <v>Australia and Oceania</v>
      </c>
      <c r="E15" s="4" t="s">
        <v>16</v>
      </c>
      <c r="F15" s="4" t="str">
        <f>VLOOKUP(E15,Productos!$A$2:$D$13,2,TRUE)</f>
        <v>botella 5l</v>
      </c>
      <c r="G15" s="4">
        <f>VLOOKUP(E15,Productos!$A$2:$D$13,3,TRUE)</f>
        <v>6</v>
      </c>
      <c r="H15" s="4">
        <f>VLOOKUP(E15,Productos!$A$2:$D$13,4,TRUE)</f>
        <v>9</v>
      </c>
      <c r="I15" s="4" t="s">
        <v>10</v>
      </c>
      <c r="J15" s="4">
        <v>141</v>
      </c>
      <c r="K15" s="7">
        <v>42555</v>
      </c>
    </row>
    <row r="16" spans="1:11" x14ac:dyDescent="0.25">
      <c r="A16" s="4">
        <v>23276</v>
      </c>
      <c r="B16" s="4" t="s">
        <v>44</v>
      </c>
      <c r="C16" s="4" t="s">
        <v>45</v>
      </c>
      <c r="D16" s="4" t="str">
        <f>VLOOKUP(C16,Países!$A$1:$B$186,2,TRUE)</f>
        <v>Asia</v>
      </c>
      <c r="E16" s="4" t="s">
        <v>46</v>
      </c>
      <c r="F16" s="4" t="str">
        <f>VLOOKUP(E16,Productos!$A$2:$D$13,2,TRUE)</f>
        <v>botellín 500cc</v>
      </c>
      <c r="G16" s="4">
        <f>VLOOKUP(E16,Productos!$A$2:$D$13,3,TRUE)</f>
        <v>3.5</v>
      </c>
      <c r="H16" s="4">
        <f>VLOOKUP(E16,Productos!$A$2:$D$13,4,TRUE)</f>
        <v>6.5</v>
      </c>
      <c r="I16" s="4" t="s">
        <v>10</v>
      </c>
      <c r="J16" s="4">
        <v>65</v>
      </c>
      <c r="K16" s="7">
        <v>42583</v>
      </c>
    </row>
    <row r="17" spans="1:11" x14ac:dyDescent="0.25">
      <c r="A17" s="4">
        <v>23277</v>
      </c>
      <c r="B17" s="4" t="s">
        <v>47</v>
      </c>
      <c r="C17" s="4" t="s">
        <v>48</v>
      </c>
      <c r="D17" s="4" t="str">
        <f>VLOOKUP(C17,Países!$A$1:$B$186,2,TRUE)</f>
        <v>Middle East and North Africa</v>
      </c>
      <c r="E17" s="4" t="s">
        <v>9</v>
      </c>
      <c r="F17" s="4" t="str">
        <f>VLOOKUP(E17,Productos!$A$2:$D$13,2,TRUE)</f>
        <v>garrafa 1l</v>
      </c>
      <c r="G17" s="4">
        <f>VLOOKUP(E17,Productos!$A$2:$D$13,3,TRUE)</f>
        <v>1</v>
      </c>
      <c r="H17" s="4">
        <f>VLOOKUP(E17,Productos!$A$2:$D$13,4,TRUE)</f>
        <v>2</v>
      </c>
      <c r="I17" s="4" t="s">
        <v>10</v>
      </c>
      <c r="J17" s="4">
        <v>157</v>
      </c>
      <c r="K17" s="7">
        <v>42563</v>
      </c>
    </row>
    <row r="18" spans="1:11" x14ac:dyDescent="0.25">
      <c r="A18" s="4">
        <v>23278</v>
      </c>
      <c r="B18" s="4" t="s">
        <v>49</v>
      </c>
      <c r="C18" s="4" t="s">
        <v>50</v>
      </c>
      <c r="D18" s="4" t="str">
        <f>VLOOKUP(C18,Países!$A$1:$B$186,2,TRUE)</f>
        <v>Sub-Saharan Africa</v>
      </c>
      <c r="E18" s="4" t="s">
        <v>51</v>
      </c>
      <c r="F18" s="4" t="str">
        <f>VLOOKUP(E18,Productos!$A$2:$D$13,2,TRUE)</f>
        <v>garrafa 8l</v>
      </c>
      <c r="G18" s="4">
        <f>VLOOKUP(E18,Productos!$A$2:$D$13,3,TRUE)</f>
        <v>8</v>
      </c>
      <c r="H18" s="4">
        <f>VLOOKUP(E18,Productos!$A$2:$D$13,4,TRUE)</f>
        <v>14.5</v>
      </c>
      <c r="I18" s="4" t="s">
        <v>10</v>
      </c>
      <c r="J18" s="4">
        <v>197</v>
      </c>
      <c r="K18" s="7">
        <v>42606</v>
      </c>
    </row>
    <row r="19" spans="1:11" x14ac:dyDescent="0.25">
      <c r="A19" s="4">
        <v>23279</v>
      </c>
      <c r="B19" s="4" t="s">
        <v>52</v>
      </c>
      <c r="C19" s="4" t="s">
        <v>53</v>
      </c>
      <c r="D19" s="4" t="str">
        <f>VLOOKUP(C19,Países!$A$1:$B$186,2,TRUE)</f>
        <v>Europe</v>
      </c>
      <c r="E19" s="4" t="s">
        <v>26</v>
      </c>
      <c r="F19" s="4" t="str">
        <f>VLOOKUP(E19,Productos!$A$2:$D$13,2,TRUE)</f>
        <v>botellín 200cc</v>
      </c>
      <c r="G19" s="4">
        <f>VLOOKUP(E19,Productos!$A$2:$D$13,3,TRUE)</f>
        <v>1.5</v>
      </c>
      <c r="H19" s="4">
        <f>VLOOKUP(E19,Productos!$A$2:$D$13,4,TRUE)</f>
        <v>3</v>
      </c>
      <c r="I19" s="4" t="s">
        <v>10</v>
      </c>
      <c r="J19" s="4">
        <v>10</v>
      </c>
      <c r="K19" s="7">
        <v>42542</v>
      </c>
    </row>
    <row r="20" spans="1:11" x14ac:dyDescent="0.25">
      <c r="A20" s="4">
        <v>23280</v>
      </c>
      <c r="B20" s="4" t="s">
        <v>54</v>
      </c>
      <c r="C20" s="4" t="s">
        <v>55</v>
      </c>
      <c r="D20" s="4" t="str">
        <f>VLOOKUP(C20,Países!$A$1:$B$186,2,TRUE)</f>
        <v>Sub-Saharan Africa</v>
      </c>
      <c r="E20" s="4" t="s">
        <v>34</v>
      </c>
      <c r="F20" s="4" t="str">
        <f>VLOOKUP(E20,Productos!$A$2:$D$13,2,TRUE)</f>
        <v>garrafa 3l</v>
      </c>
      <c r="G20" s="4">
        <f>VLOOKUP(E20,Productos!$A$2:$D$13,3,TRUE)</f>
        <v>3.5</v>
      </c>
      <c r="H20" s="4">
        <f>VLOOKUP(E20,Productos!$A$2:$D$13,4,TRUE)</f>
        <v>6.99</v>
      </c>
      <c r="I20" s="4" t="s">
        <v>17</v>
      </c>
      <c r="J20" s="4">
        <v>30</v>
      </c>
      <c r="K20" s="7">
        <v>42524</v>
      </c>
    </row>
    <row r="21" spans="1:11" x14ac:dyDescent="0.25">
      <c r="A21" s="4">
        <v>23281</v>
      </c>
      <c r="B21" s="4" t="s">
        <v>56</v>
      </c>
      <c r="C21" s="4" t="s">
        <v>57</v>
      </c>
      <c r="D21" s="4" t="str">
        <f>VLOOKUP(C21,Países!$A$1:$B$186,2,TRUE)</f>
        <v>Sub-Saharan Africa</v>
      </c>
      <c r="E21" s="4" t="s">
        <v>58</v>
      </c>
      <c r="F21" s="4" t="str">
        <f>VLOOKUP(E21,Productos!$A$2:$D$13,2,TRUE)</f>
        <v>garrafa 2l</v>
      </c>
      <c r="G21" s="4">
        <f>VLOOKUP(E21,Productos!$A$2:$D$13,3,TRUE)</f>
        <v>2.5</v>
      </c>
      <c r="H21" s="4">
        <f>VLOOKUP(E21,Productos!$A$2:$D$13,4,TRUE)</f>
        <v>4.5</v>
      </c>
      <c r="I21" s="4" t="s">
        <v>59</v>
      </c>
      <c r="J21" s="4">
        <v>134</v>
      </c>
      <c r="K21" s="7">
        <v>42564</v>
      </c>
    </row>
    <row r="22" spans="1:11" x14ac:dyDescent="0.25">
      <c r="A22" s="4">
        <v>23282</v>
      </c>
      <c r="B22" s="4" t="s">
        <v>60</v>
      </c>
      <c r="C22" s="4" t="s">
        <v>61</v>
      </c>
      <c r="D22" s="4" t="str">
        <f>VLOOKUP(C22,Países!$A$1:$B$186,2,TRUE)</f>
        <v>Sub-Saharan Africa</v>
      </c>
      <c r="E22" s="4" t="s">
        <v>29</v>
      </c>
      <c r="F22" s="4" t="str">
        <f>VLOOKUP(E22,Productos!$A$2:$D$13,2,TRUE)</f>
        <v>botella 0.5l</v>
      </c>
      <c r="G22" s="4">
        <f>VLOOKUP(E22,Productos!$A$2:$D$13,3,TRUE)</f>
        <v>3</v>
      </c>
      <c r="H22" s="4">
        <f>VLOOKUP(E22,Productos!$A$2:$D$13,4,TRUE)</f>
        <v>6</v>
      </c>
      <c r="I22" s="4" t="s">
        <v>17</v>
      </c>
      <c r="J22" s="4">
        <v>100</v>
      </c>
      <c r="K22" s="7">
        <v>42603</v>
      </c>
    </row>
    <row r="23" spans="1:11" x14ac:dyDescent="0.25">
      <c r="A23" s="4">
        <v>23283</v>
      </c>
      <c r="B23" s="4" t="s">
        <v>62</v>
      </c>
      <c r="C23" s="4" t="s">
        <v>63</v>
      </c>
      <c r="D23" s="4" t="str">
        <f>VLOOKUP(C23,Países!$A$1:$B$186,2,TRUE)</f>
        <v>Australia and Oceania</v>
      </c>
      <c r="E23" s="4" t="s">
        <v>51</v>
      </c>
      <c r="F23" s="4" t="str">
        <f>VLOOKUP(E23,Productos!$A$2:$D$13,2,TRUE)</f>
        <v>garrafa 8l</v>
      </c>
      <c r="G23" s="4">
        <f>VLOOKUP(E23,Productos!$A$2:$D$13,3,TRUE)</f>
        <v>8</v>
      </c>
      <c r="H23" s="4">
        <f>VLOOKUP(E23,Productos!$A$2:$D$13,4,TRUE)</f>
        <v>14.5</v>
      </c>
      <c r="I23" s="4" t="s">
        <v>17</v>
      </c>
      <c r="J23" s="4">
        <v>142</v>
      </c>
      <c r="K23" s="7">
        <v>42545</v>
      </c>
    </row>
    <row r="24" spans="1:11" x14ac:dyDescent="0.25">
      <c r="A24" s="4">
        <v>23284</v>
      </c>
      <c r="B24" s="4" t="s">
        <v>64</v>
      </c>
      <c r="C24" s="4" t="s">
        <v>65</v>
      </c>
      <c r="D24" s="4" t="str">
        <f>VLOOKUP(C24,Países!$A$1:$B$186,2,TRUE)</f>
        <v>Australia and Oceania</v>
      </c>
      <c r="E24" s="4" t="s">
        <v>23</v>
      </c>
      <c r="F24" s="4" t="str">
        <f>VLOOKUP(E24,Productos!$A$2:$D$13,2,TRUE)</f>
        <v>botellín 400cc</v>
      </c>
      <c r="G24" s="4">
        <f>VLOOKUP(E24,Productos!$A$2:$D$13,3,TRUE)</f>
        <v>2.2999999999999998</v>
      </c>
      <c r="H24" s="4">
        <f>VLOOKUP(E24,Productos!$A$2:$D$13,4,TRUE)</f>
        <v>4.5</v>
      </c>
      <c r="I24" s="4" t="s">
        <v>10</v>
      </c>
      <c r="J24" s="4">
        <v>135</v>
      </c>
      <c r="K24" s="7">
        <v>42538</v>
      </c>
    </row>
    <row r="25" spans="1:11" x14ac:dyDescent="0.25">
      <c r="A25" s="4">
        <v>23285</v>
      </c>
      <c r="B25" s="4" t="s">
        <v>66</v>
      </c>
      <c r="C25" s="4" t="s">
        <v>67</v>
      </c>
      <c r="D25" s="4" t="str">
        <f>VLOOKUP(C25,Países!$A$1:$B$186,2,TRUE)</f>
        <v>Sub-Saharan Africa</v>
      </c>
      <c r="E25" s="4" t="s">
        <v>58</v>
      </c>
      <c r="F25" s="4" t="str">
        <f>VLOOKUP(E25,Productos!$A$2:$D$13,2,TRUE)</f>
        <v>garrafa 2l</v>
      </c>
      <c r="G25" s="4">
        <f>VLOOKUP(E25,Productos!$A$2:$D$13,3,TRUE)</f>
        <v>2.5</v>
      </c>
      <c r="H25" s="4">
        <f>VLOOKUP(E25,Productos!$A$2:$D$13,4,TRUE)</f>
        <v>4.5</v>
      </c>
      <c r="I25" s="4" t="s">
        <v>17</v>
      </c>
      <c r="J25" s="4">
        <v>9</v>
      </c>
      <c r="K25" s="7">
        <v>42575</v>
      </c>
    </row>
    <row r="26" spans="1:11" x14ac:dyDescent="0.25">
      <c r="A26" s="4">
        <v>23286</v>
      </c>
      <c r="B26" s="4" t="s">
        <v>68</v>
      </c>
      <c r="C26" s="4" t="s">
        <v>69</v>
      </c>
      <c r="D26" s="4" t="str">
        <f>VLOOKUP(C26,Países!$A$1:$B$186,2,TRUE)</f>
        <v>Middle East and North Africa</v>
      </c>
      <c r="E26" s="4" t="s">
        <v>16</v>
      </c>
      <c r="F26" s="4" t="str">
        <f>VLOOKUP(E26,Productos!$A$2:$D$13,2,TRUE)</f>
        <v>botella 5l</v>
      </c>
      <c r="G26" s="4">
        <f>VLOOKUP(E26,Productos!$A$2:$D$13,3,TRUE)</f>
        <v>6</v>
      </c>
      <c r="H26" s="4">
        <f>VLOOKUP(E26,Productos!$A$2:$D$13,4,TRUE)</f>
        <v>9</v>
      </c>
      <c r="I26" s="4" t="s">
        <v>10</v>
      </c>
      <c r="J26" s="4">
        <v>69</v>
      </c>
      <c r="K26" s="7">
        <v>42590</v>
      </c>
    </row>
    <row r="27" spans="1:11" x14ac:dyDescent="0.25">
      <c r="A27" s="4">
        <v>23287</v>
      </c>
      <c r="B27" s="4" t="s">
        <v>70</v>
      </c>
      <c r="C27" s="4" t="s">
        <v>71</v>
      </c>
      <c r="D27" s="4" t="str">
        <f>VLOOKUP(C27,Países!$A$1:$B$186,2,TRUE)</f>
        <v>Australia and Oceania</v>
      </c>
      <c r="E27" s="4" t="s">
        <v>23</v>
      </c>
      <c r="F27" s="4" t="str">
        <f>VLOOKUP(E27,Productos!$A$2:$D$13,2,TRUE)</f>
        <v>botellín 400cc</v>
      </c>
      <c r="G27" s="4">
        <f>VLOOKUP(E27,Productos!$A$2:$D$13,3,TRUE)</f>
        <v>2.2999999999999998</v>
      </c>
      <c r="H27" s="4">
        <f>VLOOKUP(E27,Productos!$A$2:$D$13,4,TRUE)</f>
        <v>4.5</v>
      </c>
      <c r="I27" s="4" t="s">
        <v>10</v>
      </c>
      <c r="J27" s="4">
        <v>189</v>
      </c>
      <c r="K27" s="7">
        <v>42538</v>
      </c>
    </row>
    <row r="28" spans="1:11" x14ac:dyDescent="0.25">
      <c r="A28" s="4">
        <v>23288</v>
      </c>
      <c r="B28" s="4" t="s">
        <v>72</v>
      </c>
      <c r="C28" s="4" t="s">
        <v>73</v>
      </c>
      <c r="D28" s="4" t="str">
        <f>VLOOKUP(C28,Países!$A$1:$B$186,2,TRUE)</f>
        <v>Europe</v>
      </c>
      <c r="E28" s="4" t="s">
        <v>20</v>
      </c>
      <c r="F28" s="4" t="str">
        <f>VLOOKUP(E28,Productos!$A$2:$D$13,2,TRUE)</f>
        <v>garrafa 4l</v>
      </c>
      <c r="G28" s="4">
        <f>VLOOKUP(E28,Productos!$A$2:$D$13,3,TRUE)</f>
        <v>5</v>
      </c>
      <c r="H28" s="4">
        <f>VLOOKUP(E28,Productos!$A$2:$D$13,4,TRUE)</f>
        <v>9.99</v>
      </c>
      <c r="I28" s="4" t="s">
        <v>10</v>
      </c>
      <c r="J28" s="4">
        <v>141</v>
      </c>
      <c r="K28" s="7">
        <v>42535</v>
      </c>
    </row>
    <row r="29" spans="1:11" x14ac:dyDescent="0.25">
      <c r="A29" s="4">
        <v>23289</v>
      </c>
      <c r="B29" s="4" t="s">
        <v>74</v>
      </c>
      <c r="C29" s="4" t="s">
        <v>75</v>
      </c>
      <c r="D29" s="4" t="str">
        <f>VLOOKUP(C29,Países!$A$1:$B$186,2,TRUE)</f>
        <v>Asia</v>
      </c>
      <c r="E29" s="4" t="s">
        <v>51</v>
      </c>
      <c r="F29" s="4" t="str">
        <f>VLOOKUP(E29,Productos!$A$2:$D$13,2,TRUE)</f>
        <v>garrafa 8l</v>
      </c>
      <c r="G29" s="4">
        <f>VLOOKUP(E29,Productos!$A$2:$D$13,3,TRUE)</f>
        <v>8</v>
      </c>
      <c r="H29" s="4">
        <f>VLOOKUP(E29,Productos!$A$2:$D$13,4,TRUE)</f>
        <v>14.5</v>
      </c>
      <c r="I29" s="4" t="s">
        <v>10</v>
      </c>
      <c r="J29" s="4">
        <v>166</v>
      </c>
      <c r="K29" s="7">
        <v>42584</v>
      </c>
    </row>
    <row r="30" spans="1:11" x14ac:dyDescent="0.25">
      <c r="A30" s="4">
        <v>23290</v>
      </c>
      <c r="B30" s="4" t="s">
        <v>76</v>
      </c>
      <c r="C30" s="4" t="s">
        <v>77</v>
      </c>
      <c r="D30" s="4" t="str">
        <f>VLOOKUP(C30,Países!$A$1:$B$186,2,TRUE)</f>
        <v>Middle East and North Africa</v>
      </c>
      <c r="E30" s="4" t="s">
        <v>16</v>
      </c>
      <c r="F30" s="4" t="str">
        <f>VLOOKUP(E30,Productos!$A$2:$D$13,2,TRUE)</f>
        <v>botella 5l</v>
      </c>
      <c r="G30" s="4">
        <f>VLOOKUP(E30,Productos!$A$2:$D$13,3,TRUE)</f>
        <v>6</v>
      </c>
      <c r="H30" s="4">
        <f>VLOOKUP(E30,Productos!$A$2:$D$13,4,TRUE)</f>
        <v>9</v>
      </c>
      <c r="I30" s="4" t="s">
        <v>17</v>
      </c>
      <c r="J30" s="4">
        <v>170</v>
      </c>
      <c r="K30" s="7">
        <v>42593</v>
      </c>
    </row>
    <row r="31" spans="1:11" x14ac:dyDescent="0.25">
      <c r="A31" s="4">
        <v>23291</v>
      </c>
      <c r="B31" s="4" t="s">
        <v>78</v>
      </c>
      <c r="C31" s="4" t="s">
        <v>79</v>
      </c>
      <c r="D31" s="4" t="str">
        <f>VLOOKUP(C31,Países!$A$1:$B$186,2,TRUE)</f>
        <v>Europe</v>
      </c>
      <c r="E31" s="4" t="s">
        <v>16</v>
      </c>
      <c r="F31" s="4" t="str">
        <f>VLOOKUP(E31,Productos!$A$2:$D$13,2,TRUE)</f>
        <v>botella 5l</v>
      </c>
      <c r="G31" s="4">
        <f>VLOOKUP(E31,Productos!$A$2:$D$13,3,TRUE)</f>
        <v>6</v>
      </c>
      <c r="H31" s="4">
        <f>VLOOKUP(E31,Productos!$A$2:$D$13,4,TRUE)</f>
        <v>9</v>
      </c>
      <c r="I31" s="4" t="s">
        <v>17</v>
      </c>
      <c r="J31" s="4">
        <v>199</v>
      </c>
      <c r="K31" s="7">
        <v>42600</v>
      </c>
    </row>
    <row r="32" spans="1:11" x14ac:dyDescent="0.25">
      <c r="A32" s="4">
        <v>23292</v>
      </c>
      <c r="B32" s="4" t="s">
        <v>80</v>
      </c>
      <c r="C32" s="4" t="s">
        <v>81</v>
      </c>
      <c r="D32" s="4" t="str">
        <f>VLOOKUP(C32,Países!$A$1:$B$186,2,TRUE)</f>
        <v>Australia and Oceania</v>
      </c>
      <c r="E32" s="4" t="s">
        <v>51</v>
      </c>
      <c r="F32" s="4" t="str">
        <f>VLOOKUP(E32,Productos!$A$2:$D$13,2,TRUE)</f>
        <v>garrafa 8l</v>
      </c>
      <c r="G32" s="4">
        <f>VLOOKUP(E32,Productos!$A$2:$D$13,3,TRUE)</f>
        <v>8</v>
      </c>
      <c r="H32" s="4">
        <f>VLOOKUP(E32,Productos!$A$2:$D$13,4,TRUE)</f>
        <v>14.5</v>
      </c>
      <c r="I32" s="4" t="s">
        <v>10</v>
      </c>
      <c r="J32" s="4">
        <v>73</v>
      </c>
      <c r="K32" s="7">
        <v>42554</v>
      </c>
    </row>
    <row r="33" spans="1:11" x14ac:dyDescent="0.25">
      <c r="A33" s="4">
        <v>23293</v>
      </c>
      <c r="B33" s="4" t="s">
        <v>82</v>
      </c>
      <c r="C33" s="4" t="s">
        <v>83</v>
      </c>
      <c r="D33" s="4" t="str">
        <f>VLOOKUP(C33,Países!$A$1:$B$186,2,TRUE)</f>
        <v>Sub-Saharan Africa</v>
      </c>
      <c r="E33" s="4" t="s">
        <v>9</v>
      </c>
      <c r="F33" s="4" t="str">
        <f>VLOOKUP(E33,Productos!$A$2:$D$13,2,TRUE)</f>
        <v>garrafa 1l</v>
      </c>
      <c r="G33" s="4">
        <f>VLOOKUP(E33,Productos!$A$2:$D$13,3,TRUE)</f>
        <v>1</v>
      </c>
      <c r="H33" s="4">
        <f>VLOOKUP(E33,Productos!$A$2:$D$13,4,TRUE)</f>
        <v>2</v>
      </c>
      <c r="I33" s="4" t="s">
        <v>17</v>
      </c>
      <c r="J33" s="4">
        <v>117</v>
      </c>
      <c r="K33" s="7">
        <v>42551</v>
      </c>
    </row>
    <row r="34" spans="1:11" x14ac:dyDescent="0.25">
      <c r="A34" s="4">
        <v>23294</v>
      </c>
      <c r="B34" s="4" t="s">
        <v>84</v>
      </c>
      <c r="C34" s="4" t="s">
        <v>57</v>
      </c>
      <c r="D34" s="4" t="str">
        <f>VLOOKUP(C34,Países!$A$1:$B$186,2,TRUE)</f>
        <v>Sub-Saharan Africa</v>
      </c>
      <c r="E34" s="4" t="s">
        <v>16</v>
      </c>
      <c r="F34" s="4" t="str">
        <f>VLOOKUP(E34,Productos!$A$2:$D$13,2,TRUE)</f>
        <v>botella 5l</v>
      </c>
      <c r="G34" s="4">
        <f>VLOOKUP(E34,Productos!$A$2:$D$13,3,TRUE)</f>
        <v>6</v>
      </c>
      <c r="H34" s="4">
        <f>VLOOKUP(E34,Productos!$A$2:$D$13,4,TRUE)</f>
        <v>9</v>
      </c>
      <c r="I34" s="4" t="s">
        <v>17</v>
      </c>
      <c r="J34" s="4">
        <v>160</v>
      </c>
      <c r="K34" s="7">
        <v>42543</v>
      </c>
    </row>
    <row r="35" spans="1:11" x14ac:dyDescent="0.25">
      <c r="A35" s="4">
        <v>23295</v>
      </c>
      <c r="B35" s="4" t="s">
        <v>85</v>
      </c>
      <c r="C35" s="4" t="s">
        <v>86</v>
      </c>
      <c r="D35" s="4" t="str">
        <f>VLOOKUP(C35,Países!$A$1:$B$186,2,TRUE)</f>
        <v>Australia and Oceania</v>
      </c>
      <c r="E35" s="4" t="s">
        <v>9</v>
      </c>
      <c r="F35" s="4" t="str">
        <f>VLOOKUP(E35,Productos!$A$2:$D$13,2,TRUE)</f>
        <v>garrafa 1l</v>
      </c>
      <c r="G35" s="4">
        <f>VLOOKUP(E35,Productos!$A$2:$D$13,3,TRUE)</f>
        <v>1</v>
      </c>
      <c r="H35" s="4">
        <f>VLOOKUP(E35,Productos!$A$2:$D$13,4,TRUE)</f>
        <v>2</v>
      </c>
      <c r="I35" s="4" t="s">
        <v>10</v>
      </c>
      <c r="J35" s="4">
        <v>45</v>
      </c>
      <c r="K35" s="7">
        <v>42530</v>
      </c>
    </row>
    <row r="36" spans="1:11" x14ac:dyDescent="0.25">
      <c r="A36" s="4">
        <v>23296</v>
      </c>
      <c r="B36" s="4" t="s">
        <v>87</v>
      </c>
      <c r="C36" s="4" t="s">
        <v>88</v>
      </c>
      <c r="D36" s="4" t="str">
        <f>VLOOKUP(C36,Países!$A$1:$B$186,2,TRUE)</f>
        <v>Europe</v>
      </c>
      <c r="E36" s="4" t="s">
        <v>51</v>
      </c>
      <c r="F36" s="4" t="str">
        <f>VLOOKUP(E36,Productos!$A$2:$D$13,2,TRUE)</f>
        <v>garrafa 8l</v>
      </c>
      <c r="G36" s="4">
        <f>VLOOKUP(E36,Productos!$A$2:$D$13,3,TRUE)</f>
        <v>8</v>
      </c>
      <c r="H36" s="4">
        <f>VLOOKUP(E36,Productos!$A$2:$D$13,4,TRUE)</f>
        <v>14.5</v>
      </c>
      <c r="I36" s="4" t="s">
        <v>17</v>
      </c>
      <c r="J36" s="4">
        <v>37</v>
      </c>
      <c r="K36" s="7">
        <v>42529</v>
      </c>
    </row>
    <row r="37" spans="1:11" x14ac:dyDescent="0.25">
      <c r="A37" s="4">
        <v>23297</v>
      </c>
      <c r="B37" s="4" t="s">
        <v>89</v>
      </c>
      <c r="C37" s="4" t="s">
        <v>90</v>
      </c>
      <c r="D37" s="4" t="str">
        <f>VLOOKUP(C37,Países!$A$1:$B$186,2,TRUE)</f>
        <v>Europe</v>
      </c>
      <c r="E37" s="4" t="s">
        <v>16</v>
      </c>
      <c r="F37" s="4" t="str">
        <f>VLOOKUP(E37,Productos!$A$2:$D$13,2,TRUE)</f>
        <v>botella 5l</v>
      </c>
      <c r="G37" s="4">
        <f>VLOOKUP(E37,Productos!$A$2:$D$13,3,TRUE)</f>
        <v>6</v>
      </c>
      <c r="H37" s="4">
        <f>VLOOKUP(E37,Productos!$A$2:$D$13,4,TRUE)</f>
        <v>9</v>
      </c>
      <c r="I37" s="4" t="s">
        <v>10</v>
      </c>
      <c r="J37" s="4">
        <v>135</v>
      </c>
      <c r="K37" s="7">
        <v>42594</v>
      </c>
    </row>
    <row r="38" spans="1:11" x14ac:dyDescent="0.25">
      <c r="A38" s="4">
        <v>23298</v>
      </c>
      <c r="B38" s="4" t="s">
        <v>91</v>
      </c>
      <c r="C38" s="4" t="s">
        <v>92</v>
      </c>
      <c r="D38" s="4" t="str">
        <f>VLOOKUP(C38,Países!$A$1:$B$186,2,TRUE)</f>
        <v>Asia</v>
      </c>
      <c r="E38" s="4" t="s">
        <v>23</v>
      </c>
      <c r="F38" s="4" t="str">
        <f>VLOOKUP(E38,Productos!$A$2:$D$13,2,TRUE)</f>
        <v>botellín 400cc</v>
      </c>
      <c r="G38" s="4">
        <f>VLOOKUP(E38,Productos!$A$2:$D$13,3,TRUE)</f>
        <v>2.2999999999999998</v>
      </c>
      <c r="H38" s="4">
        <f>VLOOKUP(E38,Productos!$A$2:$D$13,4,TRUE)</f>
        <v>4.5</v>
      </c>
      <c r="I38" s="4" t="s">
        <v>59</v>
      </c>
      <c r="J38" s="4">
        <v>12</v>
      </c>
      <c r="K38" s="7">
        <v>42579</v>
      </c>
    </row>
    <row r="39" spans="1:11" x14ac:dyDescent="0.25">
      <c r="A39" s="4">
        <v>23299</v>
      </c>
      <c r="B39" s="4" t="s">
        <v>93</v>
      </c>
      <c r="C39" s="4" t="s">
        <v>94</v>
      </c>
      <c r="D39" s="4" t="str">
        <f>VLOOKUP(C39,Países!$A$1:$B$186,2,TRUE)</f>
        <v>Sub-Saharan Africa</v>
      </c>
      <c r="E39" s="4" t="s">
        <v>23</v>
      </c>
      <c r="F39" s="4" t="str">
        <f>VLOOKUP(E39,Productos!$A$2:$D$13,2,TRUE)</f>
        <v>botellín 400cc</v>
      </c>
      <c r="G39" s="4">
        <f>VLOOKUP(E39,Productos!$A$2:$D$13,3,TRUE)</f>
        <v>2.2999999999999998</v>
      </c>
      <c r="H39" s="4">
        <f>VLOOKUP(E39,Productos!$A$2:$D$13,4,TRUE)</f>
        <v>4.5</v>
      </c>
      <c r="I39" s="4" t="s">
        <v>17</v>
      </c>
      <c r="J39" s="4">
        <v>104</v>
      </c>
      <c r="K39" s="7">
        <v>42548</v>
      </c>
    </row>
    <row r="40" spans="1:11" x14ac:dyDescent="0.25">
      <c r="A40" s="4">
        <v>23300</v>
      </c>
      <c r="B40" s="4" t="s">
        <v>95</v>
      </c>
      <c r="C40" s="4" t="s">
        <v>65</v>
      </c>
      <c r="D40" s="4" t="str">
        <f>VLOOKUP(C40,Países!$A$1:$B$186,2,TRUE)</f>
        <v>Australia and Oceania</v>
      </c>
      <c r="E40" s="4" t="s">
        <v>20</v>
      </c>
      <c r="F40" s="4" t="str">
        <f>VLOOKUP(E40,Productos!$A$2:$D$13,2,TRUE)</f>
        <v>garrafa 4l</v>
      </c>
      <c r="G40" s="4">
        <f>VLOOKUP(E40,Productos!$A$2:$D$13,3,TRUE)</f>
        <v>5</v>
      </c>
      <c r="H40" s="4">
        <f>VLOOKUP(E40,Productos!$A$2:$D$13,4,TRUE)</f>
        <v>9.99</v>
      </c>
      <c r="I40" s="4" t="s">
        <v>10</v>
      </c>
      <c r="J40" s="4">
        <v>167</v>
      </c>
      <c r="K40" s="7">
        <v>42558</v>
      </c>
    </row>
    <row r="41" spans="1:11" x14ac:dyDescent="0.25">
      <c r="A41" s="4">
        <v>23301</v>
      </c>
      <c r="B41" s="4" t="s">
        <v>96</v>
      </c>
      <c r="C41" s="4" t="s">
        <v>97</v>
      </c>
      <c r="D41" s="4" t="str">
        <f>VLOOKUP(C41,Países!$A$1:$B$186,2,TRUE)</f>
        <v>Sub-Saharan Africa</v>
      </c>
      <c r="E41" s="4" t="s">
        <v>34</v>
      </c>
      <c r="F41" s="4" t="str">
        <f>VLOOKUP(E41,Productos!$A$2:$D$13,2,TRUE)</f>
        <v>garrafa 3l</v>
      </c>
      <c r="G41" s="4">
        <f>VLOOKUP(E41,Productos!$A$2:$D$13,3,TRUE)</f>
        <v>3.5</v>
      </c>
      <c r="H41" s="4">
        <f>VLOOKUP(E41,Productos!$A$2:$D$13,4,TRUE)</f>
        <v>6.99</v>
      </c>
      <c r="I41" s="4" t="s">
        <v>17</v>
      </c>
      <c r="J41" s="4">
        <v>108</v>
      </c>
      <c r="K41" s="7">
        <v>42570</v>
      </c>
    </row>
    <row r="42" spans="1:11" x14ac:dyDescent="0.25">
      <c r="A42" s="4">
        <v>23302</v>
      </c>
      <c r="B42" s="4" t="s">
        <v>98</v>
      </c>
      <c r="C42" s="4" t="s">
        <v>12</v>
      </c>
      <c r="D42" s="4" t="str">
        <f>VLOOKUP(C42,Países!$A$1:$B$186,2,TRUE)</f>
        <v>Central America and the Caribbean</v>
      </c>
      <c r="E42" s="4" t="s">
        <v>46</v>
      </c>
      <c r="F42" s="4" t="str">
        <f>VLOOKUP(E42,Productos!$A$2:$D$13,2,TRUE)</f>
        <v>botellín 500cc</v>
      </c>
      <c r="G42" s="4">
        <f>VLOOKUP(E42,Productos!$A$2:$D$13,3,TRUE)</f>
        <v>3.5</v>
      </c>
      <c r="H42" s="4">
        <f>VLOOKUP(E42,Productos!$A$2:$D$13,4,TRUE)</f>
        <v>6.5</v>
      </c>
      <c r="I42" s="4" t="s">
        <v>17</v>
      </c>
      <c r="J42" s="4">
        <v>105</v>
      </c>
      <c r="K42" s="7">
        <v>42578</v>
      </c>
    </row>
    <row r="43" spans="1:11" x14ac:dyDescent="0.25">
      <c r="A43" s="4">
        <v>23303</v>
      </c>
      <c r="B43" s="4" t="s">
        <v>99</v>
      </c>
      <c r="C43" s="4" t="s">
        <v>100</v>
      </c>
      <c r="D43" s="4" t="str">
        <f>VLOOKUP(C43,Países!$A$1:$B$186,2,TRUE)</f>
        <v>Asia</v>
      </c>
      <c r="E43" s="4" t="s">
        <v>51</v>
      </c>
      <c r="F43" s="4" t="str">
        <f>VLOOKUP(E43,Productos!$A$2:$D$13,2,TRUE)</f>
        <v>garrafa 8l</v>
      </c>
      <c r="G43" s="4">
        <f>VLOOKUP(E43,Productos!$A$2:$D$13,3,TRUE)</f>
        <v>8</v>
      </c>
      <c r="H43" s="4">
        <f>VLOOKUP(E43,Productos!$A$2:$D$13,4,TRUE)</f>
        <v>14.5</v>
      </c>
      <c r="I43" s="4" t="s">
        <v>17</v>
      </c>
      <c r="J43" s="4">
        <v>176</v>
      </c>
      <c r="K43" s="7">
        <v>42599</v>
      </c>
    </row>
    <row r="44" spans="1:11" x14ac:dyDescent="0.25">
      <c r="A44" s="4">
        <v>23304</v>
      </c>
      <c r="B44" s="4" t="s">
        <v>101</v>
      </c>
      <c r="C44" s="4" t="s">
        <v>86</v>
      </c>
      <c r="D44" s="4" t="str">
        <f>VLOOKUP(C44,Países!$A$1:$B$186,2,TRUE)</f>
        <v>Australia and Oceania</v>
      </c>
      <c r="E44" s="4" t="s">
        <v>23</v>
      </c>
      <c r="F44" s="4" t="str">
        <f>VLOOKUP(E44,Productos!$A$2:$D$13,2,TRUE)</f>
        <v>botellín 400cc</v>
      </c>
      <c r="G44" s="4">
        <f>VLOOKUP(E44,Productos!$A$2:$D$13,3,TRUE)</f>
        <v>2.2999999999999998</v>
      </c>
      <c r="H44" s="4">
        <f>VLOOKUP(E44,Productos!$A$2:$D$13,4,TRUE)</f>
        <v>4.5</v>
      </c>
      <c r="I44" s="4" t="s">
        <v>10</v>
      </c>
      <c r="J44" s="4">
        <v>131</v>
      </c>
      <c r="K44" s="7">
        <v>42522</v>
      </c>
    </row>
    <row r="45" spans="1:11" x14ac:dyDescent="0.25">
      <c r="A45" s="4">
        <v>23305</v>
      </c>
      <c r="B45" s="4" t="s">
        <v>102</v>
      </c>
      <c r="C45" s="4" t="s">
        <v>57</v>
      </c>
      <c r="D45" s="4" t="str">
        <f>VLOOKUP(C45,Países!$A$1:$B$186,2,TRUE)</f>
        <v>Sub-Saharan Africa</v>
      </c>
      <c r="E45" s="4" t="s">
        <v>16</v>
      </c>
      <c r="F45" s="4" t="str">
        <f>VLOOKUP(E45,Productos!$A$2:$D$13,2,TRUE)</f>
        <v>botella 5l</v>
      </c>
      <c r="G45" s="4">
        <f>VLOOKUP(E45,Productos!$A$2:$D$13,3,TRUE)</f>
        <v>6</v>
      </c>
      <c r="H45" s="4">
        <f>VLOOKUP(E45,Productos!$A$2:$D$13,4,TRUE)</f>
        <v>9</v>
      </c>
      <c r="I45" s="4" t="s">
        <v>17</v>
      </c>
      <c r="J45" s="4">
        <v>188</v>
      </c>
      <c r="K45" s="7">
        <v>42608</v>
      </c>
    </row>
    <row r="46" spans="1:11" x14ac:dyDescent="0.25">
      <c r="A46" s="4">
        <v>23306</v>
      </c>
      <c r="B46" s="4" t="s">
        <v>103</v>
      </c>
      <c r="C46" s="4" t="s">
        <v>104</v>
      </c>
      <c r="D46" s="4" t="str">
        <f>VLOOKUP(C46,Países!$A$1:$B$186,2,TRUE)</f>
        <v>Asia</v>
      </c>
      <c r="E46" s="4" t="s">
        <v>13</v>
      </c>
      <c r="F46" s="4" t="str">
        <f>VLOOKUP(E46,Productos!$A$2:$D$13,2,TRUE)</f>
        <v>botella 1l</v>
      </c>
      <c r="G46" s="4">
        <f>VLOOKUP(E46,Productos!$A$2:$D$13,3,TRUE)</f>
        <v>3.5</v>
      </c>
      <c r="H46" s="4">
        <f>VLOOKUP(E46,Productos!$A$2:$D$13,4,TRUE)</f>
        <v>6.5</v>
      </c>
      <c r="I46" s="4" t="s">
        <v>59</v>
      </c>
      <c r="J46" s="4">
        <v>93</v>
      </c>
      <c r="K46" s="7">
        <v>42529</v>
      </c>
    </row>
    <row r="47" spans="1:11" x14ac:dyDescent="0.25">
      <c r="A47" s="4">
        <v>23307</v>
      </c>
      <c r="B47" s="4" t="s">
        <v>105</v>
      </c>
      <c r="C47" s="4" t="s">
        <v>106</v>
      </c>
      <c r="D47" s="4" t="str">
        <f>VLOOKUP(C47,Países!$A$1:$B$186,2,TRUE)</f>
        <v>Central America and the Caribbean</v>
      </c>
      <c r="E47" s="4" t="s">
        <v>29</v>
      </c>
      <c r="F47" s="4" t="str">
        <f>VLOOKUP(E47,Productos!$A$2:$D$13,2,TRUE)</f>
        <v>botella 0.5l</v>
      </c>
      <c r="G47" s="4">
        <f>VLOOKUP(E47,Productos!$A$2:$D$13,3,TRUE)</f>
        <v>3</v>
      </c>
      <c r="H47" s="4">
        <f>VLOOKUP(E47,Productos!$A$2:$D$13,4,TRUE)</f>
        <v>6</v>
      </c>
      <c r="I47" s="4" t="s">
        <v>10</v>
      </c>
      <c r="J47" s="4">
        <v>113</v>
      </c>
      <c r="K47" s="7">
        <v>42555</v>
      </c>
    </row>
    <row r="48" spans="1:11" x14ac:dyDescent="0.25">
      <c r="A48" s="4">
        <v>23308</v>
      </c>
      <c r="B48" s="4" t="s">
        <v>107</v>
      </c>
      <c r="C48" s="4" t="s">
        <v>108</v>
      </c>
      <c r="D48" s="4" t="str">
        <f>VLOOKUP(C48,Países!$A$1:$B$186,2,TRUE)</f>
        <v>Sub-Saharan Africa</v>
      </c>
      <c r="E48" s="4" t="s">
        <v>26</v>
      </c>
      <c r="F48" s="4" t="str">
        <f>VLOOKUP(E48,Productos!$A$2:$D$13,2,TRUE)</f>
        <v>botellín 200cc</v>
      </c>
      <c r="G48" s="4">
        <f>VLOOKUP(E48,Productos!$A$2:$D$13,3,TRUE)</f>
        <v>1.5</v>
      </c>
      <c r="H48" s="4">
        <f>VLOOKUP(E48,Productos!$A$2:$D$13,4,TRUE)</f>
        <v>3</v>
      </c>
      <c r="I48" s="4" t="s">
        <v>10</v>
      </c>
      <c r="J48" s="4">
        <v>112</v>
      </c>
      <c r="K48" s="7">
        <v>42560</v>
      </c>
    </row>
    <row r="49" spans="1:11" x14ac:dyDescent="0.25">
      <c r="A49" s="4">
        <v>23309</v>
      </c>
      <c r="B49" s="4" t="s">
        <v>109</v>
      </c>
      <c r="C49" s="4" t="s">
        <v>110</v>
      </c>
      <c r="D49" s="4" t="str">
        <f>VLOOKUP(C49,Países!$A$1:$B$186,2,TRUE)</f>
        <v>Sub-Saharan Africa</v>
      </c>
      <c r="E49" s="4" t="s">
        <v>23</v>
      </c>
      <c r="F49" s="4" t="str">
        <f>VLOOKUP(E49,Productos!$A$2:$D$13,2,TRUE)</f>
        <v>botellín 400cc</v>
      </c>
      <c r="G49" s="4">
        <f>VLOOKUP(E49,Productos!$A$2:$D$13,3,TRUE)</f>
        <v>2.2999999999999998</v>
      </c>
      <c r="H49" s="4">
        <f>VLOOKUP(E49,Productos!$A$2:$D$13,4,TRUE)</f>
        <v>4.5</v>
      </c>
      <c r="I49" s="4" t="s">
        <v>10</v>
      </c>
      <c r="J49" s="4">
        <v>201</v>
      </c>
      <c r="K49" s="7">
        <v>42544</v>
      </c>
    </row>
    <row r="50" spans="1:11" x14ac:dyDescent="0.25">
      <c r="A50" s="4">
        <v>23310</v>
      </c>
      <c r="B50" s="4" t="s">
        <v>111</v>
      </c>
      <c r="C50" s="4" t="s">
        <v>112</v>
      </c>
      <c r="D50" s="4" t="str">
        <f>VLOOKUP(C50,Países!$A$1:$B$186,2,TRUE)</f>
        <v>North America</v>
      </c>
      <c r="E50" s="4" t="s">
        <v>20</v>
      </c>
      <c r="F50" s="4" t="str">
        <f>VLOOKUP(E50,Productos!$A$2:$D$13,2,TRUE)</f>
        <v>garrafa 4l</v>
      </c>
      <c r="G50" s="4">
        <f>VLOOKUP(E50,Productos!$A$2:$D$13,3,TRUE)</f>
        <v>5</v>
      </c>
      <c r="H50" s="4">
        <f>VLOOKUP(E50,Productos!$A$2:$D$13,4,TRUE)</f>
        <v>9.99</v>
      </c>
      <c r="I50" s="4" t="s">
        <v>17</v>
      </c>
      <c r="J50" s="4">
        <v>41</v>
      </c>
      <c r="K50" s="7">
        <v>42538</v>
      </c>
    </row>
    <row r="51" spans="1:11" x14ac:dyDescent="0.25">
      <c r="A51" s="4">
        <v>23311</v>
      </c>
      <c r="B51" s="4" t="s">
        <v>113</v>
      </c>
      <c r="C51" s="4" t="s">
        <v>40</v>
      </c>
      <c r="D51" s="4" t="str">
        <f>VLOOKUP(C51,Países!$A$1:$B$186,2,TRUE)</f>
        <v>Europe</v>
      </c>
      <c r="E51" s="4" t="s">
        <v>51</v>
      </c>
      <c r="F51" s="4" t="str">
        <f>VLOOKUP(E51,Productos!$A$2:$D$13,2,TRUE)</f>
        <v>garrafa 8l</v>
      </c>
      <c r="G51" s="4">
        <f>VLOOKUP(E51,Productos!$A$2:$D$13,3,TRUE)</f>
        <v>8</v>
      </c>
      <c r="H51" s="4">
        <f>VLOOKUP(E51,Productos!$A$2:$D$13,4,TRUE)</f>
        <v>14.5</v>
      </c>
      <c r="I51" s="4" t="s">
        <v>17</v>
      </c>
      <c r="J51" s="4">
        <v>18</v>
      </c>
      <c r="K51" s="7">
        <v>42533</v>
      </c>
    </row>
    <row r="52" spans="1:11" x14ac:dyDescent="0.25">
      <c r="A52" s="4">
        <v>23312</v>
      </c>
      <c r="B52" s="4" t="s">
        <v>66</v>
      </c>
      <c r="C52" s="4" t="s">
        <v>114</v>
      </c>
      <c r="D52" s="4" t="str">
        <f>VLOOKUP(C52,Países!$A$1:$B$186,2,TRUE)</f>
        <v>Sub-Saharan Africa</v>
      </c>
      <c r="E52" s="4" t="s">
        <v>23</v>
      </c>
      <c r="F52" s="4" t="str">
        <f>VLOOKUP(E52,Productos!$A$2:$D$13,2,TRUE)</f>
        <v>botellín 400cc</v>
      </c>
      <c r="G52" s="4">
        <f>VLOOKUP(E52,Productos!$A$2:$D$13,3,TRUE)</f>
        <v>2.2999999999999998</v>
      </c>
      <c r="H52" s="4">
        <f>VLOOKUP(E52,Productos!$A$2:$D$13,4,TRUE)</f>
        <v>4.5</v>
      </c>
      <c r="I52" s="4" t="s">
        <v>10</v>
      </c>
      <c r="J52" s="4">
        <v>28</v>
      </c>
      <c r="K52" s="7">
        <v>42557</v>
      </c>
    </row>
    <row r="53" spans="1:11" x14ac:dyDescent="0.25">
      <c r="A53" s="4">
        <v>23313</v>
      </c>
      <c r="B53" s="4" t="s">
        <v>115</v>
      </c>
      <c r="C53" s="4" t="s">
        <v>65</v>
      </c>
      <c r="D53" s="4" t="str">
        <f>VLOOKUP(C53,Países!$A$1:$B$186,2,TRUE)</f>
        <v>Australia and Oceania</v>
      </c>
      <c r="E53" s="4" t="s">
        <v>9</v>
      </c>
      <c r="F53" s="4" t="str">
        <f>VLOOKUP(E53,Productos!$A$2:$D$13,2,TRUE)</f>
        <v>garrafa 1l</v>
      </c>
      <c r="G53" s="4">
        <f>VLOOKUP(E53,Productos!$A$2:$D$13,3,TRUE)</f>
        <v>1</v>
      </c>
      <c r="H53" s="4">
        <f>VLOOKUP(E53,Productos!$A$2:$D$13,4,TRUE)</f>
        <v>2</v>
      </c>
      <c r="I53" s="4" t="s">
        <v>10</v>
      </c>
      <c r="J53" s="4">
        <v>137</v>
      </c>
      <c r="K53" s="7">
        <v>42566</v>
      </c>
    </row>
    <row r="54" spans="1:11" x14ac:dyDescent="0.25">
      <c r="A54" s="4">
        <v>23314</v>
      </c>
      <c r="B54" s="4" t="s">
        <v>116</v>
      </c>
      <c r="C54" s="4" t="s">
        <v>12</v>
      </c>
      <c r="D54" s="4" t="str">
        <f>VLOOKUP(C54,Países!$A$1:$B$186,2,TRUE)</f>
        <v>Central America and the Caribbean</v>
      </c>
      <c r="E54" s="4" t="s">
        <v>20</v>
      </c>
      <c r="F54" s="4" t="str">
        <f>VLOOKUP(E54,Productos!$A$2:$D$13,2,TRUE)</f>
        <v>garrafa 4l</v>
      </c>
      <c r="G54" s="4">
        <f>VLOOKUP(E54,Productos!$A$2:$D$13,3,TRUE)</f>
        <v>5</v>
      </c>
      <c r="H54" s="4">
        <f>VLOOKUP(E54,Productos!$A$2:$D$13,4,TRUE)</f>
        <v>9.99</v>
      </c>
      <c r="I54" s="4" t="s">
        <v>17</v>
      </c>
      <c r="J54" s="4">
        <v>95</v>
      </c>
      <c r="K54" s="7">
        <v>42592</v>
      </c>
    </row>
    <row r="55" spans="1:11" x14ac:dyDescent="0.25">
      <c r="A55" s="4">
        <v>23315</v>
      </c>
      <c r="B55" s="4" t="s">
        <v>117</v>
      </c>
      <c r="C55" s="4" t="s">
        <v>55</v>
      </c>
      <c r="D55" s="4" t="str">
        <f>VLOOKUP(C55,Países!$A$1:$B$186,2,TRUE)</f>
        <v>Sub-Saharan Africa</v>
      </c>
      <c r="E55" s="4" t="s">
        <v>23</v>
      </c>
      <c r="F55" s="4" t="str">
        <f>VLOOKUP(E55,Productos!$A$2:$D$13,2,TRUE)</f>
        <v>botellín 400cc</v>
      </c>
      <c r="G55" s="4">
        <f>VLOOKUP(E55,Productos!$A$2:$D$13,3,TRUE)</f>
        <v>2.2999999999999998</v>
      </c>
      <c r="H55" s="4">
        <f>VLOOKUP(E55,Productos!$A$2:$D$13,4,TRUE)</f>
        <v>4.5</v>
      </c>
      <c r="I55" s="4" t="s">
        <v>10</v>
      </c>
      <c r="J55" s="4">
        <v>109</v>
      </c>
      <c r="K55" s="7">
        <v>42563</v>
      </c>
    </row>
    <row r="56" spans="1:11" x14ac:dyDescent="0.25">
      <c r="A56" s="4">
        <v>23316</v>
      </c>
      <c r="B56" s="4" t="s">
        <v>118</v>
      </c>
      <c r="C56" s="4" t="s">
        <v>119</v>
      </c>
      <c r="D56" s="4" t="str">
        <f>VLOOKUP(C56,Países!$A$1:$B$186,2,TRUE)</f>
        <v>Sub-Saharan Africa</v>
      </c>
      <c r="E56" s="4" t="s">
        <v>23</v>
      </c>
      <c r="F56" s="4" t="str">
        <f>VLOOKUP(E56,Productos!$A$2:$D$13,2,TRUE)</f>
        <v>botellín 400cc</v>
      </c>
      <c r="G56" s="4">
        <f>VLOOKUP(E56,Productos!$A$2:$D$13,3,TRUE)</f>
        <v>2.2999999999999998</v>
      </c>
      <c r="H56" s="4">
        <f>VLOOKUP(E56,Productos!$A$2:$D$13,4,TRUE)</f>
        <v>4.5</v>
      </c>
      <c r="I56" s="4" t="s">
        <v>59</v>
      </c>
      <c r="J56" s="4">
        <v>137</v>
      </c>
      <c r="K56" s="7">
        <v>42522</v>
      </c>
    </row>
    <row r="57" spans="1:11" x14ac:dyDescent="0.25">
      <c r="A57" s="4">
        <v>23317</v>
      </c>
      <c r="B57" s="4" t="s">
        <v>120</v>
      </c>
      <c r="C57" s="4" t="s">
        <v>121</v>
      </c>
      <c r="D57" s="4" t="str">
        <f>VLOOKUP(C57,Países!$A$1:$B$186,2,TRUE)</f>
        <v>Europe</v>
      </c>
      <c r="E57" s="4" t="s">
        <v>23</v>
      </c>
      <c r="F57" s="4" t="str">
        <f>VLOOKUP(E57,Productos!$A$2:$D$13,2,TRUE)</f>
        <v>botellín 400cc</v>
      </c>
      <c r="G57" s="4">
        <f>VLOOKUP(E57,Productos!$A$2:$D$13,3,TRUE)</f>
        <v>2.2999999999999998</v>
      </c>
      <c r="H57" s="4">
        <f>VLOOKUP(E57,Productos!$A$2:$D$13,4,TRUE)</f>
        <v>4.5</v>
      </c>
      <c r="I57" s="4" t="s">
        <v>10</v>
      </c>
      <c r="J57" s="4">
        <v>196</v>
      </c>
      <c r="K57" s="7">
        <v>42568</v>
      </c>
    </row>
    <row r="58" spans="1:11" x14ac:dyDescent="0.25">
      <c r="A58" s="4">
        <v>23318</v>
      </c>
      <c r="B58" s="4" t="s">
        <v>122</v>
      </c>
      <c r="C58" s="4" t="s">
        <v>123</v>
      </c>
      <c r="D58" s="4" t="str">
        <f>VLOOKUP(C58,Países!$A$1:$B$186,2,TRUE)</f>
        <v>Asia</v>
      </c>
      <c r="E58" s="4" t="s">
        <v>13</v>
      </c>
      <c r="F58" s="4" t="str">
        <f>VLOOKUP(E58,Productos!$A$2:$D$13,2,TRUE)</f>
        <v>botella 1l</v>
      </c>
      <c r="G58" s="4">
        <f>VLOOKUP(E58,Productos!$A$2:$D$13,3,TRUE)</f>
        <v>3.5</v>
      </c>
      <c r="H58" s="4">
        <f>VLOOKUP(E58,Productos!$A$2:$D$13,4,TRUE)</f>
        <v>6.5</v>
      </c>
      <c r="I58" s="4" t="s">
        <v>17</v>
      </c>
      <c r="J58" s="4">
        <v>48</v>
      </c>
      <c r="K58" s="7">
        <v>42560</v>
      </c>
    </row>
    <row r="59" spans="1:11" x14ac:dyDescent="0.25">
      <c r="A59" s="4">
        <v>23319</v>
      </c>
      <c r="B59" s="4" t="s">
        <v>124</v>
      </c>
      <c r="C59" s="4" t="s">
        <v>125</v>
      </c>
      <c r="D59" s="4" t="str">
        <f>VLOOKUP(C59,Países!$A$1:$B$186,2,TRUE)</f>
        <v>Sub-Saharan Africa</v>
      </c>
      <c r="E59" s="4" t="s">
        <v>9</v>
      </c>
      <c r="F59" s="4" t="str">
        <f>VLOOKUP(E59,Productos!$A$2:$D$13,2,TRUE)</f>
        <v>garrafa 1l</v>
      </c>
      <c r="G59" s="4">
        <f>VLOOKUP(E59,Productos!$A$2:$D$13,3,TRUE)</f>
        <v>1</v>
      </c>
      <c r="H59" s="4">
        <f>VLOOKUP(E59,Productos!$A$2:$D$13,4,TRUE)</f>
        <v>2</v>
      </c>
      <c r="I59" s="4" t="s">
        <v>10</v>
      </c>
      <c r="J59" s="4">
        <v>4</v>
      </c>
      <c r="K59" s="7">
        <v>42585</v>
      </c>
    </row>
    <row r="60" spans="1:11" x14ac:dyDescent="0.25">
      <c r="A60" s="4">
        <v>23320</v>
      </c>
      <c r="B60" s="4" t="s">
        <v>126</v>
      </c>
      <c r="C60" s="4" t="s">
        <v>127</v>
      </c>
      <c r="D60" s="4" t="str">
        <f>VLOOKUP(C60,Países!$A$1:$B$186,2,TRUE)</f>
        <v>Europe</v>
      </c>
      <c r="E60" s="4" t="s">
        <v>29</v>
      </c>
      <c r="F60" s="4" t="str">
        <f>VLOOKUP(E60,Productos!$A$2:$D$13,2,TRUE)</f>
        <v>botella 0.5l</v>
      </c>
      <c r="G60" s="4">
        <f>VLOOKUP(E60,Productos!$A$2:$D$13,3,TRUE)</f>
        <v>3</v>
      </c>
      <c r="H60" s="4">
        <f>VLOOKUP(E60,Productos!$A$2:$D$13,4,TRUE)</f>
        <v>6</v>
      </c>
      <c r="I60" s="4" t="s">
        <v>59</v>
      </c>
      <c r="J60" s="4">
        <v>125</v>
      </c>
      <c r="K60" s="7">
        <v>42536</v>
      </c>
    </row>
    <row r="61" spans="1:11" x14ac:dyDescent="0.25">
      <c r="A61" s="4">
        <v>23321</v>
      </c>
      <c r="B61" s="4" t="s">
        <v>128</v>
      </c>
      <c r="C61" s="4" t="s">
        <v>129</v>
      </c>
      <c r="D61" s="4" t="str">
        <f>VLOOKUP(C61,Países!$A$1:$B$186,2,TRUE)</f>
        <v>Central America and the Caribbean</v>
      </c>
      <c r="E61" s="4" t="s">
        <v>9</v>
      </c>
      <c r="F61" s="4" t="str">
        <f>VLOOKUP(E61,Productos!$A$2:$D$13,2,TRUE)</f>
        <v>garrafa 1l</v>
      </c>
      <c r="G61" s="4">
        <f>VLOOKUP(E61,Productos!$A$2:$D$13,3,TRUE)</f>
        <v>1</v>
      </c>
      <c r="H61" s="4">
        <f>VLOOKUP(E61,Productos!$A$2:$D$13,4,TRUE)</f>
        <v>2</v>
      </c>
      <c r="I61" s="4" t="s">
        <v>10</v>
      </c>
      <c r="J61" s="4">
        <v>211</v>
      </c>
      <c r="K61" s="7">
        <v>42595</v>
      </c>
    </row>
    <row r="62" spans="1:11" x14ac:dyDescent="0.25">
      <c r="A62" s="4">
        <v>23322</v>
      </c>
      <c r="B62" s="4" t="s">
        <v>130</v>
      </c>
      <c r="C62" s="4" t="s">
        <v>131</v>
      </c>
      <c r="D62" s="4" t="str">
        <f>VLOOKUP(C62,Países!$A$1:$B$186,2,TRUE)</f>
        <v>Asia</v>
      </c>
      <c r="E62" s="4" t="s">
        <v>26</v>
      </c>
      <c r="F62" s="4" t="str">
        <f>VLOOKUP(E62,Productos!$A$2:$D$13,2,TRUE)</f>
        <v>botellín 200cc</v>
      </c>
      <c r="G62" s="4">
        <f>VLOOKUP(E62,Productos!$A$2:$D$13,3,TRUE)</f>
        <v>1.5</v>
      </c>
      <c r="H62" s="4">
        <f>VLOOKUP(E62,Productos!$A$2:$D$13,4,TRUE)</f>
        <v>3</v>
      </c>
      <c r="I62" s="4" t="s">
        <v>10</v>
      </c>
      <c r="J62" s="4">
        <v>20</v>
      </c>
      <c r="K62" s="7">
        <v>42531</v>
      </c>
    </row>
    <row r="63" spans="1:11" x14ac:dyDescent="0.25">
      <c r="A63" s="4">
        <v>23323</v>
      </c>
      <c r="B63" s="4" t="s">
        <v>132</v>
      </c>
      <c r="C63" s="4" t="s">
        <v>133</v>
      </c>
      <c r="D63" s="4" t="str">
        <f>VLOOKUP(C63,Países!$A$1:$B$186,2,TRUE)</f>
        <v>Middle East and North Africa</v>
      </c>
      <c r="E63" s="4" t="s">
        <v>26</v>
      </c>
      <c r="F63" s="4" t="str">
        <f>VLOOKUP(E63,Productos!$A$2:$D$13,2,TRUE)</f>
        <v>botellín 200cc</v>
      </c>
      <c r="G63" s="4">
        <f>VLOOKUP(E63,Productos!$A$2:$D$13,3,TRUE)</f>
        <v>1.5</v>
      </c>
      <c r="H63" s="4">
        <f>VLOOKUP(E63,Productos!$A$2:$D$13,4,TRUE)</f>
        <v>3</v>
      </c>
      <c r="I63" s="4" t="s">
        <v>59</v>
      </c>
      <c r="J63" s="4">
        <v>135</v>
      </c>
      <c r="K63" s="7">
        <v>42611</v>
      </c>
    </row>
    <row r="64" spans="1:11" x14ac:dyDescent="0.25">
      <c r="A64" s="4">
        <v>23324</v>
      </c>
      <c r="B64" s="4" t="s">
        <v>134</v>
      </c>
      <c r="C64" s="4" t="s">
        <v>55</v>
      </c>
      <c r="D64" s="4" t="str">
        <f>VLOOKUP(C64,Países!$A$1:$B$186,2,TRUE)</f>
        <v>Sub-Saharan Africa</v>
      </c>
      <c r="E64" s="4" t="s">
        <v>20</v>
      </c>
      <c r="F64" s="4" t="str">
        <f>VLOOKUP(E64,Productos!$A$2:$D$13,2,TRUE)</f>
        <v>garrafa 4l</v>
      </c>
      <c r="G64" s="4">
        <f>VLOOKUP(E64,Productos!$A$2:$D$13,3,TRUE)</f>
        <v>5</v>
      </c>
      <c r="H64" s="4">
        <f>VLOOKUP(E64,Productos!$A$2:$D$13,4,TRUE)</f>
        <v>9.99</v>
      </c>
      <c r="I64" s="4" t="s">
        <v>17</v>
      </c>
      <c r="J64" s="4">
        <v>193</v>
      </c>
      <c r="K64" s="7">
        <v>42595</v>
      </c>
    </row>
    <row r="65" spans="1:11" x14ac:dyDescent="0.25">
      <c r="A65" s="4">
        <v>23325</v>
      </c>
      <c r="B65" s="4" t="s">
        <v>135</v>
      </c>
      <c r="C65" s="4" t="s">
        <v>136</v>
      </c>
      <c r="D65" s="4" t="str">
        <f>VLOOKUP(C65,Países!$A$1:$B$186,2,TRUE)</f>
        <v>Asia</v>
      </c>
      <c r="E65" s="4" t="s">
        <v>29</v>
      </c>
      <c r="F65" s="4" t="str">
        <f>VLOOKUP(E65,Productos!$A$2:$D$13,2,TRUE)</f>
        <v>botella 0.5l</v>
      </c>
      <c r="G65" s="4">
        <f>VLOOKUP(E65,Productos!$A$2:$D$13,3,TRUE)</f>
        <v>3</v>
      </c>
      <c r="H65" s="4">
        <f>VLOOKUP(E65,Productos!$A$2:$D$13,4,TRUE)</f>
        <v>6</v>
      </c>
      <c r="I65" s="4" t="s">
        <v>10</v>
      </c>
      <c r="J65" s="4">
        <v>184</v>
      </c>
      <c r="K65" s="7">
        <v>42543</v>
      </c>
    </row>
    <row r="66" spans="1:11" x14ac:dyDescent="0.25">
      <c r="A66" s="4">
        <v>23326</v>
      </c>
      <c r="B66" s="4" t="s">
        <v>137</v>
      </c>
      <c r="C66" s="4" t="s">
        <v>138</v>
      </c>
      <c r="D66" s="4" t="str">
        <f>VLOOKUP(C66,Países!$A$1:$B$186,2,TRUE)</f>
        <v>Europe</v>
      </c>
      <c r="E66" s="4" t="s">
        <v>58</v>
      </c>
      <c r="F66" s="4" t="str">
        <f>VLOOKUP(E66,Productos!$A$2:$D$13,2,TRUE)</f>
        <v>garrafa 2l</v>
      </c>
      <c r="G66" s="4">
        <f>VLOOKUP(E66,Productos!$A$2:$D$13,3,TRUE)</f>
        <v>2.5</v>
      </c>
      <c r="H66" s="4">
        <f>VLOOKUP(E66,Productos!$A$2:$D$13,4,TRUE)</f>
        <v>4.5</v>
      </c>
      <c r="I66" s="4" t="s">
        <v>10</v>
      </c>
      <c r="J66" s="4">
        <v>126</v>
      </c>
      <c r="K66" s="7">
        <v>42603</v>
      </c>
    </row>
    <row r="67" spans="1:11" x14ac:dyDescent="0.25">
      <c r="A67" s="4">
        <v>23327</v>
      </c>
      <c r="B67" s="4" t="s">
        <v>139</v>
      </c>
      <c r="C67" s="4" t="s">
        <v>140</v>
      </c>
      <c r="D67" s="4" t="str">
        <f>VLOOKUP(C67,Países!$A$1:$B$186,2,TRUE)</f>
        <v>Sub-Saharan Africa</v>
      </c>
      <c r="E67" s="4" t="s">
        <v>13</v>
      </c>
      <c r="F67" s="4" t="str">
        <f>VLOOKUP(E67,Productos!$A$2:$D$13,2,TRUE)</f>
        <v>botella 1l</v>
      </c>
      <c r="G67" s="4">
        <f>VLOOKUP(E67,Productos!$A$2:$D$13,3,TRUE)</f>
        <v>3.5</v>
      </c>
      <c r="H67" s="4">
        <f>VLOOKUP(E67,Productos!$A$2:$D$13,4,TRUE)</f>
        <v>6.5</v>
      </c>
      <c r="I67" s="4" t="s">
        <v>10</v>
      </c>
      <c r="J67" s="4">
        <v>176</v>
      </c>
      <c r="K67" s="7">
        <v>42582</v>
      </c>
    </row>
    <row r="68" spans="1:11" x14ac:dyDescent="0.25">
      <c r="A68" s="4">
        <v>23328</v>
      </c>
      <c r="B68" s="4" t="s">
        <v>141</v>
      </c>
      <c r="C68" s="4" t="s">
        <v>142</v>
      </c>
      <c r="D68" s="4" t="str">
        <f>VLOOKUP(C68,Países!$A$1:$B$186,2,TRUE)</f>
        <v>Europe</v>
      </c>
      <c r="E68" s="4" t="s">
        <v>51</v>
      </c>
      <c r="F68" s="4" t="str">
        <f>VLOOKUP(E68,Productos!$A$2:$D$13,2,TRUE)</f>
        <v>garrafa 8l</v>
      </c>
      <c r="G68" s="4">
        <f>VLOOKUP(E68,Productos!$A$2:$D$13,3,TRUE)</f>
        <v>8</v>
      </c>
      <c r="H68" s="4">
        <f>VLOOKUP(E68,Productos!$A$2:$D$13,4,TRUE)</f>
        <v>14.5</v>
      </c>
      <c r="I68" s="4" t="s">
        <v>59</v>
      </c>
      <c r="J68" s="4">
        <v>102</v>
      </c>
      <c r="K68" s="7">
        <v>42566</v>
      </c>
    </row>
    <row r="69" spans="1:11" x14ac:dyDescent="0.25">
      <c r="A69" s="4">
        <v>23329</v>
      </c>
      <c r="B69" s="4" t="s">
        <v>143</v>
      </c>
      <c r="C69" s="4" t="s">
        <v>144</v>
      </c>
      <c r="D69" s="4" t="str">
        <f>VLOOKUP(C69,Países!$A$1:$B$186,2,TRUE)</f>
        <v>North America</v>
      </c>
      <c r="E69" s="4" t="s">
        <v>23</v>
      </c>
      <c r="F69" s="4" t="str">
        <f>VLOOKUP(E69,Productos!$A$2:$D$13,2,TRUE)</f>
        <v>botellín 400cc</v>
      </c>
      <c r="G69" s="4">
        <f>VLOOKUP(E69,Productos!$A$2:$D$13,3,TRUE)</f>
        <v>2.2999999999999998</v>
      </c>
      <c r="H69" s="4">
        <f>VLOOKUP(E69,Productos!$A$2:$D$13,4,TRUE)</f>
        <v>4.5</v>
      </c>
      <c r="I69" s="4" t="s">
        <v>10</v>
      </c>
      <c r="J69" s="4">
        <v>203</v>
      </c>
      <c r="K69" s="7">
        <v>42574</v>
      </c>
    </row>
    <row r="70" spans="1:11" x14ac:dyDescent="0.25">
      <c r="A70" s="4">
        <v>23330</v>
      </c>
      <c r="B70" s="4" t="s">
        <v>145</v>
      </c>
      <c r="C70" s="4" t="s">
        <v>146</v>
      </c>
      <c r="D70" s="4" t="str">
        <f>VLOOKUP(C70,Países!$A$1:$B$186,2,TRUE)</f>
        <v>Europe</v>
      </c>
      <c r="E70" s="4" t="s">
        <v>9</v>
      </c>
      <c r="F70" s="4" t="str">
        <f>VLOOKUP(E70,Productos!$A$2:$D$13,2,TRUE)</f>
        <v>garrafa 1l</v>
      </c>
      <c r="G70" s="4">
        <f>VLOOKUP(E70,Productos!$A$2:$D$13,3,TRUE)</f>
        <v>1</v>
      </c>
      <c r="H70" s="4">
        <f>VLOOKUP(E70,Productos!$A$2:$D$13,4,TRUE)</f>
        <v>2</v>
      </c>
      <c r="I70" s="4" t="s">
        <v>10</v>
      </c>
      <c r="J70" s="4">
        <v>177</v>
      </c>
      <c r="K70" s="7">
        <v>42586</v>
      </c>
    </row>
    <row r="71" spans="1:11" x14ac:dyDescent="0.25">
      <c r="A71" s="4">
        <v>23331</v>
      </c>
      <c r="B71" s="4" t="s">
        <v>147</v>
      </c>
      <c r="C71" s="4" t="s">
        <v>148</v>
      </c>
      <c r="D71" s="4" t="str">
        <f>VLOOKUP(C71,Países!$A$1:$B$186,2,TRUE)</f>
        <v>Middle East and North Africa</v>
      </c>
      <c r="E71" s="4" t="s">
        <v>9</v>
      </c>
      <c r="F71" s="4" t="str">
        <f>VLOOKUP(E71,Productos!$A$2:$D$13,2,TRUE)</f>
        <v>garrafa 1l</v>
      </c>
      <c r="G71" s="4">
        <f>VLOOKUP(E71,Productos!$A$2:$D$13,3,TRUE)</f>
        <v>1</v>
      </c>
      <c r="H71" s="4">
        <f>VLOOKUP(E71,Productos!$A$2:$D$13,4,TRUE)</f>
        <v>2</v>
      </c>
      <c r="I71" s="4" t="s">
        <v>59</v>
      </c>
      <c r="J71" s="4">
        <v>51</v>
      </c>
      <c r="K71" s="7">
        <v>42586</v>
      </c>
    </row>
    <row r="72" spans="1:11" x14ac:dyDescent="0.25">
      <c r="A72" s="4">
        <v>23332</v>
      </c>
      <c r="B72" s="4" t="s">
        <v>149</v>
      </c>
      <c r="C72" s="4" t="s">
        <v>131</v>
      </c>
      <c r="D72" s="4" t="str">
        <f>VLOOKUP(C72,Países!$A$1:$B$186,2,TRUE)</f>
        <v>Asia</v>
      </c>
      <c r="E72" s="4" t="s">
        <v>23</v>
      </c>
      <c r="F72" s="4" t="str">
        <f>VLOOKUP(E72,Productos!$A$2:$D$13,2,TRUE)</f>
        <v>botellín 400cc</v>
      </c>
      <c r="G72" s="4">
        <f>VLOOKUP(E72,Productos!$A$2:$D$13,3,TRUE)</f>
        <v>2.2999999999999998</v>
      </c>
      <c r="H72" s="4">
        <f>VLOOKUP(E72,Productos!$A$2:$D$13,4,TRUE)</f>
        <v>4.5</v>
      </c>
      <c r="I72" s="4" t="s">
        <v>17</v>
      </c>
      <c r="J72" s="4">
        <v>203</v>
      </c>
      <c r="K72" s="7">
        <v>42562</v>
      </c>
    </row>
    <row r="73" spans="1:11" x14ac:dyDescent="0.25">
      <c r="A73" s="4">
        <v>23333</v>
      </c>
      <c r="B73" s="4" t="s">
        <v>150</v>
      </c>
      <c r="C73" s="4" t="s">
        <v>121</v>
      </c>
      <c r="D73" s="4" t="str">
        <f>VLOOKUP(C73,Países!$A$1:$B$186,2,TRUE)</f>
        <v>Europe</v>
      </c>
      <c r="E73" s="4" t="s">
        <v>23</v>
      </c>
      <c r="F73" s="4" t="str">
        <f>VLOOKUP(E73,Productos!$A$2:$D$13,2,TRUE)</f>
        <v>botellín 400cc</v>
      </c>
      <c r="G73" s="4">
        <f>VLOOKUP(E73,Productos!$A$2:$D$13,3,TRUE)</f>
        <v>2.2999999999999998</v>
      </c>
      <c r="H73" s="4">
        <f>VLOOKUP(E73,Productos!$A$2:$D$13,4,TRUE)</f>
        <v>4.5</v>
      </c>
      <c r="I73" s="4" t="s">
        <v>17</v>
      </c>
      <c r="J73" s="4">
        <v>106</v>
      </c>
      <c r="K73" s="7">
        <v>42587</v>
      </c>
    </row>
    <row r="74" spans="1:11" x14ac:dyDescent="0.25">
      <c r="A74" s="4">
        <v>23334</v>
      </c>
      <c r="B74" s="4" t="s">
        <v>151</v>
      </c>
      <c r="C74" s="4" t="s">
        <v>152</v>
      </c>
      <c r="D74" s="4" t="str">
        <f>VLOOKUP(C74,Países!$A$1:$B$186,2,TRUE)</f>
        <v>Sub-Saharan Africa</v>
      </c>
      <c r="E74" s="4" t="s">
        <v>26</v>
      </c>
      <c r="F74" s="4" t="str">
        <f>VLOOKUP(E74,Productos!$A$2:$D$13,2,TRUE)</f>
        <v>botellín 200cc</v>
      </c>
      <c r="G74" s="4">
        <f>VLOOKUP(E74,Productos!$A$2:$D$13,3,TRUE)</f>
        <v>1.5</v>
      </c>
      <c r="H74" s="4">
        <f>VLOOKUP(E74,Productos!$A$2:$D$13,4,TRUE)</f>
        <v>3</v>
      </c>
      <c r="I74" s="4" t="s">
        <v>10</v>
      </c>
      <c r="J74" s="4">
        <v>14</v>
      </c>
      <c r="K74" s="7">
        <v>42599</v>
      </c>
    </row>
    <row r="75" spans="1:11" x14ac:dyDescent="0.25">
      <c r="A75" s="4">
        <v>23335</v>
      </c>
      <c r="B75" s="4" t="s">
        <v>153</v>
      </c>
      <c r="C75" s="4" t="s">
        <v>146</v>
      </c>
      <c r="D75" s="4" t="str">
        <f>VLOOKUP(C75,Países!$A$1:$B$186,2,TRUE)</f>
        <v>Europe</v>
      </c>
      <c r="E75" s="4" t="s">
        <v>16</v>
      </c>
      <c r="F75" s="4" t="str">
        <f>VLOOKUP(E75,Productos!$A$2:$D$13,2,TRUE)</f>
        <v>botella 5l</v>
      </c>
      <c r="G75" s="4">
        <f>VLOOKUP(E75,Productos!$A$2:$D$13,3,TRUE)</f>
        <v>6</v>
      </c>
      <c r="H75" s="4">
        <f>VLOOKUP(E75,Productos!$A$2:$D$13,4,TRUE)</f>
        <v>9</v>
      </c>
      <c r="I75" s="4" t="s">
        <v>10</v>
      </c>
      <c r="J75" s="4">
        <v>116</v>
      </c>
      <c r="K75" s="7">
        <v>42595</v>
      </c>
    </row>
    <row r="76" spans="1:11" x14ac:dyDescent="0.25">
      <c r="A76" s="4">
        <v>23336</v>
      </c>
      <c r="B76" s="4" t="s">
        <v>154</v>
      </c>
      <c r="C76" s="4" t="s">
        <v>155</v>
      </c>
      <c r="D76" s="4" t="str">
        <f>VLOOKUP(C76,Países!$A$1:$B$186,2,TRUE)</f>
        <v>Middle East and North Africa</v>
      </c>
      <c r="E76" s="4" t="s">
        <v>58</v>
      </c>
      <c r="F76" s="4" t="str">
        <f>VLOOKUP(E76,Productos!$A$2:$D$13,2,TRUE)</f>
        <v>garrafa 2l</v>
      </c>
      <c r="G76" s="4">
        <f>VLOOKUP(E76,Productos!$A$2:$D$13,3,TRUE)</f>
        <v>2.5</v>
      </c>
      <c r="H76" s="4">
        <f>VLOOKUP(E76,Productos!$A$2:$D$13,4,TRUE)</f>
        <v>4.5</v>
      </c>
      <c r="I76" s="4" t="s">
        <v>17</v>
      </c>
      <c r="J76" s="4">
        <v>7</v>
      </c>
      <c r="K76" s="7">
        <v>42552</v>
      </c>
    </row>
    <row r="77" spans="1:11" x14ac:dyDescent="0.25">
      <c r="A77" s="4">
        <v>23337</v>
      </c>
      <c r="B77" s="4" t="s">
        <v>156</v>
      </c>
      <c r="C77" s="4" t="s">
        <v>157</v>
      </c>
      <c r="D77" s="4" t="str">
        <f>VLOOKUP(C77,Países!$A$1:$B$186,2,TRUE)</f>
        <v>Sub-Saharan Africa</v>
      </c>
      <c r="E77" s="4" t="s">
        <v>34</v>
      </c>
      <c r="F77" s="4" t="str">
        <f>VLOOKUP(E77,Productos!$A$2:$D$13,2,TRUE)</f>
        <v>garrafa 3l</v>
      </c>
      <c r="G77" s="4">
        <f>VLOOKUP(E77,Productos!$A$2:$D$13,3,TRUE)</f>
        <v>3.5</v>
      </c>
      <c r="H77" s="4">
        <f>VLOOKUP(E77,Productos!$A$2:$D$13,4,TRUE)</f>
        <v>6.99</v>
      </c>
      <c r="I77" s="4" t="s">
        <v>10</v>
      </c>
      <c r="J77" s="4">
        <v>82</v>
      </c>
      <c r="K77" s="7">
        <v>42558</v>
      </c>
    </row>
    <row r="78" spans="1:11" x14ac:dyDescent="0.25">
      <c r="A78" s="4">
        <v>23338</v>
      </c>
      <c r="B78" s="4" t="s">
        <v>158</v>
      </c>
      <c r="C78" s="4" t="s">
        <v>92</v>
      </c>
      <c r="D78" s="4" t="str">
        <f>VLOOKUP(C78,Países!$A$1:$B$186,2,TRUE)</f>
        <v>Asia</v>
      </c>
      <c r="E78" s="4" t="s">
        <v>23</v>
      </c>
      <c r="F78" s="4" t="str">
        <f>VLOOKUP(E78,Productos!$A$2:$D$13,2,TRUE)</f>
        <v>botellín 400cc</v>
      </c>
      <c r="G78" s="4">
        <f>VLOOKUP(E78,Productos!$A$2:$D$13,3,TRUE)</f>
        <v>2.2999999999999998</v>
      </c>
      <c r="H78" s="4">
        <f>VLOOKUP(E78,Productos!$A$2:$D$13,4,TRUE)</f>
        <v>4.5</v>
      </c>
      <c r="I78" s="4" t="s">
        <v>10</v>
      </c>
      <c r="J78" s="4">
        <v>178</v>
      </c>
      <c r="K78" s="7">
        <v>42594</v>
      </c>
    </row>
    <row r="79" spans="1:11" x14ac:dyDescent="0.25">
      <c r="A79" s="4">
        <v>23339</v>
      </c>
      <c r="B79" s="4" t="s">
        <v>159</v>
      </c>
      <c r="C79" s="4" t="s">
        <v>53</v>
      </c>
      <c r="D79" s="4" t="str">
        <f>VLOOKUP(C79,Países!$A$1:$B$186,2,TRUE)</f>
        <v>Europe</v>
      </c>
      <c r="E79" s="4" t="s">
        <v>29</v>
      </c>
      <c r="F79" s="4" t="str">
        <f>VLOOKUP(E79,Productos!$A$2:$D$13,2,TRUE)</f>
        <v>botella 0.5l</v>
      </c>
      <c r="G79" s="4">
        <f>VLOOKUP(E79,Productos!$A$2:$D$13,3,TRUE)</f>
        <v>3</v>
      </c>
      <c r="H79" s="4">
        <f>VLOOKUP(E79,Productos!$A$2:$D$13,4,TRUE)</f>
        <v>6</v>
      </c>
      <c r="I79" s="4" t="s">
        <v>17</v>
      </c>
      <c r="J79" s="4">
        <v>41</v>
      </c>
      <c r="K79" s="7">
        <v>42562</v>
      </c>
    </row>
    <row r="80" spans="1:11" x14ac:dyDescent="0.25">
      <c r="A80" s="4">
        <v>23340</v>
      </c>
      <c r="B80" s="4" t="s">
        <v>160</v>
      </c>
      <c r="C80" s="4" t="s">
        <v>161</v>
      </c>
      <c r="D80" s="4" t="str">
        <f>VLOOKUP(C80,Países!$A$1:$B$186,2,TRUE)</f>
        <v>Central America and the Caribbean</v>
      </c>
      <c r="E80" s="4" t="s">
        <v>58</v>
      </c>
      <c r="F80" s="4" t="str">
        <f>VLOOKUP(E80,Productos!$A$2:$D$13,2,TRUE)</f>
        <v>garrafa 2l</v>
      </c>
      <c r="G80" s="4">
        <f>VLOOKUP(E80,Productos!$A$2:$D$13,3,TRUE)</f>
        <v>2.5</v>
      </c>
      <c r="H80" s="4">
        <f>VLOOKUP(E80,Productos!$A$2:$D$13,4,TRUE)</f>
        <v>4.5</v>
      </c>
      <c r="I80" s="4" t="s">
        <v>17</v>
      </c>
      <c r="J80" s="4">
        <v>85</v>
      </c>
      <c r="K80" s="7">
        <v>42556</v>
      </c>
    </row>
    <row r="81" spans="1:11" x14ac:dyDescent="0.25">
      <c r="A81" s="4">
        <v>23341</v>
      </c>
      <c r="B81" s="4" t="s">
        <v>162</v>
      </c>
      <c r="C81" s="4" t="s">
        <v>22</v>
      </c>
      <c r="D81" s="4" t="str">
        <f>VLOOKUP(C81,Países!$A$1:$B$186,2,TRUE)</f>
        <v>Sub-Saharan Africa</v>
      </c>
      <c r="E81" s="4" t="s">
        <v>26</v>
      </c>
      <c r="F81" s="4" t="str">
        <f>VLOOKUP(E81,Productos!$A$2:$D$13,2,TRUE)</f>
        <v>botellín 200cc</v>
      </c>
      <c r="G81" s="4">
        <f>VLOOKUP(E81,Productos!$A$2:$D$13,3,TRUE)</f>
        <v>1.5</v>
      </c>
      <c r="H81" s="4">
        <f>VLOOKUP(E81,Productos!$A$2:$D$13,4,TRUE)</f>
        <v>3</v>
      </c>
      <c r="I81" s="4" t="s">
        <v>17</v>
      </c>
      <c r="J81" s="4">
        <v>77</v>
      </c>
      <c r="K81" s="7">
        <v>42548</v>
      </c>
    </row>
    <row r="82" spans="1:11" x14ac:dyDescent="0.25">
      <c r="A82" s="4">
        <v>23342</v>
      </c>
      <c r="B82" s="4" t="s">
        <v>163</v>
      </c>
      <c r="C82" s="4" t="s">
        <v>164</v>
      </c>
      <c r="D82" s="4" t="str">
        <f>VLOOKUP(C82,Países!$A$1:$B$186,2,TRUE)</f>
        <v>Europe</v>
      </c>
      <c r="E82" s="4" t="s">
        <v>23</v>
      </c>
      <c r="F82" s="4" t="str">
        <f>VLOOKUP(E82,Productos!$A$2:$D$13,2,TRUE)</f>
        <v>botellín 400cc</v>
      </c>
      <c r="G82" s="4">
        <f>VLOOKUP(E82,Productos!$A$2:$D$13,3,TRUE)</f>
        <v>2.2999999999999998</v>
      </c>
      <c r="H82" s="4">
        <f>VLOOKUP(E82,Productos!$A$2:$D$13,4,TRUE)</f>
        <v>4.5</v>
      </c>
      <c r="I82" s="4" t="s">
        <v>10</v>
      </c>
      <c r="J82" s="4">
        <v>122</v>
      </c>
      <c r="K82" s="7">
        <v>42549</v>
      </c>
    </row>
    <row r="83" spans="1:11" x14ac:dyDescent="0.25">
      <c r="A83" s="4">
        <v>23343</v>
      </c>
      <c r="B83" s="4" t="s">
        <v>165</v>
      </c>
      <c r="C83" s="4" t="s">
        <v>166</v>
      </c>
      <c r="D83" s="4" t="str">
        <f>VLOOKUP(C83,Países!$A$1:$B$186,2,TRUE)</f>
        <v>Asia</v>
      </c>
      <c r="E83" s="4" t="s">
        <v>20</v>
      </c>
      <c r="F83" s="4" t="str">
        <f>VLOOKUP(E83,Productos!$A$2:$D$13,2,TRUE)</f>
        <v>garrafa 4l</v>
      </c>
      <c r="G83" s="4">
        <f>VLOOKUP(E83,Productos!$A$2:$D$13,3,TRUE)</f>
        <v>5</v>
      </c>
      <c r="H83" s="4">
        <f>VLOOKUP(E83,Productos!$A$2:$D$13,4,TRUE)</f>
        <v>9.99</v>
      </c>
      <c r="I83" s="4" t="s">
        <v>10</v>
      </c>
      <c r="J83" s="4">
        <v>42</v>
      </c>
      <c r="K83" s="7">
        <v>42605</v>
      </c>
    </row>
    <row r="84" spans="1:11" x14ac:dyDescent="0.25">
      <c r="A84" s="4">
        <v>23344</v>
      </c>
      <c r="B84" s="4" t="s">
        <v>167</v>
      </c>
      <c r="C84" s="4" t="s">
        <v>168</v>
      </c>
      <c r="D84" s="4" t="str">
        <f>VLOOKUP(C84,Países!$A$1:$B$186,2,TRUE)</f>
        <v>Asia</v>
      </c>
      <c r="E84" s="4" t="s">
        <v>13</v>
      </c>
      <c r="F84" s="4" t="str">
        <f>VLOOKUP(E84,Productos!$A$2:$D$13,2,TRUE)</f>
        <v>botella 1l</v>
      </c>
      <c r="G84" s="4">
        <f>VLOOKUP(E84,Productos!$A$2:$D$13,3,TRUE)</f>
        <v>3.5</v>
      </c>
      <c r="H84" s="4">
        <f>VLOOKUP(E84,Productos!$A$2:$D$13,4,TRUE)</f>
        <v>6.5</v>
      </c>
      <c r="I84" s="4" t="s">
        <v>10</v>
      </c>
      <c r="J84" s="4">
        <v>64</v>
      </c>
      <c r="K84" s="7">
        <v>42604</v>
      </c>
    </row>
    <row r="85" spans="1:11" x14ac:dyDescent="0.25">
      <c r="A85" s="4">
        <v>23345</v>
      </c>
      <c r="B85" s="4" t="s">
        <v>169</v>
      </c>
      <c r="C85" s="4" t="s">
        <v>142</v>
      </c>
      <c r="D85" s="4" t="str">
        <f>VLOOKUP(C85,Países!$A$1:$B$186,2,TRUE)</f>
        <v>Europe</v>
      </c>
      <c r="E85" s="4" t="s">
        <v>51</v>
      </c>
      <c r="F85" s="4" t="str">
        <f>VLOOKUP(E85,Productos!$A$2:$D$13,2,TRUE)</f>
        <v>garrafa 8l</v>
      </c>
      <c r="G85" s="4">
        <f>VLOOKUP(E85,Productos!$A$2:$D$13,3,TRUE)</f>
        <v>8</v>
      </c>
      <c r="H85" s="4">
        <f>VLOOKUP(E85,Productos!$A$2:$D$13,4,TRUE)</f>
        <v>14.5</v>
      </c>
      <c r="I85" s="4" t="s">
        <v>59</v>
      </c>
      <c r="J85" s="4">
        <v>208</v>
      </c>
      <c r="K85" s="7">
        <v>42611</v>
      </c>
    </row>
    <row r="86" spans="1:11" x14ac:dyDescent="0.25">
      <c r="A86" s="4">
        <v>23346</v>
      </c>
      <c r="B86" s="4" t="s">
        <v>170</v>
      </c>
      <c r="C86" s="4" t="s">
        <v>57</v>
      </c>
      <c r="D86" s="4" t="str">
        <f>VLOOKUP(C86,Países!$A$1:$B$186,2,TRUE)</f>
        <v>Sub-Saharan Africa</v>
      </c>
      <c r="E86" s="4" t="s">
        <v>20</v>
      </c>
      <c r="F86" s="4" t="str">
        <f>VLOOKUP(E86,Productos!$A$2:$D$13,2,TRUE)</f>
        <v>garrafa 4l</v>
      </c>
      <c r="G86" s="4">
        <f>VLOOKUP(E86,Productos!$A$2:$D$13,3,TRUE)</f>
        <v>5</v>
      </c>
      <c r="H86" s="4">
        <f>VLOOKUP(E86,Productos!$A$2:$D$13,4,TRUE)</f>
        <v>9.99</v>
      </c>
      <c r="I86" s="4" t="s">
        <v>17</v>
      </c>
      <c r="J86" s="4">
        <v>13</v>
      </c>
      <c r="K86" s="7">
        <v>42580</v>
      </c>
    </row>
    <row r="87" spans="1:11" x14ac:dyDescent="0.25">
      <c r="A87" s="4">
        <v>23347</v>
      </c>
      <c r="B87" s="4" t="s">
        <v>171</v>
      </c>
      <c r="C87" s="4" t="s">
        <v>172</v>
      </c>
      <c r="D87" s="4" t="str">
        <f>VLOOKUP(C87,Países!$A$1:$B$186,2,TRUE)</f>
        <v>Middle East and North Africa</v>
      </c>
      <c r="E87" s="4" t="s">
        <v>16</v>
      </c>
      <c r="F87" s="4" t="str">
        <f>VLOOKUP(E87,Productos!$A$2:$D$13,2,TRUE)</f>
        <v>botella 5l</v>
      </c>
      <c r="G87" s="4">
        <f>VLOOKUP(E87,Productos!$A$2:$D$13,3,TRUE)</f>
        <v>6</v>
      </c>
      <c r="H87" s="4">
        <f>VLOOKUP(E87,Productos!$A$2:$D$13,4,TRUE)</f>
        <v>9</v>
      </c>
      <c r="I87" s="4" t="s">
        <v>17</v>
      </c>
      <c r="J87" s="4">
        <v>147</v>
      </c>
      <c r="K87" s="7">
        <v>42549</v>
      </c>
    </row>
    <row r="88" spans="1:11" x14ac:dyDescent="0.25">
      <c r="A88" s="4">
        <v>23348</v>
      </c>
      <c r="B88" s="4" t="s">
        <v>173</v>
      </c>
      <c r="C88" s="4" t="s">
        <v>174</v>
      </c>
      <c r="D88" s="4" t="str">
        <f>VLOOKUP(C88,Países!$A$1:$B$186,2,TRUE)</f>
        <v>Europe</v>
      </c>
      <c r="E88" s="4" t="s">
        <v>20</v>
      </c>
      <c r="F88" s="4" t="str">
        <f>VLOOKUP(E88,Productos!$A$2:$D$13,2,TRUE)</f>
        <v>garrafa 4l</v>
      </c>
      <c r="G88" s="4">
        <f>VLOOKUP(E88,Productos!$A$2:$D$13,3,TRUE)</f>
        <v>5</v>
      </c>
      <c r="H88" s="4">
        <f>VLOOKUP(E88,Productos!$A$2:$D$13,4,TRUE)</f>
        <v>9.99</v>
      </c>
      <c r="I88" s="4" t="s">
        <v>17</v>
      </c>
      <c r="J88" s="4">
        <v>163</v>
      </c>
      <c r="K88" s="7">
        <v>42607</v>
      </c>
    </row>
    <row r="89" spans="1:11" x14ac:dyDescent="0.25">
      <c r="A89" s="4">
        <v>23349</v>
      </c>
      <c r="B89" s="4" t="s">
        <v>175</v>
      </c>
      <c r="C89" s="4" t="s">
        <v>176</v>
      </c>
      <c r="D89" s="4" t="str">
        <f>VLOOKUP(C89,Países!$A$1:$B$186,2,TRUE)</f>
        <v>Europe</v>
      </c>
      <c r="E89" s="4" t="s">
        <v>13</v>
      </c>
      <c r="F89" s="4" t="str">
        <f>VLOOKUP(E89,Productos!$A$2:$D$13,2,TRUE)</f>
        <v>botella 1l</v>
      </c>
      <c r="G89" s="4">
        <f>VLOOKUP(E89,Productos!$A$2:$D$13,3,TRUE)</f>
        <v>3.5</v>
      </c>
      <c r="H89" s="4">
        <f>VLOOKUP(E89,Productos!$A$2:$D$13,4,TRUE)</f>
        <v>6.5</v>
      </c>
      <c r="I89" s="4" t="s">
        <v>59</v>
      </c>
      <c r="J89" s="4">
        <v>126</v>
      </c>
      <c r="K89" s="7">
        <v>42573</v>
      </c>
    </row>
    <row r="90" spans="1:11" x14ac:dyDescent="0.25">
      <c r="A90" s="4">
        <v>23350</v>
      </c>
      <c r="B90" s="4" t="s">
        <v>177</v>
      </c>
      <c r="C90" s="4" t="s">
        <v>178</v>
      </c>
      <c r="D90" s="4" t="str">
        <f>VLOOKUP(C90,Países!$A$1:$B$186,2,TRUE)</f>
        <v>Sub-Saharan Africa</v>
      </c>
      <c r="E90" s="4" t="s">
        <v>16</v>
      </c>
      <c r="F90" s="4" t="str">
        <f>VLOOKUP(E90,Productos!$A$2:$D$13,2,TRUE)</f>
        <v>botella 5l</v>
      </c>
      <c r="G90" s="4">
        <f>VLOOKUP(E90,Productos!$A$2:$D$13,3,TRUE)</f>
        <v>6</v>
      </c>
      <c r="H90" s="4">
        <f>VLOOKUP(E90,Productos!$A$2:$D$13,4,TRUE)</f>
        <v>9</v>
      </c>
      <c r="I90" s="4" t="s">
        <v>10</v>
      </c>
      <c r="J90" s="4">
        <v>188</v>
      </c>
      <c r="K90" s="7">
        <v>42546</v>
      </c>
    </row>
    <row r="91" spans="1:11" x14ac:dyDescent="0.25">
      <c r="A91" s="4">
        <v>23351</v>
      </c>
      <c r="B91" s="4" t="s">
        <v>179</v>
      </c>
      <c r="C91" s="4" t="s">
        <v>100</v>
      </c>
      <c r="D91" s="4" t="str">
        <f>VLOOKUP(C91,Países!$A$1:$B$186,2,TRUE)</f>
        <v>Asia</v>
      </c>
      <c r="E91" s="4" t="s">
        <v>23</v>
      </c>
      <c r="F91" s="4" t="str">
        <f>VLOOKUP(E91,Productos!$A$2:$D$13,2,TRUE)</f>
        <v>botellín 400cc</v>
      </c>
      <c r="G91" s="4">
        <f>VLOOKUP(E91,Productos!$A$2:$D$13,3,TRUE)</f>
        <v>2.2999999999999998</v>
      </c>
      <c r="H91" s="4">
        <f>VLOOKUP(E91,Productos!$A$2:$D$13,4,TRUE)</f>
        <v>4.5</v>
      </c>
      <c r="I91" s="4" t="s">
        <v>17</v>
      </c>
      <c r="J91" s="4">
        <v>151</v>
      </c>
      <c r="K91" s="7">
        <v>42585</v>
      </c>
    </row>
    <row r="92" spans="1:11" x14ac:dyDescent="0.25">
      <c r="A92" s="4">
        <v>23352</v>
      </c>
      <c r="B92" s="4" t="s">
        <v>180</v>
      </c>
      <c r="C92" s="4" t="s">
        <v>181</v>
      </c>
      <c r="D92" s="4" t="str">
        <f>VLOOKUP(C92,Países!$A$1:$B$186,2,TRUE)</f>
        <v>Europe</v>
      </c>
      <c r="E92" s="4" t="s">
        <v>29</v>
      </c>
      <c r="F92" s="4" t="str">
        <f>VLOOKUP(E92,Productos!$A$2:$D$13,2,TRUE)</f>
        <v>botella 0.5l</v>
      </c>
      <c r="G92" s="4">
        <f>VLOOKUP(E92,Productos!$A$2:$D$13,3,TRUE)</f>
        <v>3</v>
      </c>
      <c r="H92" s="4">
        <f>VLOOKUP(E92,Productos!$A$2:$D$13,4,TRUE)</f>
        <v>6</v>
      </c>
      <c r="I92" s="4" t="s">
        <v>10</v>
      </c>
      <c r="J92" s="4">
        <v>89</v>
      </c>
      <c r="K92" s="7">
        <v>42558</v>
      </c>
    </row>
    <row r="93" spans="1:11" x14ac:dyDescent="0.25">
      <c r="A93" s="4">
        <v>23353</v>
      </c>
      <c r="B93" s="4" t="s">
        <v>182</v>
      </c>
      <c r="C93" s="4" t="s">
        <v>112</v>
      </c>
      <c r="D93" s="4" t="str">
        <f>VLOOKUP(C93,Países!$A$1:$B$186,2,TRUE)</f>
        <v>North America</v>
      </c>
      <c r="E93" s="4" t="s">
        <v>51</v>
      </c>
      <c r="F93" s="4" t="str">
        <f>VLOOKUP(E93,Productos!$A$2:$D$13,2,TRUE)</f>
        <v>garrafa 8l</v>
      </c>
      <c r="G93" s="4">
        <f>VLOOKUP(E93,Productos!$A$2:$D$13,3,TRUE)</f>
        <v>8</v>
      </c>
      <c r="H93" s="4">
        <f>VLOOKUP(E93,Productos!$A$2:$D$13,4,TRUE)</f>
        <v>14.5</v>
      </c>
      <c r="I93" s="4" t="s">
        <v>17</v>
      </c>
      <c r="J93" s="4">
        <v>168</v>
      </c>
      <c r="K93" s="7">
        <v>42531</v>
      </c>
    </row>
    <row r="94" spans="1:11" x14ac:dyDescent="0.25">
      <c r="A94" s="4">
        <v>23354</v>
      </c>
      <c r="B94" s="4" t="s">
        <v>183</v>
      </c>
      <c r="C94" s="4" t="s">
        <v>67</v>
      </c>
      <c r="D94" s="4" t="str">
        <f>VLOOKUP(C94,Países!$A$1:$B$186,2,TRUE)</f>
        <v>Sub-Saharan Africa</v>
      </c>
      <c r="E94" s="4" t="s">
        <v>34</v>
      </c>
      <c r="F94" s="4" t="str">
        <f>VLOOKUP(E94,Productos!$A$2:$D$13,2,TRUE)</f>
        <v>garrafa 3l</v>
      </c>
      <c r="G94" s="4">
        <f>VLOOKUP(E94,Productos!$A$2:$D$13,3,TRUE)</f>
        <v>3.5</v>
      </c>
      <c r="H94" s="4">
        <f>VLOOKUP(E94,Productos!$A$2:$D$13,4,TRUE)</f>
        <v>6.99</v>
      </c>
      <c r="I94" s="4" t="s">
        <v>59</v>
      </c>
      <c r="J94" s="4">
        <v>84</v>
      </c>
      <c r="K94" s="7">
        <v>42585</v>
      </c>
    </row>
    <row r="95" spans="1:11" x14ac:dyDescent="0.25">
      <c r="A95" s="4">
        <v>23355</v>
      </c>
      <c r="B95" s="4" t="s">
        <v>184</v>
      </c>
      <c r="C95" s="4" t="s">
        <v>65</v>
      </c>
      <c r="D95" s="4" t="str">
        <f>VLOOKUP(C95,Países!$A$1:$B$186,2,TRUE)</f>
        <v>Australia and Oceania</v>
      </c>
      <c r="E95" s="4" t="s">
        <v>23</v>
      </c>
      <c r="F95" s="4" t="str">
        <f>VLOOKUP(E95,Productos!$A$2:$D$13,2,TRUE)</f>
        <v>botellín 400cc</v>
      </c>
      <c r="G95" s="4">
        <f>VLOOKUP(E95,Productos!$A$2:$D$13,3,TRUE)</f>
        <v>2.2999999999999998</v>
      </c>
      <c r="H95" s="4">
        <f>VLOOKUP(E95,Productos!$A$2:$D$13,4,TRUE)</f>
        <v>4.5</v>
      </c>
      <c r="I95" s="4" t="s">
        <v>59</v>
      </c>
      <c r="J95" s="4">
        <v>16</v>
      </c>
      <c r="K95" s="7">
        <v>42548</v>
      </c>
    </row>
    <row r="96" spans="1:11" x14ac:dyDescent="0.25">
      <c r="A96" s="4">
        <v>23356</v>
      </c>
      <c r="B96" s="4" t="s">
        <v>185</v>
      </c>
      <c r="C96" s="4" t="s">
        <v>152</v>
      </c>
      <c r="D96" s="4" t="str">
        <f>VLOOKUP(C96,Países!$A$1:$B$186,2,TRUE)</f>
        <v>Sub-Saharan Africa</v>
      </c>
      <c r="E96" s="4" t="s">
        <v>23</v>
      </c>
      <c r="F96" s="4" t="str">
        <f>VLOOKUP(E96,Productos!$A$2:$D$13,2,TRUE)</f>
        <v>botellín 400cc</v>
      </c>
      <c r="G96" s="4">
        <f>VLOOKUP(E96,Productos!$A$2:$D$13,3,TRUE)</f>
        <v>2.2999999999999998</v>
      </c>
      <c r="H96" s="4">
        <f>VLOOKUP(E96,Productos!$A$2:$D$13,4,TRUE)</f>
        <v>4.5</v>
      </c>
      <c r="I96" s="4" t="s">
        <v>17</v>
      </c>
      <c r="J96" s="4">
        <v>80</v>
      </c>
      <c r="K96" s="7">
        <v>42542</v>
      </c>
    </row>
    <row r="97" spans="1:11" x14ac:dyDescent="0.25">
      <c r="A97" s="4">
        <v>23357</v>
      </c>
      <c r="B97" s="4" t="s">
        <v>186</v>
      </c>
      <c r="C97" s="4" t="s">
        <v>88</v>
      </c>
      <c r="D97" s="4" t="str">
        <f>VLOOKUP(C97,Países!$A$1:$B$186,2,TRUE)</f>
        <v>Europe</v>
      </c>
      <c r="E97" s="4" t="s">
        <v>29</v>
      </c>
      <c r="F97" s="4" t="str">
        <f>VLOOKUP(E97,Productos!$A$2:$D$13,2,TRUE)</f>
        <v>botella 0.5l</v>
      </c>
      <c r="G97" s="4">
        <f>VLOOKUP(E97,Productos!$A$2:$D$13,3,TRUE)</f>
        <v>3</v>
      </c>
      <c r="H97" s="4">
        <f>VLOOKUP(E97,Productos!$A$2:$D$13,4,TRUE)</f>
        <v>6</v>
      </c>
      <c r="I97" s="4" t="s">
        <v>10</v>
      </c>
      <c r="J97" s="4">
        <v>50</v>
      </c>
      <c r="K97" s="7">
        <v>42568</v>
      </c>
    </row>
    <row r="98" spans="1:11" x14ac:dyDescent="0.25">
      <c r="A98" s="4">
        <v>23358</v>
      </c>
      <c r="B98" s="4" t="s">
        <v>187</v>
      </c>
      <c r="C98" s="4" t="s">
        <v>188</v>
      </c>
      <c r="D98" s="4" t="str">
        <f>VLOOKUP(C98,Países!$A$1:$B$186,2,TRUE)</f>
        <v>Australia and Oceania</v>
      </c>
      <c r="E98" s="4" t="s">
        <v>20</v>
      </c>
      <c r="F98" s="4" t="str">
        <f>VLOOKUP(E98,Productos!$A$2:$D$13,2,TRUE)</f>
        <v>garrafa 4l</v>
      </c>
      <c r="G98" s="4">
        <f>VLOOKUP(E98,Productos!$A$2:$D$13,3,TRUE)</f>
        <v>5</v>
      </c>
      <c r="H98" s="4">
        <f>VLOOKUP(E98,Productos!$A$2:$D$13,4,TRUE)</f>
        <v>9.99</v>
      </c>
      <c r="I98" s="4" t="s">
        <v>10</v>
      </c>
      <c r="J98" s="4">
        <v>41</v>
      </c>
      <c r="K98" s="7">
        <v>42532</v>
      </c>
    </row>
    <row r="99" spans="1:11" x14ac:dyDescent="0.25">
      <c r="A99" s="4">
        <v>23359</v>
      </c>
      <c r="B99" s="4" t="s">
        <v>189</v>
      </c>
      <c r="C99" s="4" t="s">
        <v>190</v>
      </c>
      <c r="D99" s="4" t="str">
        <f>VLOOKUP(C99,Países!$A$1:$B$186,2,TRUE)</f>
        <v>Sub-Saharan Africa</v>
      </c>
      <c r="E99" s="4" t="s">
        <v>9</v>
      </c>
      <c r="F99" s="4" t="str">
        <f>VLOOKUP(E99,Productos!$A$2:$D$13,2,TRUE)</f>
        <v>garrafa 1l</v>
      </c>
      <c r="G99" s="4">
        <f>VLOOKUP(E99,Productos!$A$2:$D$13,3,TRUE)</f>
        <v>1</v>
      </c>
      <c r="H99" s="4">
        <f>VLOOKUP(E99,Productos!$A$2:$D$13,4,TRUE)</f>
        <v>2</v>
      </c>
      <c r="I99" s="4" t="s">
        <v>17</v>
      </c>
      <c r="J99" s="4">
        <v>19</v>
      </c>
      <c r="K99" s="7">
        <v>42562</v>
      </c>
    </row>
    <row r="100" spans="1:11" x14ac:dyDescent="0.25">
      <c r="A100" s="4">
        <v>23360</v>
      </c>
      <c r="B100" s="4" t="s">
        <v>191</v>
      </c>
      <c r="C100" s="4" t="s">
        <v>25</v>
      </c>
      <c r="D100" s="4" t="str">
        <f>VLOOKUP(C100,Países!$A$1:$B$186,2,TRUE)</f>
        <v>Middle East and North Africa</v>
      </c>
      <c r="E100" s="4" t="s">
        <v>34</v>
      </c>
      <c r="F100" s="4" t="str">
        <f>VLOOKUP(E100,Productos!$A$2:$D$13,2,TRUE)</f>
        <v>garrafa 3l</v>
      </c>
      <c r="G100" s="4">
        <f>VLOOKUP(E100,Productos!$A$2:$D$13,3,TRUE)</f>
        <v>3.5</v>
      </c>
      <c r="H100" s="4">
        <f>VLOOKUP(E100,Productos!$A$2:$D$13,4,TRUE)</f>
        <v>6.99</v>
      </c>
      <c r="I100" s="4" t="s">
        <v>10</v>
      </c>
      <c r="J100" s="4">
        <v>37</v>
      </c>
      <c r="K100" s="7">
        <v>42534</v>
      </c>
    </row>
    <row r="101" spans="1:11" x14ac:dyDescent="0.25">
      <c r="A101" s="4">
        <v>23361</v>
      </c>
      <c r="B101" s="4" t="s">
        <v>192</v>
      </c>
      <c r="C101" s="4" t="s">
        <v>193</v>
      </c>
      <c r="D101" s="4" t="str">
        <f>VLOOKUP(C101,Países!$A$1:$B$186,2,TRUE)</f>
        <v>Sub-Saharan Africa</v>
      </c>
      <c r="E101" s="4" t="s">
        <v>34</v>
      </c>
      <c r="F101" s="4" t="str">
        <f>VLOOKUP(E101,Productos!$A$2:$D$13,2,TRUE)</f>
        <v>garrafa 3l</v>
      </c>
      <c r="G101" s="4">
        <f>VLOOKUP(E101,Productos!$A$2:$D$13,3,TRUE)</f>
        <v>3.5</v>
      </c>
      <c r="H101" s="4">
        <f>VLOOKUP(E101,Productos!$A$2:$D$13,4,TRUE)</f>
        <v>6.99</v>
      </c>
      <c r="I101" s="4" t="s">
        <v>17</v>
      </c>
      <c r="J101" s="4">
        <v>184</v>
      </c>
      <c r="K101" s="7">
        <v>42558</v>
      </c>
    </row>
    <row r="102" spans="1:11" x14ac:dyDescent="0.25">
      <c r="A102" s="4">
        <v>23362</v>
      </c>
      <c r="B102" s="4" t="s">
        <v>194</v>
      </c>
      <c r="C102" s="4" t="s">
        <v>71</v>
      </c>
      <c r="D102" s="4" t="str">
        <f>VLOOKUP(C102,Países!$A$1:$B$186,2,TRUE)</f>
        <v>Australia and Oceania</v>
      </c>
      <c r="E102" s="4" t="s">
        <v>26</v>
      </c>
      <c r="F102" s="4" t="str">
        <f>VLOOKUP(E102,Productos!$A$2:$D$13,2,TRUE)</f>
        <v>botellín 200cc</v>
      </c>
      <c r="G102" s="4">
        <f>VLOOKUP(E102,Productos!$A$2:$D$13,3,TRUE)</f>
        <v>1.5</v>
      </c>
      <c r="H102" s="4">
        <f>VLOOKUP(E102,Productos!$A$2:$D$13,4,TRUE)</f>
        <v>3</v>
      </c>
      <c r="I102" s="4" t="s">
        <v>17</v>
      </c>
      <c r="J102" s="4">
        <v>179</v>
      </c>
      <c r="K102" s="7">
        <v>42600</v>
      </c>
    </row>
    <row r="103" spans="1:11" x14ac:dyDescent="0.25">
      <c r="A103" s="4">
        <v>23363</v>
      </c>
      <c r="B103" s="4" t="s">
        <v>195</v>
      </c>
      <c r="C103" s="4" t="s">
        <v>196</v>
      </c>
      <c r="D103" s="4" t="str">
        <f>VLOOKUP(C103,Países!$A$1:$B$186,2,TRUE)</f>
        <v>Europe</v>
      </c>
      <c r="E103" s="4" t="s">
        <v>9</v>
      </c>
      <c r="F103" s="4" t="str">
        <f>VLOOKUP(E103,Productos!$A$2:$D$13,2,TRUE)</f>
        <v>garrafa 1l</v>
      </c>
      <c r="G103" s="4">
        <f>VLOOKUP(E103,Productos!$A$2:$D$13,3,TRUE)</f>
        <v>1</v>
      </c>
      <c r="H103" s="4">
        <f>VLOOKUP(E103,Productos!$A$2:$D$13,4,TRUE)</f>
        <v>2</v>
      </c>
      <c r="I103" s="4" t="s">
        <v>10</v>
      </c>
      <c r="J103" s="4">
        <v>190</v>
      </c>
      <c r="K103" s="7">
        <v>42571</v>
      </c>
    </row>
    <row r="104" spans="1:11" x14ac:dyDescent="0.25">
      <c r="A104" s="4">
        <v>23364</v>
      </c>
      <c r="B104" s="4" t="s">
        <v>197</v>
      </c>
      <c r="C104" s="4" t="s">
        <v>198</v>
      </c>
      <c r="D104" s="4" t="str">
        <f>VLOOKUP(C104,Países!$A$1:$B$186,2,TRUE)</f>
        <v>Middle East and North Africa</v>
      </c>
      <c r="E104" s="4" t="s">
        <v>16</v>
      </c>
      <c r="F104" s="4" t="str">
        <f>VLOOKUP(E104,Productos!$A$2:$D$13,2,TRUE)</f>
        <v>botella 5l</v>
      </c>
      <c r="G104" s="4">
        <f>VLOOKUP(E104,Productos!$A$2:$D$13,3,TRUE)</f>
        <v>6</v>
      </c>
      <c r="H104" s="4">
        <f>VLOOKUP(E104,Productos!$A$2:$D$13,4,TRUE)</f>
        <v>9</v>
      </c>
      <c r="I104" s="4" t="s">
        <v>17</v>
      </c>
      <c r="J104" s="4">
        <v>47</v>
      </c>
      <c r="K104" s="7">
        <v>42554</v>
      </c>
    </row>
    <row r="105" spans="1:11" x14ac:dyDescent="0.25">
      <c r="A105" s="4">
        <v>23365</v>
      </c>
      <c r="B105" s="4" t="s">
        <v>199</v>
      </c>
      <c r="C105" s="4" t="s">
        <v>200</v>
      </c>
      <c r="D105" s="4" t="str">
        <f>VLOOKUP(C105,Países!$A$1:$B$186,2,TRUE)</f>
        <v>Central America and the Caribbean</v>
      </c>
      <c r="E105" s="4" t="s">
        <v>58</v>
      </c>
      <c r="F105" s="4" t="str">
        <f>VLOOKUP(E105,Productos!$A$2:$D$13,2,TRUE)</f>
        <v>garrafa 2l</v>
      </c>
      <c r="G105" s="4">
        <f>VLOOKUP(E105,Productos!$A$2:$D$13,3,TRUE)</f>
        <v>2.5</v>
      </c>
      <c r="H105" s="4">
        <f>VLOOKUP(E105,Productos!$A$2:$D$13,4,TRUE)</f>
        <v>4.5</v>
      </c>
      <c r="I105" s="4" t="s">
        <v>17</v>
      </c>
      <c r="J105" s="4">
        <v>165</v>
      </c>
      <c r="K105" s="7">
        <v>42560</v>
      </c>
    </row>
    <row r="106" spans="1:11" x14ac:dyDescent="0.25">
      <c r="A106" s="4">
        <v>23366</v>
      </c>
      <c r="B106" s="4" t="s">
        <v>201</v>
      </c>
      <c r="C106" s="4" t="s">
        <v>88</v>
      </c>
      <c r="D106" s="4" t="str">
        <f>VLOOKUP(C106,Países!$A$1:$B$186,2,TRUE)</f>
        <v>Europe</v>
      </c>
      <c r="E106" s="4" t="s">
        <v>9</v>
      </c>
      <c r="F106" s="4" t="str">
        <f>VLOOKUP(E106,Productos!$A$2:$D$13,2,TRUE)</f>
        <v>garrafa 1l</v>
      </c>
      <c r="G106" s="4">
        <f>VLOOKUP(E106,Productos!$A$2:$D$13,3,TRUE)</f>
        <v>1</v>
      </c>
      <c r="H106" s="4">
        <f>VLOOKUP(E106,Productos!$A$2:$D$13,4,TRUE)</f>
        <v>2</v>
      </c>
      <c r="I106" s="4" t="s">
        <v>17</v>
      </c>
      <c r="J106" s="4">
        <v>178</v>
      </c>
      <c r="K106" s="7">
        <v>42540</v>
      </c>
    </row>
    <row r="107" spans="1:11" x14ac:dyDescent="0.25">
      <c r="A107" s="4">
        <v>23367</v>
      </c>
      <c r="B107" s="4" t="s">
        <v>202</v>
      </c>
      <c r="C107" s="4" t="s">
        <v>203</v>
      </c>
      <c r="D107" s="4" t="str">
        <f>VLOOKUP(C107,Países!$A$1:$B$186,2,TRUE)</f>
        <v>Middle East and North Africa</v>
      </c>
      <c r="E107" s="4" t="s">
        <v>23</v>
      </c>
      <c r="F107" s="4" t="str">
        <f>VLOOKUP(E107,Productos!$A$2:$D$13,2,TRUE)</f>
        <v>botellín 400cc</v>
      </c>
      <c r="G107" s="4">
        <f>VLOOKUP(E107,Productos!$A$2:$D$13,3,TRUE)</f>
        <v>2.2999999999999998</v>
      </c>
      <c r="H107" s="4">
        <f>VLOOKUP(E107,Productos!$A$2:$D$13,4,TRUE)</f>
        <v>4.5</v>
      </c>
      <c r="I107" s="4" t="s">
        <v>10</v>
      </c>
      <c r="J107" s="4">
        <v>10</v>
      </c>
      <c r="K107" s="7">
        <v>42545</v>
      </c>
    </row>
    <row r="108" spans="1:11" x14ac:dyDescent="0.25">
      <c r="A108" s="4">
        <v>23368</v>
      </c>
      <c r="B108" s="4" t="s">
        <v>204</v>
      </c>
      <c r="C108" s="4" t="s">
        <v>152</v>
      </c>
      <c r="D108" s="4" t="str">
        <f>VLOOKUP(C108,Países!$A$1:$B$186,2,TRUE)</f>
        <v>Sub-Saharan Africa</v>
      </c>
      <c r="E108" s="4" t="s">
        <v>58</v>
      </c>
      <c r="F108" s="4" t="str">
        <f>VLOOKUP(E108,Productos!$A$2:$D$13,2,TRUE)</f>
        <v>garrafa 2l</v>
      </c>
      <c r="G108" s="4">
        <f>VLOOKUP(E108,Productos!$A$2:$D$13,3,TRUE)</f>
        <v>2.5</v>
      </c>
      <c r="H108" s="4">
        <f>VLOOKUP(E108,Productos!$A$2:$D$13,4,TRUE)</f>
        <v>4.5</v>
      </c>
      <c r="I108" s="4" t="s">
        <v>10</v>
      </c>
      <c r="J108" s="4">
        <v>150</v>
      </c>
      <c r="K108" s="7">
        <v>42607</v>
      </c>
    </row>
    <row r="109" spans="1:11" x14ac:dyDescent="0.25">
      <c r="A109" s="4">
        <v>23369</v>
      </c>
      <c r="B109" s="4" t="s">
        <v>205</v>
      </c>
      <c r="C109" s="4" t="s">
        <v>146</v>
      </c>
      <c r="D109" s="4" t="str">
        <f>VLOOKUP(C109,Países!$A$1:$B$186,2,TRUE)</f>
        <v>Europe</v>
      </c>
      <c r="E109" s="4" t="s">
        <v>46</v>
      </c>
      <c r="F109" s="4" t="str">
        <f>VLOOKUP(E109,Productos!$A$2:$D$13,2,TRUE)</f>
        <v>botellín 500cc</v>
      </c>
      <c r="G109" s="4">
        <f>VLOOKUP(E109,Productos!$A$2:$D$13,3,TRUE)</f>
        <v>3.5</v>
      </c>
      <c r="H109" s="4">
        <f>VLOOKUP(E109,Productos!$A$2:$D$13,4,TRUE)</f>
        <v>6.5</v>
      </c>
      <c r="I109" s="4" t="s">
        <v>10</v>
      </c>
      <c r="J109" s="4">
        <v>77</v>
      </c>
      <c r="K109" s="7">
        <v>42553</v>
      </c>
    </row>
    <row r="110" spans="1:11" x14ac:dyDescent="0.25">
      <c r="A110" s="4">
        <v>23370</v>
      </c>
      <c r="B110" s="4" t="s">
        <v>206</v>
      </c>
      <c r="C110" s="4" t="s">
        <v>136</v>
      </c>
      <c r="D110" s="4" t="str">
        <f>VLOOKUP(C110,Países!$A$1:$B$186,2,TRUE)</f>
        <v>Asia</v>
      </c>
      <c r="E110" s="4" t="s">
        <v>26</v>
      </c>
      <c r="F110" s="4" t="str">
        <f>VLOOKUP(E110,Productos!$A$2:$D$13,2,TRUE)</f>
        <v>botellín 200cc</v>
      </c>
      <c r="G110" s="4">
        <f>VLOOKUP(E110,Productos!$A$2:$D$13,3,TRUE)</f>
        <v>1.5</v>
      </c>
      <c r="H110" s="4">
        <f>VLOOKUP(E110,Productos!$A$2:$D$13,4,TRUE)</f>
        <v>3</v>
      </c>
      <c r="I110" s="4" t="s">
        <v>10</v>
      </c>
      <c r="J110" s="4">
        <v>63</v>
      </c>
      <c r="K110" s="7">
        <v>42550</v>
      </c>
    </row>
    <row r="111" spans="1:11" x14ac:dyDescent="0.25">
      <c r="A111" s="4">
        <v>23371</v>
      </c>
      <c r="B111" s="4" t="s">
        <v>207</v>
      </c>
      <c r="C111" s="4" t="s">
        <v>208</v>
      </c>
      <c r="D111" s="4" t="str">
        <f>VLOOKUP(C111,Países!$A$1:$B$186,2,TRUE)</f>
        <v>Central America and the Caribbean</v>
      </c>
      <c r="E111" s="4" t="s">
        <v>34</v>
      </c>
      <c r="F111" s="4" t="str">
        <f>VLOOKUP(E111,Productos!$A$2:$D$13,2,TRUE)</f>
        <v>garrafa 3l</v>
      </c>
      <c r="G111" s="4">
        <f>VLOOKUP(E111,Productos!$A$2:$D$13,3,TRUE)</f>
        <v>3.5</v>
      </c>
      <c r="H111" s="4">
        <f>VLOOKUP(E111,Productos!$A$2:$D$13,4,TRUE)</f>
        <v>6.99</v>
      </c>
      <c r="I111" s="4" t="s">
        <v>17</v>
      </c>
      <c r="J111" s="4">
        <v>204</v>
      </c>
      <c r="K111" s="7">
        <v>42597</v>
      </c>
    </row>
    <row r="112" spans="1:11" x14ac:dyDescent="0.25">
      <c r="A112" s="4">
        <v>23372</v>
      </c>
      <c r="B112" s="4" t="s">
        <v>209</v>
      </c>
      <c r="C112" s="4" t="s">
        <v>152</v>
      </c>
      <c r="D112" s="4" t="str">
        <f>VLOOKUP(C112,Países!$A$1:$B$186,2,TRUE)</f>
        <v>Sub-Saharan Africa</v>
      </c>
      <c r="E112" s="4" t="s">
        <v>46</v>
      </c>
      <c r="F112" s="4" t="str">
        <f>VLOOKUP(E112,Productos!$A$2:$D$13,2,TRUE)</f>
        <v>botellín 500cc</v>
      </c>
      <c r="G112" s="4">
        <f>VLOOKUP(E112,Productos!$A$2:$D$13,3,TRUE)</f>
        <v>3.5</v>
      </c>
      <c r="H112" s="4">
        <f>VLOOKUP(E112,Productos!$A$2:$D$13,4,TRUE)</f>
        <v>6.5</v>
      </c>
      <c r="I112" s="4" t="s">
        <v>17</v>
      </c>
      <c r="J112" s="4">
        <v>22</v>
      </c>
      <c r="K112" s="7">
        <v>42594</v>
      </c>
    </row>
    <row r="113" spans="1:11" x14ac:dyDescent="0.25">
      <c r="A113" s="4">
        <v>23373</v>
      </c>
      <c r="B113" s="4" t="s">
        <v>210</v>
      </c>
      <c r="C113" s="4" t="s">
        <v>166</v>
      </c>
      <c r="D113" s="4" t="str">
        <f>VLOOKUP(C113,Países!$A$1:$B$186,2,TRUE)</f>
        <v>Asia</v>
      </c>
      <c r="E113" s="4" t="s">
        <v>13</v>
      </c>
      <c r="F113" s="4" t="str">
        <f>VLOOKUP(E113,Productos!$A$2:$D$13,2,TRUE)</f>
        <v>botella 1l</v>
      </c>
      <c r="G113" s="4">
        <f>VLOOKUP(E113,Productos!$A$2:$D$13,3,TRUE)</f>
        <v>3.5</v>
      </c>
      <c r="H113" s="4">
        <f>VLOOKUP(E113,Productos!$A$2:$D$13,4,TRUE)</f>
        <v>6.5</v>
      </c>
      <c r="I113" s="4" t="s">
        <v>10</v>
      </c>
      <c r="J113" s="4">
        <v>95</v>
      </c>
      <c r="K113" s="7">
        <v>42575</v>
      </c>
    </row>
    <row r="114" spans="1:11" x14ac:dyDescent="0.25">
      <c r="A114" s="4">
        <v>23374</v>
      </c>
      <c r="B114" s="4" t="s">
        <v>211</v>
      </c>
      <c r="C114" s="4" t="s">
        <v>212</v>
      </c>
      <c r="D114" s="4" t="str">
        <f>VLOOKUP(C114,Países!$A$1:$B$186,2,TRUE)</f>
        <v>Sub-Saharan Africa</v>
      </c>
      <c r="E114" s="4" t="s">
        <v>23</v>
      </c>
      <c r="F114" s="4" t="str">
        <f>VLOOKUP(E114,Productos!$A$2:$D$13,2,TRUE)</f>
        <v>botellín 400cc</v>
      </c>
      <c r="G114" s="4">
        <f>VLOOKUP(E114,Productos!$A$2:$D$13,3,TRUE)</f>
        <v>2.2999999999999998</v>
      </c>
      <c r="H114" s="4">
        <f>VLOOKUP(E114,Productos!$A$2:$D$13,4,TRUE)</f>
        <v>4.5</v>
      </c>
      <c r="I114" s="4" t="s">
        <v>17</v>
      </c>
      <c r="J114" s="4">
        <v>57</v>
      </c>
      <c r="K114" s="7">
        <v>42596</v>
      </c>
    </row>
    <row r="115" spans="1:11" x14ac:dyDescent="0.25">
      <c r="A115" s="4">
        <v>23375</v>
      </c>
      <c r="B115" s="4" t="s">
        <v>213</v>
      </c>
      <c r="C115" s="4" t="s">
        <v>65</v>
      </c>
      <c r="D115" s="4" t="str">
        <f>VLOOKUP(C115,Países!$A$1:$B$186,2,TRUE)</f>
        <v>Australia and Oceania</v>
      </c>
      <c r="E115" s="4" t="s">
        <v>34</v>
      </c>
      <c r="F115" s="4" t="str">
        <f>VLOOKUP(E115,Productos!$A$2:$D$13,2,TRUE)</f>
        <v>garrafa 3l</v>
      </c>
      <c r="G115" s="4">
        <f>VLOOKUP(E115,Productos!$A$2:$D$13,3,TRUE)</f>
        <v>3.5</v>
      </c>
      <c r="H115" s="4">
        <f>VLOOKUP(E115,Productos!$A$2:$D$13,4,TRUE)</f>
        <v>6.99</v>
      </c>
      <c r="I115" s="4" t="s">
        <v>17</v>
      </c>
      <c r="J115" s="4">
        <v>5</v>
      </c>
      <c r="K115" s="7">
        <v>42551</v>
      </c>
    </row>
    <row r="116" spans="1:11" x14ac:dyDescent="0.25">
      <c r="A116" s="4">
        <v>23376</v>
      </c>
      <c r="B116" s="4" t="s">
        <v>214</v>
      </c>
      <c r="C116" s="4" t="s">
        <v>94</v>
      </c>
      <c r="D116" s="4" t="str">
        <f>VLOOKUP(C116,Países!$A$1:$B$186,2,TRUE)</f>
        <v>Sub-Saharan Africa</v>
      </c>
      <c r="E116" s="4" t="s">
        <v>34</v>
      </c>
      <c r="F116" s="4" t="str">
        <f>VLOOKUP(E116,Productos!$A$2:$D$13,2,TRUE)</f>
        <v>garrafa 3l</v>
      </c>
      <c r="G116" s="4">
        <f>VLOOKUP(E116,Productos!$A$2:$D$13,3,TRUE)</f>
        <v>3.5</v>
      </c>
      <c r="H116" s="4">
        <f>VLOOKUP(E116,Productos!$A$2:$D$13,4,TRUE)</f>
        <v>6.99</v>
      </c>
      <c r="I116" s="4" t="s">
        <v>17</v>
      </c>
      <c r="J116" s="4">
        <v>85</v>
      </c>
      <c r="K116" s="7">
        <v>42574</v>
      </c>
    </row>
    <row r="117" spans="1:11" x14ac:dyDescent="0.25">
      <c r="A117" s="4">
        <v>23377</v>
      </c>
      <c r="B117" s="4" t="s">
        <v>215</v>
      </c>
      <c r="C117" s="4" t="s">
        <v>67</v>
      </c>
      <c r="D117" s="4" t="str">
        <f>VLOOKUP(C117,Países!$A$1:$B$186,2,TRUE)</f>
        <v>Sub-Saharan Africa</v>
      </c>
      <c r="E117" s="4" t="s">
        <v>46</v>
      </c>
      <c r="F117" s="4" t="str">
        <f>VLOOKUP(E117,Productos!$A$2:$D$13,2,TRUE)</f>
        <v>botellín 500cc</v>
      </c>
      <c r="G117" s="4">
        <f>VLOOKUP(E117,Productos!$A$2:$D$13,3,TRUE)</f>
        <v>3.5</v>
      </c>
      <c r="H117" s="4">
        <f>VLOOKUP(E117,Productos!$A$2:$D$13,4,TRUE)</f>
        <v>6.5</v>
      </c>
      <c r="I117" s="4" t="s">
        <v>17</v>
      </c>
      <c r="J117" s="4">
        <v>43</v>
      </c>
      <c r="K117" s="7">
        <v>42536</v>
      </c>
    </row>
    <row r="118" spans="1:11" x14ac:dyDescent="0.25">
      <c r="A118" s="4">
        <v>23378</v>
      </c>
      <c r="B118" s="4" t="s">
        <v>216</v>
      </c>
      <c r="C118" s="4" t="s">
        <v>217</v>
      </c>
      <c r="D118" s="4" t="str">
        <f>VLOOKUP(C118,Países!$A$1:$B$186,2,TRUE)</f>
        <v>Europe</v>
      </c>
      <c r="E118" s="4" t="s">
        <v>51</v>
      </c>
      <c r="F118" s="4" t="str">
        <f>VLOOKUP(E118,Productos!$A$2:$D$13,2,TRUE)</f>
        <v>garrafa 8l</v>
      </c>
      <c r="G118" s="4">
        <f>VLOOKUP(E118,Productos!$A$2:$D$13,3,TRUE)</f>
        <v>8</v>
      </c>
      <c r="H118" s="4">
        <f>VLOOKUP(E118,Productos!$A$2:$D$13,4,TRUE)</f>
        <v>14.5</v>
      </c>
      <c r="I118" s="4" t="s">
        <v>17</v>
      </c>
      <c r="J118" s="4">
        <v>157</v>
      </c>
      <c r="K118" s="7">
        <v>42539</v>
      </c>
    </row>
    <row r="119" spans="1:11" x14ac:dyDescent="0.25">
      <c r="A119" s="4">
        <v>23379</v>
      </c>
      <c r="B119" s="4" t="s">
        <v>218</v>
      </c>
      <c r="C119" s="4" t="s">
        <v>140</v>
      </c>
      <c r="D119" s="4" t="str">
        <f>VLOOKUP(C119,Países!$A$1:$B$186,2,TRUE)</f>
        <v>Sub-Saharan Africa</v>
      </c>
      <c r="E119" s="4" t="s">
        <v>23</v>
      </c>
      <c r="F119" s="4" t="str">
        <f>VLOOKUP(E119,Productos!$A$2:$D$13,2,TRUE)</f>
        <v>botellín 400cc</v>
      </c>
      <c r="G119" s="4">
        <f>VLOOKUP(E119,Productos!$A$2:$D$13,3,TRUE)</f>
        <v>2.2999999999999998</v>
      </c>
      <c r="H119" s="4">
        <f>VLOOKUP(E119,Productos!$A$2:$D$13,4,TRUE)</f>
        <v>4.5</v>
      </c>
      <c r="I119" s="4" t="s">
        <v>10</v>
      </c>
      <c r="J119" s="4">
        <v>65</v>
      </c>
      <c r="K119" s="7">
        <v>42609</v>
      </c>
    </row>
    <row r="120" spans="1:11" x14ac:dyDescent="0.25">
      <c r="A120" s="4">
        <v>23380</v>
      </c>
      <c r="B120" s="4" t="s">
        <v>219</v>
      </c>
      <c r="C120" s="4" t="s">
        <v>220</v>
      </c>
      <c r="D120" s="4" t="str">
        <f>VLOOKUP(C120,Países!$A$1:$B$186,2,TRUE)</f>
        <v>Australia and Oceania</v>
      </c>
      <c r="E120" s="4" t="s">
        <v>46</v>
      </c>
      <c r="F120" s="4" t="str">
        <f>VLOOKUP(E120,Productos!$A$2:$D$13,2,TRUE)</f>
        <v>botellín 500cc</v>
      </c>
      <c r="G120" s="4">
        <f>VLOOKUP(E120,Productos!$A$2:$D$13,3,TRUE)</f>
        <v>3.5</v>
      </c>
      <c r="H120" s="4">
        <f>VLOOKUP(E120,Productos!$A$2:$D$13,4,TRUE)</f>
        <v>6.5</v>
      </c>
      <c r="I120" s="4" t="s">
        <v>10</v>
      </c>
      <c r="J120" s="4">
        <v>95</v>
      </c>
      <c r="K120" s="7">
        <v>42573</v>
      </c>
    </row>
    <row r="121" spans="1:11" x14ac:dyDescent="0.25">
      <c r="A121" s="4">
        <v>23381</v>
      </c>
      <c r="B121" s="4" t="s">
        <v>221</v>
      </c>
      <c r="C121" s="4" t="s">
        <v>212</v>
      </c>
      <c r="D121" s="4" t="str">
        <f>VLOOKUP(C121,Países!$A$1:$B$186,2,TRUE)</f>
        <v>Sub-Saharan Africa</v>
      </c>
      <c r="E121" s="4" t="s">
        <v>34</v>
      </c>
      <c r="F121" s="4" t="str">
        <f>VLOOKUP(E121,Productos!$A$2:$D$13,2,TRUE)</f>
        <v>garrafa 3l</v>
      </c>
      <c r="G121" s="4">
        <f>VLOOKUP(E121,Productos!$A$2:$D$13,3,TRUE)</f>
        <v>3.5</v>
      </c>
      <c r="H121" s="4">
        <f>VLOOKUP(E121,Productos!$A$2:$D$13,4,TRUE)</f>
        <v>6.99</v>
      </c>
      <c r="I121" s="4" t="s">
        <v>17</v>
      </c>
      <c r="J121" s="4">
        <v>159</v>
      </c>
      <c r="K121" s="7">
        <v>42573</v>
      </c>
    </row>
    <row r="122" spans="1:11" x14ac:dyDescent="0.25">
      <c r="A122" s="4">
        <v>23382</v>
      </c>
      <c r="B122" s="4" t="s">
        <v>189</v>
      </c>
      <c r="C122" s="4" t="s">
        <v>198</v>
      </c>
      <c r="D122" s="4" t="str">
        <f>VLOOKUP(C122,Países!$A$1:$B$186,2,TRUE)</f>
        <v>Middle East and North Africa</v>
      </c>
      <c r="E122" s="4" t="s">
        <v>29</v>
      </c>
      <c r="F122" s="4" t="str">
        <f>VLOOKUP(E122,Productos!$A$2:$D$13,2,TRUE)</f>
        <v>botella 0.5l</v>
      </c>
      <c r="G122" s="4">
        <f>VLOOKUP(E122,Productos!$A$2:$D$13,3,TRUE)</f>
        <v>3</v>
      </c>
      <c r="H122" s="4">
        <f>VLOOKUP(E122,Productos!$A$2:$D$13,4,TRUE)</f>
        <v>6</v>
      </c>
      <c r="I122" s="4" t="s">
        <v>10</v>
      </c>
      <c r="J122" s="4">
        <v>14</v>
      </c>
      <c r="K122" s="7">
        <v>42537</v>
      </c>
    </row>
    <row r="123" spans="1:11" x14ac:dyDescent="0.25">
      <c r="A123" s="4">
        <v>23383</v>
      </c>
      <c r="B123" s="4" t="s">
        <v>222</v>
      </c>
      <c r="C123" s="4" t="s">
        <v>97</v>
      </c>
      <c r="D123" s="4" t="str">
        <f>VLOOKUP(C123,Países!$A$1:$B$186,2,TRUE)</f>
        <v>Sub-Saharan Africa</v>
      </c>
      <c r="E123" s="4" t="s">
        <v>34</v>
      </c>
      <c r="F123" s="4" t="str">
        <f>VLOOKUP(E123,Productos!$A$2:$D$13,2,TRUE)</f>
        <v>garrafa 3l</v>
      </c>
      <c r="G123" s="4">
        <f>VLOOKUP(E123,Productos!$A$2:$D$13,3,TRUE)</f>
        <v>3.5</v>
      </c>
      <c r="H123" s="4">
        <f>VLOOKUP(E123,Productos!$A$2:$D$13,4,TRUE)</f>
        <v>6.99</v>
      </c>
      <c r="I123" s="4" t="s">
        <v>10</v>
      </c>
      <c r="J123" s="4">
        <v>39</v>
      </c>
      <c r="K123" s="7">
        <v>42569</v>
      </c>
    </row>
    <row r="124" spans="1:11" x14ac:dyDescent="0.25">
      <c r="A124" s="4">
        <v>23384</v>
      </c>
      <c r="B124" s="4" t="s">
        <v>223</v>
      </c>
      <c r="C124" s="4" t="s">
        <v>164</v>
      </c>
      <c r="D124" s="4" t="str">
        <f>VLOOKUP(C124,Países!$A$1:$B$186,2,TRUE)</f>
        <v>Europe</v>
      </c>
      <c r="E124" s="4" t="s">
        <v>23</v>
      </c>
      <c r="F124" s="4" t="str">
        <f>VLOOKUP(E124,Productos!$A$2:$D$13,2,TRUE)</f>
        <v>botellín 400cc</v>
      </c>
      <c r="G124" s="4">
        <f>VLOOKUP(E124,Productos!$A$2:$D$13,3,TRUE)</f>
        <v>2.2999999999999998</v>
      </c>
      <c r="H124" s="4">
        <f>VLOOKUP(E124,Productos!$A$2:$D$13,4,TRUE)</f>
        <v>4.5</v>
      </c>
      <c r="I124" s="4" t="s">
        <v>17</v>
      </c>
      <c r="J124" s="4">
        <v>9</v>
      </c>
      <c r="K124" s="7">
        <v>42579</v>
      </c>
    </row>
    <row r="125" spans="1:11" x14ac:dyDescent="0.25">
      <c r="A125" s="4">
        <v>23385</v>
      </c>
      <c r="B125" s="4" t="s">
        <v>224</v>
      </c>
      <c r="C125" s="4" t="s">
        <v>225</v>
      </c>
      <c r="D125" s="4" t="str">
        <f>VLOOKUP(C125,Países!$A$1:$B$186,2,TRUE)</f>
        <v>Europe</v>
      </c>
      <c r="E125" s="4" t="s">
        <v>26</v>
      </c>
      <c r="F125" s="4" t="str">
        <f>VLOOKUP(E125,Productos!$A$2:$D$13,2,TRUE)</f>
        <v>botellín 200cc</v>
      </c>
      <c r="G125" s="4">
        <f>VLOOKUP(E125,Productos!$A$2:$D$13,3,TRUE)</f>
        <v>1.5</v>
      </c>
      <c r="H125" s="4">
        <f>VLOOKUP(E125,Productos!$A$2:$D$13,4,TRUE)</f>
        <v>3</v>
      </c>
      <c r="I125" s="4" t="s">
        <v>10</v>
      </c>
      <c r="J125" s="4">
        <v>50</v>
      </c>
      <c r="K125" s="7">
        <v>42529</v>
      </c>
    </row>
    <row r="126" spans="1:11" x14ac:dyDescent="0.25">
      <c r="A126" s="4">
        <v>23386</v>
      </c>
      <c r="B126" s="4" t="s">
        <v>226</v>
      </c>
      <c r="C126" s="4" t="s">
        <v>97</v>
      </c>
      <c r="D126" s="4" t="str">
        <f>VLOOKUP(C126,Países!$A$1:$B$186,2,TRUE)</f>
        <v>Sub-Saharan Africa</v>
      </c>
      <c r="E126" s="4" t="s">
        <v>29</v>
      </c>
      <c r="F126" s="4" t="str">
        <f>VLOOKUP(E126,Productos!$A$2:$D$13,2,TRUE)</f>
        <v>botella 0.5l</v>
      </c>
      <c r="G126" s="4">
        <f>VLOOKUP(E126,Productos!$A$2:$D$13,3,TRUE)</f>
        <v>3</v>
      </c>
      <c r="H126" s="4">
        <f>VLOOKUP(E126,Productos!$A$2:$D$13,4,TRUE)</f>
        <v>6</v>
      </c>
      <c r="I126" s="4" t="s">
        <v>17</v>
      </c>
      <c r="J126" s="4">
        <v>107</v>
      </c>
      <c r="K126" s="7">
        <v>42597</v>
      </c>
    </row>
    <row r="127" spans="1:11" x14ac:dyDescent="0.25">
      <c r="A127" s="4">
        <v>23387</v>
      </c>
      <c r="B127" s="4" t="s">
        <v>227</v>
      </c>
      <c r="C127" s="4" t="s">
        <v>228</v>
      </c>
      <c r="D127" s="4" t="str">
        <f>VLOOKUP(C127,Países!$A$1:$B$186,2,TRUE)</f>
        <v>Europe</v>
      </c>
      <c r="E127" s="4" t="s">
        <v>20</v>
      </c>
      <c r="F127" s="4" t="str">
        <f>VLOOKUP(E127,Productos!$A$2:$D$13,2,TRUE)</f>
        <v>garrafa 4l</v>
      </c>
      <c r="G127" s="4">
        <f>VLOOKUP(E127,Productos!$A$2:$D$13,3,TRUE)</f>
        <v>5</v>
      </c>
      <c r="H127" s="4">
        <f>VLOOKUP(E127,Productos!$A$2:$D$13,4,TRUE)</f>
        <v>9.99</v>
      </c>
      <c r="I127" s="4" t="s">
        <v>59</v>
      </c>
      <c r="J127" s="4">
        <v>118</v>
      </c>
      <c r="K127" s="7">
        <v>42539</v>
      </c>
    </row>
    <row r="128" spans="1:11" x14ac:dyDescent="0.25">
      <c r="A128" s="4">
        <v>23388</v>
      </c>
      <c r="B128" s="4" t="s">
        <v>229</v>
      </c>
      <c r="C128" s="4" t="s">
        <v>230</v>
      </c>
      <c r="D128" s="4" t="str">
        <f>VLOOKUP(C128,Países!$A$1:$B$186,2,TRUE)</f>
        <v>Europe</v>
      </c>
      <c r="E128" s="4" t="s">
        <v>29</v>
      </c>
      <c r="F128" s="4" t="str">
        <f>VLOOKUP(E128,Productos!$A$2:$D$13,2,TRUE)</f>
        <v>botella 0.5l</v>
      </c>
      <c r="G128" s="4">
        <f>VLOOKUP(E128,Productos!$A$2:$D$13,3,TRUE)</f>
        <v>3</v>
      </c>
      <c r="H128" s="4">
        <f>VLOOKUP(E128,Productos!$A$2:$D$13,4,TRUE)</f>
        <v>6</v>
      </c>
      <c r="I128" s="4" t="s">
        <v>10</v>
      </c>
      <c r="J128" s="4">
        <v>39</v>
      </c>
      <c r="K128" s="7">
        <v>42595</v>
      </c>
    </row>
    <row r="129" spans="1:11" x14ac:dyDescent="0.25">
      <c r="A129" s="4">
        <v>23389</v>
      </c>
      <c r="B129" s="4" t="s">
        <v>231</v>
      </c>
      <c r="C129" s="4" t="s">
        <v>232</v>
      </c>
      <c r="D129" s="4" t="str">
        <f>VLOOKUP(C129,Países!$A$1:$B$186,2,TRUE)</f>
        <v>Europe</v>
      </c>
      <c r="E129" s="4" t="s">
        <v>9</v>
      </c>
      <c r="F129" s="4" t="str">
        <f>VLOOKUP(E129,Productos!$A$2:$D$13,2,TRUE)</f>
        <v>garrafa 1l</v>
      </c>
      <c r="G129" s="4">
        <f>VLOOKUP(E129,Productos!$A$2:$D$13,3,TRUE)</f>
        <v>1</v>
      </c>
      <c r="H129" s="4">
        <f>VLOOKUP(E129,Productos!$A$2:$D$13,4,TRUE)</f>
        <v>2</v>
      </c>
      <c r="I129" s="4" t="s">
        <v>10</v>
      </c>
      <c r="J129" s="4">
        <v>126</v>
      </c>
      <c r="K129" s="7">
        <v>42584</v>
      </c>
    </row>
    <row r="130" spans="1:11" x14ac:dyDescent="0.25">
      <c r="A130" s="4">
        <v>23390</v>
      </c>
      <c r="B130" s="4" t="s">
        <v>233</v>
      </c>
      <c r="C130" s="4" t="s">
        <v>69</v>
      </c>
      <c r="D130" s="4" t="str">
        <f>VLOOKUP(C130,Países!$A$1:$B$186,2,TRUE)</f>
        <v>Middle East and North Africa</v>
      </c>
      <c r="E130" s="4" t="s">
        <v>26</v>
      </c>
      <c r="F130" s="4" t="str">
        <f>VLOOKUP(E130,Productos!$A$2:$D$13,2,TRUE)</f>
        <v>botellín 200cc</v>
      </c>
      <c r="G130" s="4">
        <f>VLOOKUP(E130,Productos!$A$2:$D$13,3,TRUE)</f>
        <v>1.5</v>
      </c>
      <c r="H130" s="4">
        <f>VLOOKUP(E130,Productos!$A$2:$D$13,4,TRUE)</f>
        <v>3</v>
      </c>
      <c r="I130" s="4" t="s">
        <v>17</v>
      </c>
      <c r="J130" s="4">
        <v>176</v>
      </c>
      <c r="K130" s="7">
        <v>42548</v>
      </c>
    </row>
    <row r="131" spans="1:11" x14ac:dyDescent="0.25">
      <c r="A131" s="4">
        <v>23391</v>
      </c>
      <c r="B131" s="4" t="s">
        <v>234</v>
      </c>
      <c r="C131" s="4" t="s">
        <v>212</v>
      </c>
      <c r="D131" s="4" t="str">
        <f>VLOOKUP(C131,Países!$A$1:$B$186,2,TRUE)</f>
        <v>Sub-Saharan Africa</v>
      </c>
      <c r="E131" s="4" t="s">
        <v>29</v>
      </c>
      <c r="F131" s="4" t="str">
        <f>VLOOKUP(E131,Productos!$A$2:$D$13,2,TRUE)</f>
        <v>botella 0.5l</v>
      </c>
      <c r="G131" s="4">
        <f>VLOOKUP(E131,Productos!$A$2:$D$13,3,TRUE)</f>
        <v>3</v>
      </c>
      <c r="H131" s="4">
        <f>VLOOKUP(E131,Productos!$A$2:$D$13,4,TRUE)</f>
        <v>6</v>
      </c>
      <c r="I131" s="4" t="s">
        <v>59</v>
      </c>
      <c r="J131" s="4">
        <v>111</v>
      </c>
      <c r="K131" s="7">
        <v>42596</v>
      </c>
    </row>
    <row r="132" spans="1:11" x14ac:dyDescent="0.25">
      <c r="A132" s="4">
        <v>23392</v>
      </c>
      <c r="B132" s="4" t="s">
        <v>235</v>
      </c>
      <c r="C132" s="4" t="s">
        <v>236</v>
      </c>
      <c r="D132" s="4" t="str">
        <f>VLOOKUP(C132,Países!$A$1:$B$186,2,TRUE)</f>
        <v>Middle East and North Africa</v>
      </c>
      <c r="E132" s="4" t="s">
        <v>29</v>
      </c>
      <c r="F132" s="4" t="str">
        <f>VLOOKUP(E132,Productos!$A$2:$D$13,2,TRUE)</f>
        <v>botella 0.5l</v>
      </c>
      <c r="G132" s="4">
        <f>VLOOKUP(E132,Productos!$A$2:$D$13,3,TRUE)</f>
        <v>3</v>
      </c>
      <c r="H132" s="4">
        <f>VLOOKUP(E132,Productos!$A$2:$D$13,4,TRUE)</f>
        <v>6</v>
      </c>
      <c r="I132" s="4" t="s">
        <v>17</v>
      </c>
      <c r="J132" s="4">
        <v>71</v>
      </c>
      <c r="K132" s="7">
        <v>42554</v>
      </c>
    </row>
    <row r="133" spans="1:11" x14ac:dyDescent="0.25">
      <c r="A133" s="4">
        <v>23393</v>
      </c>
      <c r="B133" s="4" t="s">
        <v>237</v>
      </c>
      <c r="C133" s="4" t="s">
        <v>131</v>
      </c>
      <c r="D133" s="4" t="str">
        <f>VLOOKUP(C133,Países!$A$1:$B$186,2,TRUE)</f>
        <v>Asia</v>
      </c>
      <c r="E133" s="4" t="s">
        <v>51</v>
      </c>
      <c r="F133" s="4" t="str">
        <f>VLOOKUP(E133,Productos!$A$2:$D$13,2,TRUE)</f>
        <v>garrafa 8l</v>
      </c>
      <c r="G133" s="4">
        <f>VLOOKUP(E133,Productos!$A$2:$D$13,3,TRUE)</f>
        <v>8</v>
      </c>
      <c r="H133" s="4">
        <f>VLOOKUP(E133,Productos!$A$2:$D$13,4,TRUE)</f>
        <v>14.5</v>
      </c>
      <c r="I133" s="4" t="s">
        <v>59</v>
      </c>
      <c r="J133" s="4">
        <v>113</v>
      </c>
      <c r="K133" s="7">
        <v>42605</v>
      </c>
    </row>
    <row r="134" spans="1:11" x14ac:dyDescent="0.25">
      <c r="A134" s="4">
        <v>23394</v>
      </c>
      <c r="B134" s="4" t="s">
        <v>238</v>
      </c>
      <c r="C134" s="4" t="s">
        <v>50</v>
      </c>
      <c r="D134" s="4" t="str">
        <f>VLOOKUP(C134,Países!$A$1:$B$186,2,TRUE)</f>
        <v>Sub-Saharan Africa</v>
      </c>
      <c r="E134" s="4" t="s">
        <v>51</v>
      </c>
      <c r="F134" s="4" t="str">
        <f>VLOOKUP(E134,Productos!$A$2:$D$13,2,TRUE)</f>
        <v>garrafa 8l</v>
      </c>
      <c r="G134" s="4">
        <f>VLOOKUP(E134,Productos!$A$2:$D$13,3,TRUE)</f>
        <v>8</v>
      </c>
      <c r="H134" s="4">
        <f>VLOOKUP(E134,Productos!$A$2:$D$13,4,TRUE)</f>
        <v>14.5</v>
      </c>
      <c r="I134" s="4" t="s">
        <v>17</v>
      </c>
      <c r="J134" s="4">
        <v>105</v>
      </c>
      <c r="K134" s="7">
        <v>42582</v>
      </c>
    </row>
    <row r="135" spans="1:11" x14ac:dyDescent="0.25">
      <c r="A135" s="4">
        <v>23395</v>
      </c>
      <c r="B135" s="4" t="s">
        <v>239</v>
      </c>
      <c r="C135" s="4" t="s">
        <v>83</v>
      </c>
      <c r="D135" s="4" t="str">
        <f>VLOOKUP(C135,Países!$A$1:$B$186,2,TRUE)</f>
        <v>Sub-Saharan Africa</v>
      </c>
      <c r="E135" s="4" t="s">
        <v>13</v>
      </c>
      <c r="F135" s="4" t="str">
        <f>VLOOKUP(E135,Productos!$A$2:$D$13,2,TRUE)</f>
        <v>botella 1l</v>
      </c>
      <c r="G135" s="4">
        <f>VLOOKUP(E135,Productos!$A$2:$D$13,3,TRUE)</f>
        <v>3.5</v>
      </c>
      <c r="H135" s="4">
        <f>VLOOKUP(E135,Productos!$A$2:$D$13,4,TRUE)</f>
        <v>6.5</v>
      </c>
      <c r="I135" s="4" t="s">
        <v>10</v>
      </c>
      <c r="J135" s="4">
        <v>169</v>
      </c>
      <c r="K135" s="7">
        <v>42578</v>
      </c>
    </row>
    <row r="136" spans="1:11" x14ac:dyDescent="0.25">
      <c r="A136" s="4">
        <v>23396</v>
      </c>
      <c r="B136" s="4" t="s">
        <v>240</v>
      </c>
      <c r="C136" s="4" t="s">
        <v>157</v>
      </c>
      <c r="D136" s="4" t="str">
        <f>VLOOKUP(C136,Países!$A$1:$B$186,2,TRUE)</f>
        <v>Sub-Saharan Africa</v>
      </c>
      <c r="E136" s="4" t="s">
        <v>23</v>
      </c>
      <c r="F136" s="4" t="str">
        <f>VLOOKUP(E136,Productos!$A$2:$D$13,2,TRUE)</f>
        <v>botellín 400cc</v>
      </c>
      <c r="G136" s="4">
        <f>VLOOKUP(E136,Productos!$A$2:$D$13,3,TRUE)</f>
        <v>2.2999999999999998</v>
      </c>
      <c r="H136" s="4">
        <f>VLOOKUP(E136,Productos!$A$2:$D$13,4,TRUE)</f>
        <v>4.5</v>
      </c>
      <c r="I136" s="4" t="s">
        <v>10</v>
      </c>
      <c r="J136" s="4">
        <v>116</v>
      </c>
      <c r="K136" s="7">
        <v>42550</v>
      </c>
    </row>
    <row r="137" spans="1:11" x14ac:dyDescent="0.25">
      <c r="A137" s="4">
        <v>23397</v>
      </c>
      <c r="B137" s="4" t="s">
        <v>241</v>
      </c>
      <c r="C137" s="4" t="s">
        <v>198</v>
      </c>
      <c r="D137" s="4" t="str">
        <f>VLOOKUP(C137,Países!$A$1:$B$186,2,TRUE)</f>
        <v>Middle East and North Africa</v>
      </c>
      <c r="E137" s="4" t="s">
        <v>9</v>
      </c>
      <c r="F137" s="4" t="str">
        <f>VLOOKUP(E137,Productos!$A$2:$D$13,2,TRUE)</f>
        <v>garrafa 1l</v>
      </c>
      <c r="G137" s="4">
        <f>VLOOKUP(E137,Productos!$A$2:$D$13,3,TRUE)</f>
        <v>1</v>
      </c>
      <c r="H137" s="4">
        <f>VLOOKUP(E137,Productos!$A$2:$D$13,4,TRUE)</f>
        <v>2</v>
      </c>
      <c r="I137" s="4" t="s">
        <v>10</v>
      </c>
      <c r="J137" s="4">
        <v>208</v>
      </c>
      <c r="K137" s="7">
        <v>42561</v>
      </c>
    </row>
    <row r="138" spans="1:11" x14ac:dyDescent="0.25">
      <c r="A138" s="4">
        <v>23398</v>
      </c>
      <c r="B138" s="4" t="s">
        <v>242</v>
      </c>
      <c r="C138" s="4" t="s">
        <v>92</v>
      </c>
      <c r="D138" s="4" t="str">
        <f>VLOOKUP(C138,Países!$A$1:$B$186,2,TRUE)</f>
        <v>Asia</v>
      </c>
      <c r="E138" s="4" t="s">
        <v>46</v>
      </c>
      <c r="F138" s="4" t="str">
        <f>VLOOKUP(E138,Productos!$A$2:$D$13,2,TRUE)</f>
        <v>botellín 500cc</v>
      </c>
      <c r="G138" s="4">
        <f>VLOOKUP(E138,Productos!$A$2:$D$13,3,TRUE)</f>
        <v>3.5</v>
      </c>
      <c r="H138" s="4">
        <f>VLOOKUP(E138,Productos!$A$2:$D$13,4,TRUE)</f>
        <v>6.5</v>
      </c>
      <c r="I138" s="4" t="s">
        <v>10</v>
      </c>
      <c r="J138" s="4">
        <v>45</v>
      </c>
      <c r="K138" s="7">
        <v>42575</v>
      </c>
    </row>
    <row r="139" spans="1:11" x14ac:dyDescent="0.25">
      <c r="A139" s="4">
        <v>23399</v>
      </c>
      <c r="B139" s="4" t="s">
        <v>243</v>
      </c>
      <c r="C139" s="4" t="s">
        <v>244</v>
      </c>
      <c r="D139" s="4" t="str">
        <f>VLOOKUP(C139,Países!$A$1:$B$186,2,TRUE)</f>
        <v>Europe</v>
      </c>
      <c r="E139" s="4" t="s">
        <v>58</v>
      </c>
      <c r="F139" s="4" t="str">
        <f>VLOOKUP(E139,Productos!$A$2:$D$13,2,TRUE)</f>
        <v>garrafa 2l</v>
      </c>
      <c r="G139" s="4">
        <f>VLOOKUP(E139,Productos!$A$2:$D$13,3,TRUE)</f>
        <v>2.5</v>
      </c>
      <c r="H139" s="4">
        <f>VLOOKUP(E139,Productos!$A$2:$D$13,4,TRUE)</f>
        <v>4.5</v>
      </c>
      <c r="I139" s="4" t="s">
        <v>10</v>
      </c>
      <c r="J139" s="4">
        <v>193</v>
      </c>
      <c r="K139" s="7">
        <v>42540</v>
      </c>
    </row>
    <row r="140" spans="1:11" x14ac:dyDescent="0.25">
      <c r="A140" s="4">
        <v>23400</v>
      </c>
      <c r="B140" s="4" t="s">
        <v>245</v>
      </c>
      <c r="C140" s="4" t="s">
        <v>246</v>
      </c>
      <c r="D140" s="4" t="str">
        <f>VLOOKUP(C140,Países!$A$1:$B$186,2,TRUE)</f>
        <v>Europe</v>
      </c>
      <c r="E140" s="4" t="s">
        <v>9</v>
      </c>
      <c r="F140" s="4" t="str">
        <f>VLOOKUP(E140,Productos!$A$2:$D$13,2,TRUE)</f>
        <v>garrafa 1l</v>
      </c>
      <c r="G140" s="4">
        <f>VLOOKUP(E140,Productos!$A$2:$D$13,3,TRUE)</f>
        <v>1</v>
      </c>
      <c r="H140" s="4">
        <f>VLOOKUP(E140,Productos!$A$2:$D$13,4,TRUE)</f>
        <v>2</v>
      </c>
      <c r="I140" s="4" t="s">
        <v>10</v>
      </c>
      <c r="J140" s="4">
        <v>108</v>
      </c>
      <c r="K140" s="7">
        <v>42526</v>
      </c>
    </row>
    <row r="141" spans="1:11" x14ac:dyDescent="0.25">
      <c r="A141" s="4">
        <v>23401</v>
      </c>
      <c r="B141" s="4" t="s">
        <v>247</v>
      </c>
      <c r="C141" s="4" t="s">
        <v>248</v>
      </c>
      <c r="D141" s="4" t="str">
        <f>VLOOKUP(C141,Países!$A$1:$B$186,2,TRUE)</f>
        <v>Europe</v>
      </c>
      <c r="E141" s="4" t="s">
        <v>20</v>
      </c>
      <c r="F141" s="4" t="str">
        <f>VLOOKUP(E141,Productos!$A$2:$D$13,2,TRUE)</f>
        <v>garrafa 4l</v>
      </c>
      <c r="G141" s="4">
        <f>VLOOKUP(E141,Productos!$A$2:$D$13,3,TRUE)</f>
        <v>5</v>
      </c>
      <c r="H141" s="4">
        <f>VLOOKUP(E141,Productos!$A$2:$D$13,4,TRUE)</f>
        <v>9.99</v>
      </c>
      <c r="I141" s="4" t="s">
        <v>17</v>
      </c>
      <c r="J141" s="4">
        <v>205</v>
      </c>
      <c r="K141" s="7">
        <v>42580</v>
      </c>
    </row>
    <row r="142" spans="1:11" x14ac:dyDescent="0.25">
      <c r="A142" s="4">
        <v>23402</v>
      </c>
      <c r="B142" s="4" t="s">
        <v>249</v>
      </c>
      <c r="C142" s="4" t="s">
        <v>250</v>
      </c>
      <c r="D142" s="4" t="str">
        <f>VLOOKUP(C142,Países!$A$1:$B$186,2,TRUE)</f>
        <v>Sub-Saharan Africa</v>
      </c>
      <c r="E142" s="4" t="s">
        <v>16</v>
      </c>
      <c r="F142" s="4" t="str">
        <f>VLOOKUP(E142,Productos!$A$2:$D$13,2,TRUE)</f>
        <v>botella 5l</v>
      </c>
      <c r="G142" s="4">
        <f>VLOOKUP(E142,Productos!$A$2:$D$13,3,TRUE)</f>
        <v>6</v>
      </c>
      <c r="H142" s="4">
        <f>VLOOKUP(E142,Productos!$A$2:$D$13,4,TRUE)</f>
        <v>9</v>
      </c>
      <c r="I142" s="4" t="s">
        <v>10</v>
      </c>
      <c r="J142" s="4">
        <v>88</v>
      </c>
      <c r="K142" s="7">
        <v>42579</v>
      </c>
    </row>
    <row r="143" spans="1:11" x14ac:dyDescent="0.25">
      <c r="A143" s="4">
        <v>23403</v>
      </c>
      <c r="B143" s="4" t="s">
        <v>251</v>
      </c>
      <c r="C143" s="4" t="s">
        <v>252</v>
      </c>
      <c r="D143" s="4" t="str">
        <f>VLOOKUP(C143,Países!$A$1:$B$186,2,TRUE)</f>
        <v>Europe</v>
      </c>
      <c r="E143" s="4" t="s">
        <v>34</v>
      </c>
      <c r="F143" s="4" t="str">
        <f>VLOOKUP(E143,Productos!$A$2:$D$13,2,TRUE)</f>
        <v>garrafa 3l</v>
      </c>
      <c r="G143" s="4">
        <f>VLOOKUP(E143,Productos!$A$2:$D$13,3,TRUE)</f>
        <v>3.5</v>
      </c>
      <c r="H143" s="4">
        <f>VLOOKUP(E143,Productos!$A$2:$D$13,4,TRUE)</f>
        <v>6.99</v>
      </c>
      <c r="I143" s="4" t="s">
        <v>10</v>
      </c>
      <c r="J143" s="4">
        <v>46</v>
      </c>
      <c r="K143" s="7">
        <v>42549</v>
      </c>
    </row>
    <row r="144" spans="1:11" x14ac:dyDescent="0.25">
      <c r="A144" s="4">
        <v>23404</v>
      </c>
      <c r="B144" s="4" t="s">
        <v>253</v>
      </c>
      <c r="C144" s="4" t="s">
        <v>79</v>
      </c>
      <c r="D144" s="4" t="str">
        <f>VLOOKUP(C144,Países!$A$1:$B$186,2,TRUE)</f>
        <v>Europe</v>
      </c>
      <c r="E144" s="4" t="s">
        <v>9</v>
      </c>
      <c r="F144" s="4" t="str">
        <f>VLOOKUP(E144,Productos!$A$2:$D$13,2,TRUE)</f>
        <v>garrafa 1l</v>
      </c>
      <c r="G144" s="4">
        <f>VLOOKUP(E144,Productos!$A$2:$D$13,3,TRUE)</f>
        <v>1</v>
      </c>
      <c r="H144" s="4">
        <f>VLOOKUP(E144,Productos!$A$2:$D$13,4,TRUE)</f>
        <v>2</v>
      </c>
      <c r="I144" s="4" t="s">
        <v>17</v>
      </c>
      <c r="J144" s="4">
        <v>73</v>
      </c>
      <c r="K144" s="7">
        <v>42585</v>
      </c>
    </row>
    <row r="145" spans="1:11" x14ac:dyDescent="0.25">
      <c r="A145" s="4">
        <v>23405</v>
      </c>
      <c r="B145" s="4" t="s">
        <v>254</v>
      </c>
      <c r="C145" s="4" t="s">
        <v>255</v>
      </c>
      <c r="D145" s="4" t="str">
        <f>VLOOKUP(C145,Países!$A$1:$B$186,2,TRUE)</f>
        <v>Australia and Oceania</v>
      </c>
      <c r="E145" s="4" t="s">
        <v>16</v>
      </c>
      <c r="F145" s="4" t="str">
        <f>VLOOKUP(E145,Productos!$A$2:$D$13,2,TRUE)</f>
        <v>botella 5l</v>
      </c>
      <c r="G145" s="4">
        <f>VLOOKUP(E145,Productos!$A$2:$D$13,3,TRUE)</f>
        <v>6</v>
      </c>
      <c r="H145" s="4">
        <f>VLOOKUP(E145,Productos!$A$2:$D$13,4,TRUE)</f>
        <v>9</v>
      </c>
      <c r="I145" s="4" t="s">
        <v>17</v>
      </c>
      <c r="J145" s="4">
        <v>207</v>
      </c>
      <c r="K145" s="7">
        <v>42587</v>
      </c>
    </row>
    <row r="146" spans="1:11" x14ac:dyDescent="0.25">
      <c r="A146" s="4">
        <v>23406</v>
      </c>
      <c r="B146" s="4" t="s">
        <v>256</v>
      </c>
      <c r="C146" s="4" t="s">
        <v>257</v>
      </c>
      <c r="D146" s="4" t="str">
        <f>VLOOKUP(C146,Países!$A$1:$B$186,2,TRUE)</f>
        <v>Central America and the Caribbean</v>
      </c>
      <c r="E146" s="4" t="s">
        <v>46</v>
      </c>
      <c r="F146" s="4" t="str">
        <f>VLOOKUP(E146,Productos!$A$2:$D$13,2,TRUE)</f>
        <v>botellín 500cc</v>
      </c>
      <c r="G146" s="4">
        <f>VLOOKUP(E146,Productos!$A$2:$D$13,3,TRUE)</f>
        <v>3.5</v>
      </c>
      <c r="H146" s="4">
        <f>VLOOKUP(E146,Productos!$A$2:$D$13,4,TRUE)</f>
        <v>6.5</v>
      </c>
      <c r="I146" s="4" t="s">
        <v>17</v>
      </c>
      <c r="J146" s="4">
        <v>202</v>
      </c>
      <c r="K146" s="7">
        <v>42573</v>
      </c>
    </row>
    <row r="147" spans="1:11" x14ac:dyDescent="0.25">
      <c r="A147" s="4">
        <v>23407</v>
      </c>
      <c r="B147" s="4" t="s">
        <v>258</v>
      </c>
      <c r="C147" s="4" t="s">
        <v>259</v>
      </c>
      <c r="D147" s="4" t="str">
        <f>VLOOKUP(C147,Países!$A$1:$B$186,2,TRUE)</f>
        <v>Central America and the Caribbean</v>
      </c>
      <c r="E147" s="4" t="s">
        <v>29</v>
      </c>
      <c r="F147" s="4" t="str">
        <f>VLOOKUP(E147,Productos!$A$2:$D$13,2,TRUE)</f>
        <v>botella 0.5l</v>
      </c>
      <c r="G147" s="4">
        <f>VLOOKUP(E147,Productos!$A$2:$D$13,3,TRUE)</f>
        <v>3</v>
      </c>
      <c r="H147" s="4">
        <f>VLOOKUP(E147,Productos!$A$2:$D$13,4,TRUE)</f>
        <v>6</v>
      </c>
      <c r="I147" s="4" t="s">
        <v>10</v>
      </c>
      <c r="J147" s="4">
        <v>209</v>
      </c>
      <c r="K147" s="7">
        <v>42532</v>
      </c>
    </row>
    <row r="148" spans="1:11" x14ac:dyDescent="0.25">
      <c r="A148" s="4">
        <v>23408</v>
      </c>
      <c r="B148" s="4" t="s">
        <v>260</v>
      </c>
      <c r="C148" s="4" t="s">
        <v>40</v>
      </c>
      <c r="D148" s="4" t="str">
        <f>VLOOKUP(C148,Países!$A$1:$B$186,2,TRUE)</f>
        <v>Europe</v>
      </c>
      <c r="E148" s="4" t="s">
        <v>23</v>
      </c>
      <c r="F148" s="4" t="str">
        <f>VLOOKUP(E148,Productos!$A$2:$D$13,2,TRUE)</f>
        <v>botellín 400cc</v>
      </c>
      <c r="G148" s="4">
        <f>VLOOKUP(E148,Productos!$A$2:$D$13,3,TRUE)</f>
        <v>2.2999999999999998</v>
      </c>
      <c r="H148" s="4">
        <f>VLOOKUP(E148,Productos!$A$2:$D$13,4,TRUE)</f>
        <v>4.5</v>
      </c>
      <c r="I148" s="4" t="s">
        <v>17</v>
      </c>
      <c r="J148" s="4">
        <v>48</v>
      </c>
      <c r="K148" s="7">
        <v>42582</v>
      </c>
    </row>
    <row r="149" spans="1:11" x14ac:dyDescent="0.25">
      <c r="A149" s="4">
        <v>23409</v>
      </c>
      <c r="B149" s="4" t="s">
        <v>261</v>
      </c>
      <c r="C149" s="4" t="s">
        <v>119</v>
      </c>
      <c r="D149" s="4" t="str">
        <f>VLOOKUP(C149,Países!$A$1:$B$186,2,TRUE)</f>
        <v>Sub-Saharan Africa</v>
      </c>
      <c r="E149" s="4" t="s">
        <v>16</v>
      </c>
      <c r="F149" s="4" t="str">
        <f>VLOOKUP(E149,Productos!$A$2:$D$13,2,TRUE)</f>
        <v>botella 5l</v>
      </c>
      <c r="G149" s="4">
        <f>VLOOKUP(E149,Productos!$A$2:$D$13,3,TRUE)</f>
        <v>6</v>
      </c>
      <c r="H149" s="4">
        <f>VLOOKUP(E149,Productos!$A$2:$D$13,4,TRUE)</f>
        <v>9</v>
      </c>
      <c r="I149" s="4" t="s">
        <v>10</v>
      </c>
      <c r="J149" s="4">
        <v>52</v>
      </c>
      <c r="K149" s="7">
        <v>42543</v>
      </c>
    </row>
    <row r="150" spans="1:11" x14ac:dyDescent="0.25">
      <c r="A150" s="4">
        <v>23410</v>
      </c>
      <c r="B150" s="4" t="s">
        <v>262</v>
      </c>
      <c r="C150" s="4" t="s">
        <v>263</v>
      </c>
      <c r="D150" s="4" t="str">
        <f>VLOOKUP(C150,Países!$A$1:$B$186,2,TRUE)</f>
        <v>Central America and the Caribbean</v>
      </c>
      <c r="E150" s="4" t="s">
        <v>23</v>
      </c>
      <c r="F150" s="4" t="str">
        <f>VLOOKUP(E150,Productos!$A$2:$D$13,2,TRUE)</f>
        <v>botellín 400cc</v>
      </c>
      <c r="G150" s="4">
        <f>VLOOKUP(E150,Productos!$A$2:$D$13,3,TRUE)</f>
        <v>2.2999999999999998</v>
      </c>
      <c r="H150" s="4">
        <f>VLOOKUP(E150,Productos!$A$2:$D$13,4,TRUE)</f>
        <v>4.5</v>
      </c>
      <c r="I150" s="4" t="s">
        <v>10</v>
      </c>
      <c r="J150" s="4">
        <v>202</v>
      </c>
      <c r="K150" s="7">
        <v>42551</v>
      </c>
    </row>
    <row r="151" spans="1:11" x14ac:dyDescent="0.25">
      <c r="A151" s="4">
        <v>23411</v>
      </c>
      <c r="B151" s="4" t="s">
        <v>264</v>
      </c>
      <c r="C151" s="4" t="s">
        <v>133</v>
      </c>
      <c r="D151" s="4" t="str">
        <f>VLOOKUP(C151,Países!$A$1:$B$186,2,TRUE)</f>
        <v>Middle East and North Africa</v>
      </c>
      <c r="E151" s="4" t="s">
        <v>23</v>
      </c>
      <c r="F151" s="4" t="str">
        <f>VLOOKUP(E151,Productos!$A$2:$D$13,2,TRUE)</f>
        <v>botellín 400cc</v>
      </c>
      <c r="G151" s="4">
        <f>VLOOKUP(E151,Productos!$A$2:$D$13,3,TRUE)</f>
        <v>2.2999999999999998</v>
      </c>
      <c r="H151" s="4">
        <f>VLOOKUP(E151,Productos!$A$2:$D$13,4,TRUE)</f>
        <v>4.5</v>
      </c>
      <c r="I151" s="4" t="s">
        <v>59</v>
      </c>
      <c r="J151" s="4">
        <v>138</v>
      </c>
      <c r="K151" s="7">
        <v>42588</v>
      </c>
    </row>
    <row r="152" spans="1:11" x14ac:dyDescent="0.25">
      <c r="A152" s="4">
        <v>23412</v>
      </c>
      <c r="B152" s="4" t="s">
        <v>265</v>
      </c>
      <c r="C152" s="4" t="s">
        <v>257</v>
      </c>
      <c r="D152" s="4" t="str">
        <f>VLOOKUP(C152,Países!$A$1:$B$186,2,TRUE)</f>
        <v>Central America and the Caribbean</v>
      </c>
      <c r="E152" s="4" t="s">
        <v>13</v>
      </c>
      <c r="F152" s="4" t="str">
        <f>VLOOKUP(E152,Productos!$A$2:$D$13,2,TRUE)</f>
        <v>botella 1l</v>
      </c>
      <c r="G152" s="4">
        <f>VLOOKUP(E152,Productos!$A$2:$D$13,3,TRUE)</f>
        <v>3.5</v>
      </c>
      <c r="H152" s="4">
        <f>VLOOKUP(E152,Productos!$A$2:$D$13,4,TRUE)</f>
        <v>6.5</v>
      </c>
      <c r="I152" s="4" t="s">
        <v>10</v>
      </c>
      <c r="J152" s="4">
        <v>77</v>
      </c>
      <c r="K152" s="7">
        <v>42548</v>
      </c>
    </row>
    <row r="153" spans="1:11" x14ac:dyDescent="0.25">
      <c r="A153" s="4">
        <v>23413</v>
      </c>
      <c r="B153" s="4" t="s">
        <v>266</v>
      </c>
      <c r="C153" s="4" t="s">
        <v>267</v>
      </c>
      <c r="D153" s="4" t="str">
        <f>VLOOKUP(C153,Países!$A$1:$B$186,2,TRUE)</f>
        <v>Sub-Saharan Africa</v>
      </c>
      <c r="E153" s="4" t="s">
        <v>29</v>
      </c>
      <c r="F153" s="4" t="str">
        <f>VLOOKUP(E153,Productos!$A$2:$D$13,2,TRUE)</f>
        <v>botella 0.5l</v>
      </c>
      <c r="G153" s="4">
        <f>VLOOKUP(E153,Productos!$A$2:$D$13,3,TRUE)</f>
        <v>3</v>
      </c>
      <c r="H153" s="4">
        <f>VLOOKUP(E153,Productos!$A$2:$D$13,4,TRUE)</f>
        <v>6</v>
      </c>
      <c r="I153" s="4" t="s">
        <v>17</v>
      </c>
      <c r="J153" s="4">
        <v>168</v>
      </c>
      <c r="K153" s="7">
        <v>42606</v>
      </c>
    </row>
    <row r="154" spans="1:11" x14ac:dyDescent="0.25">
      <c r="A154" s="4">
        <v>23414</v>
      </c>
      <c r="B154" s="4" t="s">
        <v>268</v>
      </c>
      <c r="C154" s="4" t="s">
        <v>129</v>
      </c>
      <c r="D154" s="4" t="str">
        <f>VLOOKUP(C154,Países!$A$1:$B$186,2,TRUE)</f>
        <v>Central America and the Caribbean</v>
      </c>
      <c r="E154" s="4" t="s">
        <v>51</v>
      </c>
      <c r="F154" s="4" t="str">
        <f>VLOOKUP(E154,Productos!$A$2:$D$13,2,TRUE)</f>
        <v>garrafa 8l</v>
      </c>
      <c r="G154" s="4">
        <f>VLOOKUP(E154,Productos!$A$2:$D$13,3,TRUE)</f>
        <v>8</v>
      </c>
      <c r="H154" s="4">
        <f>VLOOKUP(E154,Productos!$A$2:$D$13,4,TRUE)</f>
        <v>14.5</v>
      </c>
      <c r="I154" s="4" t="s">
        <v>10</v>
      </c>
      <c r="J154" s="4">
        <v>114</v>
      </c>
      <c r="K154" s="7">
        <v>42559</v>
      </c>
    </row>
    <row r="155" spans="1:11" x14ac:dyDescent="0.25">
      <c r="A155" s="4">
        <v>23415</v>
      </c>
      <c r="B155" s="4" t="s">
        <v>269</v>
      </c>
      <c r="C155" s="4" t="s">
        <v>270</v>
      </c>
      <c r="D155" s="4" t="str">
        <f>VLOOKUP(C155,Países!$A$1:$B$186,2,TRUE)</f>
        <v>Asia</v>
      </c>
      <c r="E155" s="4" t="s">
        <v>46</v>
      </c>
      <c r="F155" s="4" t="str">
        <f>VLOOKUP(E155,Productos!$A$2:$D$13,2,TRUE)</f>
        <v>botellín 500cc</v>
      </c>
      <c r="G155" s="4">
        <f>VLOOKUP(E155,Productos!$A$2:$D$13,3,TRUE)</f>
        <v>3.5</v>
      </c>
      <c r="H155" s="4">
        <f>VLOOKUP(E155,Productos!$A$2:$D$13,4,TRUE)</f>
        <v>6.5</v>
      </c>
      <c r="I155" s="4" t="s">
        <v>59</v>
      </c>
      <c r="J155" s="4">
        <v>170</v>
      </c>
      <c r="K155" s="7">
        <v>42584</v>
      </c>
    </row>
    <row r="156" spans="1:11" x14ac:dyDescent="0.25">
      <c r="A156" s="4">
        <v>23416</v>
      </c>
      <c r="B156" s="4" t="s">
        <v>271</v>
      </c>
      <c r="C156" s="4" t="s">
        <v>272</v>
      </c>
      <c r="D156" s="4" t="str">
        <f>VLOOKUP(C156,Países!$A$1:$B$186,2,TRUE)</f>
        <v>Sub-Saharan Africa</v>
      </c>
      <c r="E156" s="4" t="s">
        <v>58</v>
      </c>
      <c r="F156" s="4" t="str">
        <f>VLOOKUP(E156,Productos!$A$2:$D$13,2,TRUE)</f>
        <v>garrafa 2l</v>
      </c>
      <c r="G156" s="4">
        <f>VLOOKUP(E156,Productos!$A$2:$D$13,3,TRUE)</f>
        <v>2.5</v>
      </c>
      <c r="H156" s="4">
        <f>VLOOKUP(E156,Productos!$A$2:$D$13,4,TRUE)</f>
        <v>4.5</v>
      </c>
      <c r="I156" s="4" t="s">
        <v>10</v>
      </c>
      <c r="J156" s="4">
        <v>116</v>
      </c>
      <c r="K156" s="7">
        <v>42586</v>
      </c>
    </row>
    <row r="157" spans="1:11" x14ac:dyDescent="0.25">
      <c r="A157" s="4">
        <v>23417</v>
      </c>
      <c r="B157" s="4" t="s">
        <v>273</v>
      </c>
      <c r="C157" s="4" t="s">
        <v>274</v>
      </c>
      <c r="D157" s="4" t="str">
        <f>VLOOKUP(C157,Países!$A$1:$B$186,2,TRUE)</f>
        <v>Sub-Saharan Africa</v>
      </c>
      <c r="E157" s="4" t="s">
        <v>46</v>
      </c>
      <c r="F157" s="4" t="str">
        <f>VLOOKUP(E157,Productos!$A$2:$D$13,2,TRUE)</f>
        <v>botellín 500cc</v>
      </c>
      <c r="G157" s="4">
        <f>VLOOKUP(E157,Productos!$A$2:$D$13,3,TRUE)</f>
        <v>3.5</v>
      </c>
      <c r="H157" s="4">
        <f>VLOOKUP(E157,Productos!$A$2:$D$13,4,TRUE)</f>
        <v>6.5</v>
      </c>
      <c r="I157" s="4" t="s">
        <v>10</v>
      </c>
      <c r="J157" s="4">
        <v>100</v>
      </c>
      <c r="K157" s="7">
        <v>42542</v>
      </c>
    </row>
    <row r="158" spans="1:11" x14ac:dyDescent="0.25">
      <c r="A158" s="4">
        <v>23418</v>
      </c>
      <c r="B158" s="4" t="s">
        <v>275</v>
      </c>
      <c r="C158" s="4" t="s">
        <v>276</v>
      </c>
      <c r="D158" s="4" t="str">
        <f>VLOOKUP(C158,Países!$A$1:$B$186,2,TRUE)</f>
        <v>Europe</v>
      </c>
      <c r="E158" s="4" t="s">
        <v>16</v>
      </c>
      <c r="F158" s="4" t="str">
        <f>VLOOKUP(E158,Productos!$A$2:$D$13,2,TRUE)</f>
        <v>botella 5l</v>
      </c>
      <c r="G158" s="4">
        <f>VLOOKUP(E158,Productos!$A$2:$D$13,3,TRUE)</f>
        <v>6</v>
      </c>
      <c r="H158" s="4">
        <f>VLOOKUP(E158,Productos!$A$2:$D$13,4,TRUE)</f>
        <v>9</v>
      </c>
      <c r="I158" s="4" t="s">
        <v>10</v>
      </c>
      <c r="J158" s="4">
        <v>191</v>
      </c>
      <c r="K158" s="7">
        <v>42592</v>
      </c>
    </row>
    <row r="159" spans="1:11" x14ac:dyDescent="0.25">
      <c r="A159" s="4">
        <v>23419</v>
      </c>
      <c r="B159" s="4" t="s">
        <v>277</v>
      </c>
      <c r="C159" s="4" t="s">
        <v>278</v>
      </c>
      <c r="D159" s="4" t="str">
        <f>VLOOKUP(C159,Países!$A$1:$B$186,2,TRUE)</f>
        <v>Australia and Oceania</v>
      </c>
      <c r="E159" s="4" t="s">
        <v>9</v>
      </c>
      <c r="F159" s="4" t="str">
        <f>VLOOKUP(E159,Productos!$A$2:$D$13,2,TRUE)</f>
        <v>garrafa 1l</v>
      </c>
      <c r="G159" s="4">
        <f>VLOOKUP(E159,Productos!$A$2:$D$13,3,TRUE)</f>
        <v>1</v>
      </c>
      <c r="H159" s="4">
        <f>VLOOKUP(E159,Productos!$A$2:$D$13,4,TRUE)</f>
        <v>2</v>
      </c>
      <c r="I159" s="4" t="s">
        <v>10</v>
      </c>
      <c r="J159" s="4">
        <v>193</v>
      </c>
      <c r="K159" s="7">
        <v>42609</v>
      </c>
    </row>
    <row r="160" spans="1:11" x14ac:dyDescent="0.25">
      <c r="A160" s="4">
        <v>23420</v>
      </c>
      <c r="B160" s="4" t="s">
        <v>279</v>
      </c>
      <c r="C160" s="4" t="s">
        <v>83</v>
      </c>
      <c r="D160" s="4" t="str">
        <f>VLOOKUP(C160,Países!$A$1:$B$186,2,TRUE)</f>
        <v>Sub-Saharan Africa</v>
      </c>
      <c r="E160" s="4" t="s">
        <v>58</v>
      </c>
      <c r="F160" s="4" t="str">
        <f>VLOOKUP(E160,Productos!$A$2:$D$13,2,TRUE)</f>
        <v>garrafa 2l</v>
      </c>
      <c r="G160" s="4">
        <f>VLOOKUP(E160,Productos!$A$2:$D$13,3,TRUE)</f>
        <v>2.5</v>
      </c>
      <c r="H160" s="4">
        <f>VLOOKUP(E160,Productos!$A$2:$D$13,4,TRUE)</f>
        <v>4.5</v>
      </c>
      <c r="I160" s="4" t="s">
        <v>17</v>
      </c>
      <c r="J160" s="4">
        <v>57</v>
      </c>
      <c r="K160" s="7">
        <v>42542</v>
      </c>
    </row>
    <row r="161" spans="1:11" x14ac:dyDescent="0.25">
      <c r="A161" s="4">
        <v>23421</v>
      </c>
      <c r="B161" s="4" t="s">
        <v>280</v>
      </c>
      <c r="C161" s="4" t="s">
        <v>146</v>
      </c>
      <c r="D161" s="4" t="str">
        <f>VLOOKUP(C161,Países!$A$1:$B$186,2,TRUE)</f>
        <v>Europe</v>
      </c>
      <c r="E161" s="4" t="s">
        <v>16</v>
      </c>
      <c r="F161" s="4" t="str">
        <f>VLOOKUP(E161,Productos!$A$2:$D$13,2,TRUE)</f>
        <v>botella 5l</v>
      </c>
      <c r="G161" s="4">
        <f>VLOOKUP(E161,Productos!$A$2:$D$13,3,TRUE)</f>
        <v>6</v>
      </c>
      <c r="H161" s="4">
        <f>VLOOKUP(E161,Productos!$A$2:$D$13,4,TRUE)</f>
        <v>9</v>
      </c>
      <c r="I161" s="4" t="s">
        <v>10</v>
      </c>
      <c r="J161" s="4">
        <v>142</v>
      </c>
      <c r="K161" s="7">
        <v>42586</v>
      </c>
    </row>
    <row r="162" spans="1:11" x14ac:dyDescent="0.25">
      <c r="A162" s="4">
        <v>23422</v>
      </c>
      <c r="B162" s="4" t="s">
        <v>281</v>
      </c>
      <c r="C162" s="4" t="s">
        <v>90</v>
      </c>
      <c r="D162" s="4" t="str">
        <f>VLOOKUP(C162,Países!$A$1:$B$186,2,TRUE)</f>
        <v>Europe</v>
      </c>
      <c r="E162" s="4" t="s">
        <v>46</v>
      </c>
      <c r="F162" s="4" t="str">
        <f>VLOOKUP(E162,Productos!$A$2:$D$13,2,TRUE)</f>
        <v>botellín 500cc</v>
      </c>
      <c r="G162" s="4">
        <f>VLOOKUP(E162,Productos!$A$2:$D$13,3,TRUE)</f>
        <v>3.5</v>
      </c>
      <c r="H162" s="4">
        <f>VLOOKUP(E162,Productos!$A$2:$D$13,4,TRUE)</f>
        <v>6.5</v>
      </c>
      <c r="I162" s="4" t="s">
        <v>59</v>
      </c>
      <c r="J162" s="4">
        <v>153</v>
      </c>
      <c r="K162" s="7">
        <v>42610</v>
      </c>
    </row>
    <row r="163" spans="1:11" x14ac:dyDescent="0.25">
      <c r="A163" s="4">
        <v>23423</v>
      </c>
      <c r="B163" s="4" t="s">
        <v>282</v>
      </c>
      <c r="C163" s="4" t="s">
        <v>283</v>
      </c>
      <c r="D163" s="4" t="str">
        <f>VLOOKUP(C163,Países!$A$1:$B$186,2,TRUE)</f>
        <v>Middle East and North Africa</v>
      </c>
      <c r="E163" s="4" t="s">
        <v>23</v>
      </c>
      <c r="F163" s="4" t="str">
        <f>VLOOKUP(E163,Productos!$A$2:$D$13,2,TRUE)</f>
        <v>botellín 400cc</v>
      </c>
      <c r="G163" s="4">
        <f>VLOOKUP(E163,Productos!$A$2:$D$13,3,TRUE)</f>
        <v>2.2999999999999998</v>
      </c>
      <c r="H163" s="4">
        <f>VLOOKUP(E163,Productos!$A$2:$D$13,4,TRUE)</f>
        <v>4.5</v>
      </c>
      <c r="I163" s="4" t="s">
        <v>17</v>
      </c>
      <c r="J163" s="4">
        <v>29</v>
      </c>
      <c r="K163" s="7">
        <v>42578</v>
      </c>
    </row>
    <row r="164" spans="1:11" x14ac:dyDescent="0.25">
      <c r="A164" s="4">
        <v>23424</v>
      </c>
      <c r="B164" s="4" t="s">
        <v>284</v>
      </c>
      <c r="C164" s="4" t="s">
        <v>285</v>
      </c>
      <c r="D164" s="4" t="str">
        <f>VLOOKUP(C164,Países!$A$1:$B$186,2,TRUE)</f>
        <v>Europe</v>
      </c>
      <c r="E164" s="4" t="s">
        <v>26</v>
      </c>
      <c r="F164" s="4" t="str">
        <f>VLOOKUP(E164,Productos!$A$2:$D$13,2,TRUE)</f>
        <v>botellín 200cc</v>
      </c>
      <c r="G164" s="4">
        <f>VLOOKUP(E164,Productos!$A$2:$D$13,3,TRUE)</f>
        <v>1.5</v>
      </c>
      <c r="H164" s="4">
        <f>VLOOKUP(E164,Productos!$A$2:$D$13,4,TRUE)</f>
        <v>3</v>
      </c>
      <c r="I164" s="4" t="s">
        <v>17</v>
      </c>
      <c r="J164" s="4">
        <v>38</v>
      </c>
      <c r="K164" s="7">
        <v>42579</v>
      </c>
    </row>
    <row r="165" spans="1:11" x14ac:dyDescent="0.25">
      <c r="A165" s="4">
        <v>23425</v>
      </c>
      <c r="B165" s="4" t="s">
        <v>286</v>
      </c>
      <c r="C165" s="4" t="s">
        <v>152</v>
      </c>
      <c r="D165" s="4" t="str">
        <f>VLOOKUP(C165,Países!$A$1:$B$186,2,TRUE)</f>
        <v>Sub-Saharan Africa</v>
      </c>
      <c r="E165" s="4" t="s">
        <v>58</v>
      </c>
      <c r="F165" s="4" t="str">
        <f>VLOOKUP(E165,Productos!$A$2:$D$13,2,TRUE)</f>
        <v>garrafa 2l</v>
      </c>
      <c r="G165" s="4">
        <f>VLOOKUP(E165,Productos!$A$2:$D$13,3,TRUE)</f>
        <v>2.5</v>
      </c>
      <c r="H165" s="4">
        <f>VLOOKUP(E165,Productos!$A$2:$D$13,4,TRUE)</f>
        <v>4.5</v>
      </c>
      <c r="I165" s="4" t="s">
        <v>17</v>
      </c>
      <c r="J165" s="4">
        <v>3</v>
      </c>
      <c r="K165" s="7">
        <v>42579</v>
      </c>
    </row>
    <row r="166" spans="1:11" x14ac:dyDescent="0.25">
      <c r="A166" s="4">
        <v>23426</v>
      </c>
      <c r="B166" s="4" t="s">
        <v>287</v>
      </c>
      <c r="C166" s="4" t="s">
        <v>288</v>
      </c>
      <c r="D166" s="4" t="str">
        <f>VLOOKUP(C166,Países!$A$1:$B$186,2,TRUE)</f>
        <v>Europe</v>
      </c>
      <c r="E166" s="4" t="s">
        <v>13</v>
      </c>
      <c r="F166" s="4" t="str">
        <f>VLOOKUP(E166,Productos!$A$2:$D$13,2,TRUE)</f>
        <v>botella 1l</v>
      </c>
      <c r="G166" s="4">
        <f>VLOOKUP(E166,Productos!$A$2:$D$13,3,TRUE)</f>
        <v>3.5</v>
      </c>
      <c r="H166" s="4">
        <f>VLOOKUP(E166,Productos!$A$2:$D$13,4,TRUE)</f>
        <v>6.5</v>
      </c>
      <c r="I166" s="4" t="s">
        <v>17</v>
      </c>
      <c r="J166" s="4">
        <v>178</v>
      </c>
      <c r="K166" s="7">
        <v>42602</v>
      </c>
    </row>
    <row r="167" spans="1:11" x14ac:dyDescent="0.25">
      <c r="A167" s="4">
        <v>23427</v>
      </c>
      <c r="B167" s="4" t="s">
        <v>289</v>
      </c>
      <c r="C167" s="4" t="s">
        <v>290</v>
      </c>
      <c r="D167" s="4" t="str">
        <f>VLOOKUP(C167,Países!$A$1:$B$186,2,TRUE)</f>
        <v>Europe</v>
      </c>
      <c r="E167" s="4" t="s">
        <v>51</v>
      </c>
      <c r="F167" s="4" t="str">
        <f>VLOOKUP(E167,Productos!$A$2:$D$13,2,TRUE)</f>
        <v>garrafa 8l</v>
      </c>
      <c r="G167" s="4">
        <f>VLOOKUP(E167,Productos!$A$2:$D$13,3,TRUE)</f>
        <v>8</v>
      </c>
      <c r="H167" s="4">
        <f>VLOOKUP(E167,Productos!$A$2:$D$13,4,TRUE)</f>
        <v>14.5</v>
      </c>
      <c r="I167" s="4" t="s">
        <v>59</v>
      </c>
      <c r="J167" s="4">
        <v>53</v>
      </c>
      <c r="K167" s="7">
        <v>42576</v>
      </c>
    </row>
    <row r="168" spans="1:11" x14ac:dyDescent="0.25">
      <c r="A168" s="4">
        <v>23428</v>
      </c>
      <c r="B168" s="4" t="s">
        <v>291</v>
      </c>
      <c r="C168" s="4" t="s">
        <v>71</v>
      </c>
      <c r="D168" s="4" t="str">
        <f>VLOOKUP(C168,Países!$A$1:$B$186,2,TRUE)</f>
        <v>Australia and Oceania</v>
      </c>
      <c r="E168" s="4" t="s">
        <v>26</v>
      </c>
      <c r="F168" s="4" t="str">
        <f>VLOOKUP(E168,Productos!$A$2:$D$13,2,TRUE)</f>
        <v>botellín 200cc</v>
      </c>
      <c r="G168" s="4">
        <f>VLOOKUP(E168,Productos!$A$2:$D$13,3,TRUE)</f>
        <v>1.5</v>
      </c>
      <c r="H168" s="4">
        <f>VLOOKUP(E168,Productos!$A$2:$D$13,4,TRUE)</f>
        <v>3</v>
      </c>
      <c r="I168" s="4" t="s">
        <v>10</v>
      </c>
      <c r="J168" s="4">
        <v>153</v>
      </c>
      <c r="K168" s="7">
        <v>42596</v>
      </c>
    </row>
    <row r="169" spans="1:11" x14ac:dyDescent="0.25">
      <c r="A169" s="4">
        <v>23429</v>
      </c>
      <c r="B169" s="4" t="s">
        <v>292</v>
      </c>
      <c r="C169" s="4" t="s">
        <v>65</v>
      </c>
      <c r="D169" s="4" t="str">
        <f>VLOOKUP(C169,Países!$A$1:$B$186,2,TRUE)</f>
        <v>Australia and Oceania</v>
      </c>
      <c r="E169" s="4" t="s">
        <v>20</v>
      </c>
      <c r="F169" s="4" t="str">
        <f>VLOOKUP(E169,Productos!$A$2:$D$13,2,TRUE)</f>
        <v>garrafa 4l</v>
      </c>
      <c r="G169" s="4">
        <f>VLOOKUP(E169,Productos!$A$2:$D$13,3,TRUE)</f>
        <v>5</v>
      </c>
      <c r="H169" s="4">
        <f>VLOOKUP(E169,Productos!$A$2:$D$13,4,TRUE)</f>
        <v>9.99</v>
      </c>
      <c r="I169" s="4" t="s">
        <v>10</v>
      </c>
      <c r="J169" s="4">
        <v>144</v>
      </c>
      <c r="K169" s="7">
        <v>42537</v>
      </c>
    </row>
    <row r="170" spans="1:11" x14ac:dyDescent="0.25">
      <c r="A170" s="4">
        <v>23430</v>
      </c>
      <c r="B170" s="4" t="s">
        <v>293</v>
      </c>
      <c r="C170" s="4" t="s">
        <v>110</v>
      </c>
      <c r="D170" s="4" t="str">
        <f>VLOOKUP(C170,Países!$A$1:$B$186,2,TRUE)</f>
        <v>Sub-Saharan Africa</v>
      </c>
      <c r="E170" s="4" t="s">
        <v>29</v>
      </c>
      <c r="F170" s="4" t="str">
        <f>VLOOKUP(E170,Productos!$A$2:$D$13,2,TRUE)</f>
        <v>botella 0.5l</v>
      </c>
      <c r="G170" s="4">
        <f>VLOOKUP(E170,Productos!$A$2:$D$13,3,TRUE)</f>
        <v>3</v>
      </c>
      <c r="H170" s="4">
        <f>VLOOKUP(E170,Productos!$A$2:$D$13,4,TRUE)</f>
        <v>6</v>
      </c>
      <c r="I170" s="4" t="s">
        <v>59</v>
      </c>
      <c r="J170" s="4">
        <v>131</v>
      </c>
      <c r="K170" s="7">
        <v>42535</v>
      </c>
    </row>
    <row r="171" spans="1:11" x14ac:dyDescent="0.25">
      <c r="A171" s="4">
        <v>23431</v>
      </c>
      <c r="B171" s="4" t="s">
        <v>294</v>
      </c>
      <c r="C171" s="4" t="s">
        <v>295</v>
      </c>
      <c r="D171" s="4" t="str">
        <f>VLOOKUP(C171,Países!$A$1:$B$186,2,TRUE)</f>
        <v>Central America and the Caribbean</v>
      </c>
      <c r="E171" s="4" t="s">
        <v>23</v>
      </c>
      <c r="F171" s="4" t="str">
        <f>VLOOKUP(E171,Productos!$A$2:$D$13,2,TRUE)</f>
        <v>botellín 400cc</v>
      </c>
      <c r="G171" s="4">
        <f>VLOOKUP(E171,Productos!$A$2:$D$13,3,TRUE)</f>
        <v>2.2999999999999998</v>
      </c>
      <c r="H171" s="4">
        <f>VLOOKUP(E171,Productos!$A$2:$D$13,4,TRUE)</f>
        <v>4.5</v>
      </c>
      <c r="I171" s="4" t="s">
        <v>17</v>
      </c>
      <c r="J171" s="4">
        <v>7</v>
      </c>
      <c r="K171" s="7">
        <v>42532</v>
      </c>
    </row>
    <row r="172" spans="1:11" x14ac:dyDescent="0.25">
      <c r="A172" s="4">
        <v>23432</v>
      </c>
      <c r="B172" s="4" t="s">
        <v>296</v>
      </c>
      <c r="C172" s="4" t="s">
        <v>297</v>
      </c>
      <c r="D172" s="4" t="str">
        <f>VLOOKUP(C172,Países!$A$1:$B$186,2,TRUE)</f>
        <v>Central America and the Caribbean</v>
      </c>
      <c r="E172" s="4" t="s">
        <v>23</v>
      </c>
      <c r="F172" s="4" t="str">
        <f>VLOOKUP(E172,Productos!$A$2:$D$13,2,TRUE)</f>
        <v>botellín 400cc</v>
      </c>
      <c r="G172" s="4">
        <f>VLOOKUP(E172,Productos!$A$2:$D$13,3,TRUE)</f>
        <v>2.2999999999999998</v>
      </c>
      <c r="H172" s="4">
        <f>VLOOKUP(E172,Productos!$A$2:$D$13,4,TRUE)</f>
        <v>4.5</v>
      </c>
      <c r="I172" s="4" t="s">
        <v>59</v>
      </c>
      <c r="J172" s="4">
        <v>110</v>
      </c>
      <c r="K172" s="7">
        <v>42575</v>
      </c>
    </row>
    <row r="173" spans="1:11" x14ac:dyDescent="0.25">
      <c r="A173" s="4">
        <v>23433</v>
      </c>
      <c r="B173" s="4" t="s">
        <v>298</v>
      </c>
      <c r="C173" s="4" t="s">
        <v>236</v>
      </c>
      <c r="D173" s="4" t="str">
        <f>VLOOKUP(C173,Países!$A$1:$B$186,2,TRUE)</f>
        <v>Middle East and North Africa</v>
      </c>
      <c r="E173" s="4" t="s">
        <v>23</v>
      </c>
      <c r="F173" s="4" t="str">
        <f>VLOOKUP(E173,Productos!$A$2:$D$13,2,TRUE)</f>
        <v>botellín 400cc</v>
      </c>
      <c r="G173" s="4">
        <f>VLOOKUP(E173,Productos!$A$2:$D$13,3,TRUE)</f>
        <v>2.2999999999999998</v>
      </c>
      <c r="H173" s="4">
        <f>VLOOKUP(E173,Productos!$A$2:$D$13,4,TRUE)</f>
        <v>4.5</v>
      </c>
      <c r="I173" s="4" t="s">
        <v>10</v>
      </c>
      <c r="J173" s="4">
        <v>209</v>
      </c>
      <c r="K173" s="7">
        <v>42586</v>
      </c>
    </row>
    <row r="174" spans="1:11" x14ac:dyDescent="0.25">
      <c r="A174" s="4">
        <v>23434</v>
      </c>
      <c r="B174" s="4" t="s">
        <v>299</v>
      </c>
      <c r="C174" s="4" t="s">
        <v>164</v>
      </c>
      <c r="D174" s="4" t="str">
        <f>VLOOKUP(C174,Países!$A$1:$B$186,2,TRUE)</f>
        <v>Europe</v>
      </c>
      <c r="E174" s="4" t="s">
        <v>58</v>
      </c>
      <c r="F174" s="4" t="str">
        <f>VLOOKUP(E174,Productos!$A$2:$D$13,2,TRUE)</f>
        <v>garrafa 2l</v>
      </c>
      <c r="G174" s="4">
        <f>VLOOKUP(E174,Productos!$A$2:$D$13,3,TRUE)</f>
        <v>2.5</v>
      </c>
      <c r="H174" s="4">
        <f>VLOOKUP(E174,Productos!$A$2:$D$13,4,TRUE)</f>
        <v>4.5</v>
      </c>
      <c r="I174" s="4" t="s">
        <v>17</v>
      </c>
      <c r="J174" s="4">
        <v>203</v>
      </c>
      <c r="K174" s="7">
        <v>42538</v>
      </c>
    </row>
    <row r="175" spans="1:11" x14ac:dyDescent="0.25">
      <c r="A175" s="4">
        <v>23435</v>
      </c>
      <c r="B175" s="4" t="s">
        <v>300</v>
      </c>
      <c r="C175" s="4" t="s">
        <v>193</v>
      </c>
      <c r="D175" s="4" t="str">
        <f>VLOOKUP(C175,Países!$A$1:$B$186,2,TRUE)</f>
        <v>Sub-Saharan Africa</v>
      </c>
      <c r="E175" s="4" t="s">
        <v>23</v>
      </c>
      <c r="F175" s="4" t="str">
        <f>VLOOKUP(E175,Productos!$A$2:$D$13,2,TRUE)</f>
        <v>botellín 400cc</v>
      </c>
      <c r="G175" s="4">
        <f>VLOOKUP(E175,Productos!$A$2:$D$13,3,TRUE)</f>
        <v>2.2999999999999998</v>
      </c>
      <c r="H175" s="4">
        <f>VLOOKUP(E175,Productos!$A$2:$D$13,4,TRUE)</f>
        <v>4.5</v>
      </c>
      <c r="I175" s="4" t="s">
        <v>10</v>
      </c>
      <c r="J175" s="4">
        <v>29</v>
      </c>
      <c r="K175" s="7">
        <v>42540</v>
      </c>
    </row>
    <row r="176" spans="1:11" x14ac:dyDescent="0.25">
      <c r="A176" s="4">
        <v>23436</v>
      </c>
      <c r="B176" s="4" t="s">
        <v>301</v>
      </c>
      <c r="C176" s="4" t="s">
        <v>77</v>
      </c>
      <c r="D176" s="4" t="str">
        <f>VLOOKUP(C176,Países!$A$1:$B$186,2,TRUE)</f>
        <v>Middle East and North Africa</v>
      </c>
      <c r="E176" s="4" t="s">
        <v>13</v>
      </c>
      <c r="F176" s="4" t="str">
        <f>VLOOKUP(E176,Productos!$A$2:$D$13,2,TRUE)</f>
        <v>botella 1l</v>
      </c>
      <c r="G176" s="4">
        <f>VLOOKUP(E176,Productos!$A$2:$D$13,3,TRUE)</f>
        <v>3.5</v>
      </c>
      <c r="H176" s="4">
        <f>VLOOKUP(E176,Productos!$A$2:$D$13,4,TRUE)</f>
        <v>6.5</v>
      </c>
      <c r="I176" s="4" t="s">
        <v>17</v>
      </c>
      <c r="J176" s="4">
        <v>202</v>
      </c>
      <c r="K176" s="7">
        <v>42576</v>
      </c>
    </row>
    <row r="177" spans="1:11" x14ac:dyDescent="0.25">
      <c r="A177" s="4">
        <v>23437</v>
      </c>
      <c r="B177" s="4" t="s">
        <v>302</v>
      </c>
      <c r="C177" s="4" t="s">
        <v>142</v>
      </c>
      <c r="D177" s="4" t="str">
        <f>VLOOKUP(C177,Países!$A$1:$B$186,2,TRUE)</f>
        <v>Europe</v>
      </c>
      <c r="E177" s="4" t="s">
        <v>26</v>
      </c>
      <c r="F177" s="4" t="str">
        <f>VLOOKUP(E177,Productos!$A$2:$D$13,2,TRUE)</f>
        <v>botellín 200cc</v>
      </c>
      <c r="G177" s="4">
        <f>VLOOKUP(E177,Productos!$A$2:$D$13,3,TRUE)</f>
        <v>1.5</v>
      </c>
      <c r="H177" s="4">
        <f>VLOOKUP(E177,Productos!$A$2:$D$13,4,TRUE)</f>
        <v>3</v>
      </c>
      <c r="I177" s="4" t="s">
        <v>10</v>
      </c>
      <c r="J177" s="4">
        <v>15</v>
      </c>
      <c r="K177" s="7">
        <v>42542</v>
      </c>
    </row>
    <row r="178" spans="1:11" x14ac:dyDescent="0.25">
      <c r="A178" s="4">
        <v>23438</v>
      </c>
      <c r="B178" s="4" t="s">
        <v>303</v>
      </c>
      <c r="C178" s="4" t="s">
        <v>57</v>
      </c>
      <c r="D178" s="4" t="str">
        <f>VLOOKUP(C178,Países!$A$1:$B$186,2,TRUE)</f>
        <v>Sub-Saharan Africa</v>
      </c>
      <c r="E178" s="4" t="s">
        <v>20</v>
      </c>
      <c r="F178" s="4" t="str">
        <f>VLOOKUP(E178,Productos!$A$2:$D$13,2,TRUE)</f>
        <v>garrafa 4l</v>
      </c>
      <c r="G178" s="4">
        <f>VLOOKUP(E178,Productos!$A$2:$D$13,3,TRUE)</f>
        <v>5</v>
      </c>
      <c r="H178" s="4">
        <f>VLOOKUP(E178,Productos!$A$2:$D$13,4,TRUE)</f>
        <v>9.99</v>
      </c>
      <c r="I178" s="4" t="s">
        <v>17</v>
      </c>
      <c r="J178" s="4">
        <v>102</v>
      </c>
      <c r="K178" s="7">
        <v>42584</v>
      </c>
    </row>
    <row r="179" spans="1:11" x14ac:dyDescent="0.25">
      <c r="A179" s="4">
        <v>23439</v>
      </c>
      <c r="B179" s="4" t="s">
        <v>304</v>
      </c>
      <c r="C179" s="4" t="s">
        <v>217</v>
      </c>
      <c r="D179" s="4" t="str">
        <f>VLOOKUP(C179,Países!$A$1:$B$186,2,TRUE)</f>
        <v>Europe</v>
      </c>
      <c r="E179" s="4" t="s">
        <v>13</v>
      </c>
      <c r="F179" s="4" t="str">
        <f>VLOOKUP(E179,Productos!$A$2:$D$13,2,TRUE)</f>
        <v>botella 1l</v>
      </c>
      <c r="G179" s="4">
        <f>VLOOKUP(E179,Productos!$A$2:$D$13,3,TRUE)</f>
        <v>3.5</v>
      </c>
      <c r="H179" s="4">
        <f>VLOOKUP(E179,Productos!$A$2:$D$13,4,TRUE)</f>
        <v>6.5</v>
      </c>
      <c r="I179" s="4" t="s">
        <v>10</v>
      </c>
      <c r="J179" s="4">
        <v>211</v>
      </c>
      <c r="K179" s="7">
        <v>42529</v>
      </c>
    </row>
    <row r="180" spans="1:11" x14ac:dyDescent="0.25">
      <c r="A180" s="4">
        <v>23440</v>
      </c>
      <c r="B180" s="4" t="s">
        <v>305</v>
      </c>
      <c r="C180" s="4" t="s">
        <v>248</v>
      </c>
      <c r="D180" s="4" t="str">
        <f>VLOOKUP(C180,Países!$A$1:$B$186,2,TRUE)</f>
        <v>Europe</v>
      </c>
      <c r="E180" s="4" t="s">
        <v>13</v>
      </c>
      <c r="F180" s="4" t="str">
        <f>VLOOKUP(E180,Productos!$A$2:$D$13,2,TRUE)</f>
        <v>botella 1l</v>
      </c>
      <c r="G180" s="4">
        <f>VLOOKUP(E180,Productos!$A$2:$D$13,3,TRUE)</f>
        <v>3.5</v>
      </c>
      <c r="H180" s="4">
        <f>VLOOKUP(E180,Productos!$A$2:$D$13,4,TRUE)</f>
        <v>6.5</v>
      </c>
      <c r="I180" s="4" t="s">
        <v>10</v>
      </c>
      <c r="J180" s="4">
        <v>138</v>
      </c>
      <c r="K180" s="7">
        <v>42590</v>
      </c>
    </row>
    <row r="181" spans="1:11" x14ac:dyDescent="0.25">
      <c r="A181" s="4">
        <v>23441</v>
      </c>
      <c r="B181" s="4" t="s">
        <v>306</v>
      </c>
      <c r="C181" s="4" t="s">
        <v>307</v>
      </c>
      <c r="D181" s="4" t="str">
        <f>VLOOKUP(C181,Países!$A$1:$B$186,2,TRUE)</f>
        <v>Middle East and North Africa</v>
      </c>
      <c r="E181" s="4" t="s">
        <v>58</v>
      </c>
      <c r="F181" s="4" t="str">
        <f>VLOOKUP(E181,Productos!$A$2:$D$13,2,TRUE)</f>
        <v>garrafa 2l</v>
      </c>
      <c r="G181" s="4">
        <f>VLOOKUP(E181,Productos!$A$2:$D$13,3,TRUE)</f>
        <v>2.5</v>
      </c>
      <c r="H181" s="4">
        <f>VLOOKUP(E181,Productos!$A$2:$D$13,4,TRUE)</f>
        <v>4.5</v>
      </c>
      <c r="I181" s="4" t="s">
        <v>59</v>
      </c>
      <c r="J181" s="4">
        <v>129</v>
      </c>
      <c r="K181" s="7">
        <v>42541</v>
      </c>
    </row>
    <row r="182" spans="1:11" x14ac:dyDescent="0.25">
      <c r="A182" s="4">
        <v>23442</v>
      </c>
      <c r="B182" s="4" t="s">
        <v>308</v>
      </c>
      <c r="C182" s="4" t="s">
        <v>309</v>
      </c>
      <c r="D182" s="4" t="str">
        <f>VLOOKUP(C182,Países!$A$1:$B$186,2,TRUE)</f>
        <v>Europe</v>
      </c>
      <c r="E182" s="4" t="s">
        <v>46</v>
      </c>
      <c r="F182" s="4" t="str">
        <f>VLOOKUP(E182,Productos!$A$2:$D$13,2,TRUE)</f>
        <v>botellín 500cc</v>
      </c>
      <c r="G182" s="4">
        <f>VLOOKUP(E182,Productos!$A$2:$D$13,3,TRUE)</f>
        <v>3.5</v>
      </c>
      <c r="H182" s="4">
        <f>VLOOKUP(E182,Productos!$A$2:$D$13,4,TRUE)</f>
        <v>6.5</v>
      </c>
      <c r="I182" s="4" t="s">
        <v>10</v>
      </c>
      <c r="J182" s="4">
        <v>95</v>
      </c>
      <c r="K182" s="7">
        <v>42608</v>
      </c>
    </row>
    <row r="183" spans="1:11" x14ac:dyDescent="0.25">
      <c r="A183" s="4">
        <v>23443</v>
      </c>
      <c r="B183" s="4" t="s">
        <v>310</v>
      </c>
      <c r="C183" s="4" t="s">
        <v>90</v>
      </c>
      <c r="D183" s="4" t="str">
        <f>VLOOKUP(C183,Países!$A$1:$B$186,2,TRUE)</f>
        <v>Europe</v>
      </c>
      <c r="E183" s="4" t="s">
        <v>26</v>
      </c>
      <c r="F183" s="4" t="str">
        <f>VLOOKUP(E183,Productos!$A$2:$D$13,2,TRUE)</f>
        <v>botellín 200cc</v>
      </c>
      <c r="G183" s="4">
        <f>VLOOKUP(E183,Productos!$A$2:$D$13,3,TRUE)</f>
        <v>1.5</v>
      </c>
      <c r="H183" s="4">
        <f>VLOOKUP(E183,Productos!$A$2:$D$13,4,TRUE)</f>
        <v>3</v>
      </c>
      <c r="I183" s="4" t="s">
        <v>10</v>
      </c>
      <c r="J183" s="4">
        <v>58</v>
      </c>
      <c r="K183" s="7">
        <v>42593</v>
      </c>
    </row>
    <row r="184" spans="1:11" x14ac:dyDescent="0.25">
      <c r="A184" s="4">
        <v>23444</v>
      </c>
      <c r="B184" s="4" t="s">
        <v>311</v>
      </c>
      <c r="C184" s="4" t="s">
        <v>203</v>
      </c>
      <c r="D184" s="4" t="str">
        <f>VLOOKUP(C184,Países!$A$1:$B$186,2,TRUE)</f>
        <v>Middle East and North Africa</v>
      </c>
      <c r="E184" s="4" t="s">
        <v>23</v>
      </c>
      <c r="F184" s="4" t="str">
        <f>VLOOKUP(E184,Productos!$A$2:$D$13,2,TRUE)</f>
        <v>botellín 400cc</v>
      </c>
      <c r="G184" s="4">
        <f>VLOOKUP(E184,Productos!$A$2:$D$13,3,TRUE)</f>
        <v>2.2999999999999998</v>
      </c>
      <c r="H184" s="4">
        <f>VLOOKUP(E184,Productos!$A$2:$D$13,4,TRUE)</f>
        <v>4.5</v>
      </c>
      <c r="I184" s="4" t="s">
        <v>10</v>
      </c>
      <c r="J184" s="4">
        <v>160</v>
      </c>
      <c r="K184" s="7">
        <v>42538</v>
      </c>
    </row>
    <row r="185" spans="1:11" x14ac:dyDescent="0.25">
      <c r="A185" s="4">
        <v>23445</v>
      </c>
      <c r="B185" s="4" t="s">
        <v>312</v>
      </c>
      <c r="C185" s="4" t="s">
        <v>198</v>
      </c>
      <c r="D185" s="4" t="str">
        <f>VLOOKUP(C185,Países!$A$1:$B$186,2,TRUE)</f>
        <v>Middle East and North Africa</v>
      </c>
      <c r="E185" s="4" t="s">
        <v>58</v>
      </c>
      <c r="F185" s="4" t="str">
        <f>VLOOKUP(E185,Productos!$A$2:$D$13,2,TRUE)</f>
        <v>garrafa 2l</v>
      </c>
      <c r="G185" s="4">
        <f>VLOOKUP(E185,Productos!$A$2:$D$13,3,TRUE)</f>
        <v>2.5</v>
      </c>
      <c r="H185" s="4">
        <f>VLOOKUP(E185,Productos!$A$2:$D$13,4,TRUE)</f>
        <v>4.5</v>
      </c>
      <c r="I185" s="4" t="s">
        <v>17</v>
      </c>
      <c r="J185" s="4">
        <v>163</v>
      </c>
      <c r="K185" s="7">
        <v>42605</v>
      </c>
    </row>
    <row r="186" spans="1:11" x14ac:dyDescent="0.25">
      <c r="A186" s="4">
        <v>23446</v>
      </c>
      <c r="B186" s="4" t="s">
        <v>313</v>
      </c>
      <c r="C186" s="4" t="s">
        <v>217</v>
      </c>
      <c r="D186" s="4" t="str">
        <f>VLOOKUP(C186,Países!$A$1:$B$186,2,TRUE)</f>
        <v>Europe</v>
      </c>
      <c r="E186" s="4" t="s">
        <v>29</v>
      </c>
      <c r="F186" s="4" t="str">
        <f>VLOOKUP(E186,Productos!$A$2:$D$13,2,TRUE)</f>
        <v>botella 0.5l</v>
      </c>
      <c r="G186" s="4">
        <f>VLOOKUP(E186,Productos!$A$2:$D$13,3,TRUE)</f>
        <v>3</v>
      </c>
      <c r="H186" s="4">
        <f>VLOOKUP(E186,Productos!$A$2:$D$13,4,TRUE)</f>
        <v>6</v>
      </c>
      <c r="I186" s="4" t="s">
        <v>17</v>
      </c>
      <c r="J186" s="4">
        <v>33</v>
      </c>
      <c r="K186" s="7">
        <v>42540</v>
      </c>
    </row>
    <row r="187" spans="1:11" x14ac:dyDescent="0.25">
      <c r="A187" s="4">
        <v>23447</v>
      </c>
      <c r="B187" s="4" t="s">
        <v>314</v>
      </c>
      <c r="C187" s="4" t="s">
        <v>290</v>
      </c>
      <c r="D187" s="4" t="str">
        <f>VLOOKUP(C187,Países!$A$1:$B$186,2,TRUE)</f>
        <v>Europe</v>
      </c>
      <c r="E187" s="4" t="s">
        <v>34</v>
      </c>
      <c r="F187" s="4" t="str">
        <f>VLOOKUP(E187,Productos!$A$2:$D$13,2,TRUE)</f>
        <v>garrafa 3l</v>
      </c>
      <c r="G187" s="4">
        <f>VLOOKUP(E187,Productos!$A$2:$D$13,3,TRUE)</f>
        <v>3.5</v>
      </c>
      <c r="H187" s="4">
        <f>VLOOKUP(E187,Productos!$A$2:$D$13,4,TRUE)</f>
        <v>6.99</v>
      </c>
      <c r="I187" s="4" t="s">
        <v>17</v>
      </c>
      <c r="J187" s="4">
        <v>147</v>
      </c>
      <c r="K187" s="7">
        <v>42522</v>
      </c>
    </row>
    <row r="188" spans="1:11" x14ac:dyDescent="0.25">
      <c r="A188" s="4">
        <v>23448</v>
      </c>
      <c r="B188" s="4" t="s">
        <v>315</v>
      </c>
      <c r="C188" s="4" t="s">
        <v>316</v>
      </c>
      <c r="D188" s="4" t="str">
        <f>VLOOKUP(C188,Países!$A$1:$B$186,2,TRUE)</f>
        <v>Australia and Oceania</v>
      </c>
      <c r="E188" s="4" t="s">
        <v>34</v>
      </c>
      <c r="F188" s="4" t="str">
        <f>VLOOKUP(E188,Productos!$A$2:$D$13,2,TRUE)</f>
        <v>garrafa 3l</v>
      </c>
      <c r="G188" s="4">
        <f>VLOOKUP(E188,Productos!$A$2:$D$13,3,TRUE)</f>
        <v>3.5</v>
      </c>
      <c r="H188" s="4">
        <f>VLOOKUP(E188,Productos!$A$2:$D$13,4,TRUE)</f>
        <v>6.99</v>
      </c>
      <c r="I188" s="4" t="s">
        <v>17</v>
      </c>
      <c r="J188" s="4">
        <v>211</v>
      </c>
      <c r="K188" s="7">
        <v>42602</v>
      </c>
    </row>
    <row r="189" spans="1:11" x14ac:dyDescent="0.25">
      <c r="A189" s="4">
        <v>23449</v>
      </c>
      <c r="B189" s="4" t="s">
        <v>317</v>
      </c>
      <c r="C189" s="4" t="s">
        <v>67</v>
      </c>
      <c r="D189" s="4" t="str">
        <f>VLOOKUP(C189,Países!$A$1:$B$186,2,TRUE)</f>
        <v>Sub-Saharan Africa</v>
      </c>
      <c r="E189" s="4" t="s">
        <v>13</v>
      </c>
      <c r="F189" s="4" t="str">
        <f>VLOOKUP(E189,Productos!$A$2:$D$13,2,TRUE)</f>
        <v>botella 1l</v>
      </c>
      <c r="G189" s="4">
        <f>VLOOKUP(E189,Productos!$A$2:$D$13,3,TRUE)</f>
        <v>3.5</v>
      </c>
      <c r="H189" s="4">
        <f>VLOOKUP(E189,Productos!$A$2:$D$13,4,TRUE)</f>
        <v>6.5</v>
      </c>
      <c r="I189" s="4" t="s">
        <v>17</v>
      </c>
      <c r="J189" s="4">
        <v>49</v>
      </c>
      <c r="K189" s="7">
        <v>42538</v>
      </c>
    </row>
    <row r="190" spans="1:11" x14ac:dyDescent="0.25">
      <c r="A190" s="4">
        <v>23450</v>
      </c>
      <c r="B190" s="4" t="s">
        <v>318</v>
      </c>
      <c r="C190" s="4" t="s">
        <v>88</v>
      </c>
      <c r="D190" s="4" t="str">
        <f>VLOOKUP(C190,Países!$A$1:$B$186,2,TRUE)</f>
        <v>Europe</v>
      </c>
      <c r="E190" s="4" t="s">
        <v>9</v>
      </c>
      <c r="F190" s="4" t="str">
        <f>VLOOKUP(E190,Productos!$A$2:$D$13,2,TRUE)</f>
        <v>garrafa 1l</v>
      </c>
      <c r="G190" s="4">
        <f>VLOOKUP(E190,Productos!$A$2:$D$13,3,TRUE)</f>
        <v>1</v>
      </c>
      <c r="H190" s="4">
        <f>VLOOKUP(E190,Productos!$A$2:$D$13,4,TRUE)</f>
        <v>2</v>
      </c>
      <c r="I190" s="4" t="s">
        <v>59</v>
      </c>
      <c r="J190" s="4">
        <v>100</v>
      </c>
      <c r="K190" s="7">
        <v>42567</v>
      </c>
    </row>
    <row r="191" spans="1:11" x14ac:dyDescent="0.25">
      <c r="A191" s="4">
        <v>23451</v>
      </c>
      <c r="B191" s="4" t="s">
        <v>319</v>
      </c>
      <c r="C191" s="4" t="s">
        <v>79</v>
      </c>
      <c r="D191" s="4" t="str">
        <f>VLOOKUP(C191,Países!$A$1:$B$186,2,TRUE)</f>
        <v>Europe</v>
      </c>
      <c r="E191" s="4" t="s">
        <v>58</v>
      </c>
      <c r="F191" s="4" t="str">
        <f>VLOOKUP(E191,Productos!$A$2:$D$13,2,TRUE)</f>
        <v>garrafa 2l</v>
      </c>
      <c r="G191" s="4">
        <f>VLOOKUP(E191,Productos!$A$2:$D$13,3,TRUE)</f>
        <v>2.5</v>
      </c>
      <c r="H191" s="4">
        <f>VLOOKUP(E191,Productos!$A$2:$D$13,4,TRUE)</f>
        <v>4.5</v>
      </c>
      <c r="I191" s="4" t="s">
        <v>10</v>
      </c>
      <c r="J191" s="4">
        <v>123</v>
      </c>
      <c r="K191" s="7">
        <v>42548</v>
      </c>
    </row>
    <row r="192" spans="1:11" x14ac:dyDescent="0.25">
      <c r="A192" s="4">
        <v>23452</v>
      </c>
      <c r="B192" s="4" t="s">
        <v>320</v>
      </c>
      <c r="C192" s="4" t="s">
        <v>321</v>
      </c>
      <c r="D192" s="4" t="str">
        <f>VLOOKUP(C192,Países!$A$1:$B$186,2,TRUE)</f>
        <v>Asia</v>
      </c>
      <c r="E192" s="4" t="s">
        <v>23</v>
      </c>
      <c r="F192" s="4" t="str">
        <f>VLOOKUP(E192,Productos!$A$2:$D$13,2,TRUE)</f>
        <v>botellín 400cc</v>
      </c>
      <c r="G192" s="4">
        <f>VLOOKUP(E192,Productos!$A$2:$D$13,3,TRUE)</f>
        <v>2.2999999999999998</v>
      </c>
      <c r="H192" s="4">
        <f>VLOOKUP(E192,Productos!$A$2:$D$13,4,TRUE)</f>
        <v>4.5</v>
      </c>
      <c r="I192" s="4" t="s">
        <v>17</v>
      </c>
      <c r="J192" s="4">
        <v>176</v>
      </c>
      <c r="K192" s="7">
        <v>42522</v>
      </c>
    </row>
    <row r="193" spans="1:11" x14ac:dyDescent="0.25">
      <c r="A193" s="4">
        <v>23453</v>
      </c>
      <c r="B193" s="4" t="s">
        <v>322</v>
      </c>
      <c r="C193" s="4" t="s">
        <v>323</v>
      </c>
      <c r="D193" s="4" t="str">
        <f>VLOOKUP(C193,Países!$A$1:$B$186,2,TRUE)</f>
        <v>Europe</v>
      </c>
      <c r="E193" s="4" t="s">
        <v>13</v>
      </c>
      <c r="F193" s="4" t="str">
        <f>VLOOKUP(E193,Productos!$A$2:$D$13,2,TRUE)</f>
        <v>botella 1l</v>
      </c>
      <c r="G193" s="4">
        <f>VLOOKUP(E193,Productos!$A$2:$D$13,3,TRUE)</f>
        <v>3.5</v>
      </c>
      <c r="H193" s="4">
        <f>VLOOKUP(E193,Productos!$A$2:$D$13,4,TRUE)</f>
        <v>6.5</v>
      </c>
      <c r="I193" s="4" t="s">
        <v>10</v>
      </c>
      <c r="J193" s="4">
        <v>44</v>
      </c>
      <c r="K193" s="7">
        <v>42593</v>
      </c>
    </row>
    <row r="194" spans="1:11" x14ac:dyDescent="0.25">
      <c r="A194" s="4">
        <v>23454</v>
      </c>
      <c r="B194" s="4" t="s">
        <v>324</v>
      </c>
      <c r="C194" s="4" t="s">
        <v>28</v>
      </c>
      <c r="D194" s="4" t="str">
        <f>VLOOKUP(C194,Países!$A$1:$B$186,2,TRUE)</f>
        <v>Central America and the Caribbean</v>
      </c>
      <c r="E194" s="4" t="s">
        <v>13</v>
      </c>
      <c r="F194" s="4" t="str">
        <f>VLOOKUP(E194,Productos!$A$2:$D$13,2,TRUE)</f>
        <v>botella 1l</v>
      </c>
      <c r="G194" s="4">
        <f>VLOOKUP(E194,Productos!$A$2:$D$13,3,TRUE)</f>
        <v>3.5</v>
      </c>
      <c r="H194" s="4">
        <f>VLOOKUP(E194,Productos!$A$2:$D$13,4,TRUE)</f>
        <v>6.5</v>
      </c>
      <c r="I194" s="4" t="s">
        <v>10</v>
      </c>
      <c r="J194" s="4">
        <v>179</v>
      </c>
      <c r="K194" s="7">
        <v>42589</v>
      </c>
    </row>
    <row r="195" spans="1:11" x14ac:dyDescent="0.25">
      <c r="A195" s="4">
        <v>23455</v>
      </c>
      <c r="B195" s="4" t="s">
        <v>325</v>
      </c>
      <c r="C195" s="4" t="s">
        <v>326</v>
      </c>
      <c r="D195" s="4" t="str">
        <f>VLOOKUP(C195,Países!$A$1:$B$186,2,TRUE)</f>
        <v>Asia</v>
      </c>
      <c r="E195" s="4" t="s">
        <v>23</v>
      </c>
      <c r="F195" s="4" t="str">
        <f>VLOOKUP(E195,Productos!$A$2:$D$13,2,TRUE)</f>
        <v>botellín 400cc</v>
      </c>
      <c r="G195" s="4">
        <f>VLOOKUP(E195,Productos!$A$2:$D$13,3,TRUE)</f>
        <v>2.2999999999999998</v>
      </c>
      <c r="H195" s="4">
        <f>VLOOKUP(E195,Productos!$A$2:$D$13,4,TRUE)</f>
        <v>4.5</v>
      </c>
      <c r="I195" s="4" t="s">
        <v>10</v>
      </c>
      <c r="J195" s="4">
        <v>62</v>
      </c>
      <c r="K195" s="7">
        <v>42530</v>
      </c>
    </row>
    <row r="196" spans="1:11" x14ac:dyDescent="0.25">
      <c r="A196" s="4">
        <v>23456</v>
      </c>
      <c r="B196" s="4" t="s">
        <v>327</v>
      </c>
      <c r="C196" s="4" t="s">
        <v>297</v>
      </c>
      <c r="D196" s="4" t="str">
        <f>VLOOKUP(C196,Países!$A$1:$B$186,2,TRUE)</f>
        <v>Central America and the Caribbean</v>
      </c>
      <c r="E196" s="4" t="s">
        <v>26</v>
      </c>
      <c r="F196" s="4" t="str">
        <f>VLOOKUP(E196,Productos!$A$2:$D$13,2,TRUE)</f>
        <v>botellín 200cc</v>
      </c>
      <c r="G196" s="4">
        <f>VLOOKUP(E196,Productos!$A$2:$D$13,3,TRUE)</f>
        <v>1.5</v>
      </c>
      <c r="H196" s="4">
        <f>VLOOKUP(E196,Productos!$A$2:$D$13,4,TRUE)</f>
        <v>3</v>
      </c>
      <c r="I196" s="4" t="s">
        <v>17</v>
      </c>
      <c r="J196" s="4">
        <v>33</v>
      </c>
      <c r="K196" s="7">
        <v>42528</v>
      </c>
    </row>
    <row r="197" spans="1:11" x14ac:dyDescent="0.25">
      <c r="A197" s="4">
        <v>23457</v>
      </c>
      <c r="B197" s="4" t="s">
        <v>328</v>
      </c>
      <c r="C197" s="4" t="s">
        <v>329</v>
      </c>
      <c r="D197" s="4" t="str">
        <f>VLOOKUP(C197,Países!$A$1:$B$186,2,TRUE)</f>
        <v>Central America and the Caribbean</v>
      </c>
      <c r="E197" s="4" t="s">
        <v>29</v>
      </c>
      <c r="F197" s="4" t="str">
        <f>VLOOKUP(E197,Productos!$A$2:$D$13,2,TRUE)</f>
        <v>botella 0.5l</v>
      </c>
      <c r="G197" s="4">
        <f>VLOOKUP(E197,Productos!$A$2:$D$13,3,TRUE)</f>
        <v>3</v>
      </c>
      <c r="H197" s="4">
        <f>VLOOKUP(E197,Productos!$A$2:$D$13,4,TRUE)</f>
        <v>6</v>
      </c>
      <c r="I197" s="4" t="s">
        <v>17</v>
      </c>
      <c r="J197" s="4">
        <v>21</v>
      </c>
      <c r="K197" s="7">
        <v>42558</v>
      </c>
    </row>
    <row r="198" spans="1:11" x14ac:dyDescent="0.25">
      <c r="A198" s="4">
        <v>23458</v>
      </c>
      <c r="B198" s="4" t="s">
        <v>330</v>
      </c>
      <c r="C198" s="4" t="s">
        <v>331</v>
      </c>
      <c r="D198" s="4" t="str">
        <f>VLOOKUP(C198,Países!$A$1:$B$186,2,TRUE)</f>
        <v>Middle East and North Africa</v>
      </c>
      <c r="E198" s="4" t="s">
        <v>9</v>
      </c>
      <c r="F198" s="4" t="str">
        <f>VLOOKUP(E198,Productos!$A$2:$D$13,2,TRUE)</f>
        <v>garrafa 1l</v>
      </c>
      <c r="G198" s="4">
        <f>VLOOKUP(E198,Productos!$A$2:$D$13,3,TRUE)</f>
        <v>1</v>
      </c>
      <c r="H198" s="4">
        <f>VLOOKUP(E198,Productos!$A$2:$D$13,4,TRUE)</f>
        <v>2</v>
      </c>
      <c r="I198" s="4" t="s">
        <v>10</v>
      </c>
      <c r="J198" s="4">
        <v>69</v>
      </c>
      <c r="K198" s="7">
        <v>42560</v>
      </c>
    </row>
    <row r="199" spans="1:11" x14ac:dyDescent="0.25">
      <c r="A199" s="4">
        <v>23459</v>
      </c>
      <c r="B199" s="4" t="s">
        <v>332</v>
      </c>
      <c r="C199" s="4" t="s">
        <v>333</v>
      </c>
      <c r="D199" s="4" t="str">
        <f>VLOOKUP(C199,Países!$A$1:$B$186,2,TRUE)</f>
        <v>Asia</v>
      </c>
      <c r="E199" s="4" t="s">
        <v>23</v>
      </c>
      <c r="F199" s="4" t="str">
        <f>VLOOKUP(E199,Productos!$A$2:$D$13,2,TRUE)</f>
        <v>botellín 400cc</v>
      </c>
      <c r="G199" s="4">
        <f>VLOOKUP(E199,Productos!$A$2:$D$13,3,TRUE)</f>
        <v>2.2999999999999998</v>
      </c>
      <c r="H199" s="4">
        <f>VLOOKUP(E199,Productos!$A$2:$D$13,4,TRUE)</f>
        <v>4.5</v>
      </c>
      <c r="I199" s="4" t="s">
        <v>17</v>
      </c>
      <c r="J199" s="4">
        <v>121</v>
      </c>
      <c r="K199" s="7">
        <v>42568</v>
      </c>
    </row>
    <row r="200" spans="1:11" x14ac:dyDescent="0.25">
      <c r="A200" s="4">
        <v>23460</v>
      </c>
      <c r="B200" s="4" t="s">
        <v>334</v>
      </c>
      <c r="C200" s="4" t="s">
        <v>335</v>
      </c>
      <c r="D200" s="4" t="str">
        <f>VLOOKUP(C200,Países!$A$1:$B$186,2,TRUE)</f>
        <v>Middle East and North Africa</v>
      </c>
      <c r="E200" s="4" t="s">
        <v>58</v>
      </c>
      <c r="F200" s="4" t="str">
        <f>VLOOKUP(E200,Productos!$A$2:$D$13,2,TRUE)</f>
        <v>garrafa 2l</v>
      </c>
      <c r="G200" s="4">
        <f>VLOOKUP(E200,Productos!$A$2:$D$13,3,TRUE)</f>
        <v>2.5</v>
      </c>
      <c r="H200" s="4">
        <f>VLOOKUP(E200,Productos!$A$2:$D$13,4,TRUE)</f>
        <v>4.5</v>
      </c>
      <c r="I200" s="4" t="s">
        <v>10</v>
      </c>
      <c r="J200" s="4">
        <v>112</v>
      </c>
      <c r="K200" s="7">
        <v>42606</v>
      </c>
    </row>
    <row r="201" spans="1:11" x14ac:dyDescent="0.25">
      <c r="A201" s="4">
        <v>23461</v>
      </c>
      <c r="B201" s="4" t="s">
        <v>336</v>
      </c>
      <c r="C201" s="4" t="s">
        <v>337</v>
      </c>
      <c r="D201" s="4" t="str">
        <f>VLOOKUP(C201,Países!$A$1:$B$186,2,TRUE)</f>
        <v>Asia</v>
      </c>
      <c r="E201" s="4" t="s">
        <v>29</v>
      </c>
      <c r="F201" s="4" t="str">
        <f>VLOOKUP(E201,Productos!$A$2:$D$13,2,TRUE)</f>
        <v>botella 0.5l</v>
      </c>
      <c r="G201" s="4">
        <f>VLOOKUP(E201,Productos!$A$2:$D$13,3,TRUE)</f>
        <v>3</v>
      </c>
      <c r="H201" s="4">
        <f>VLOOKUP(E201,Productos!$A$2:$D$13,4,TRUE)</f>
        <v>6</v>
      </c>
      <c r="I201" s="4" t="s">
        <v>17</v>
      </c>
      <c r="J201" s="4">
        <v>42</v>
      </c>
      <c r="K201" s="7">
        <v>42543</v>
      </c>
    </row>
    <row r="202" spans="1:11" x14ac:dyDescent="0.25">
      <c r="A202" s="4">
        <v>23462</v>
      </c>
      <c r="B202" s="4" t="s">
        <v>338</v>
      </c>
      <c r="C202" s="4" t="s">
        <v>152</v>
      </c>
      <c r="D202" s="4" t="str">
        <f>VLOOKUP(C202,Países!$A$1:$B$186,2,TRUE)</f>
        <v>Sub-Saharan Africa</v>
      </c>
      <c r="E202" s="4" t="s">
        <v>51</v>
      </c>
      <c r="F202" s="4" t="str">
        <f>VLOOKUP(E202,Productos!$A$2:$D$13,2,TRUE)</f>
        <v>garrafa 8l</v>
      </c>
      <c r="G202" s="4">
        <f>VLOOKUP(E202,Productos!$A$2:$D$13,3,TRUE)</f>
        <v>8</v>
      </c>
      <c r="H202" s="4">
        <f>VLOOKUP(E202,Productos!$A$2:$D$13,4,TRUE)</f>
        <v>14.5</v>
      </c>
      <c r="I202" s="4" t="s">
        <v>17</v>
      </c>
      <c r="J202" s="4">
        <v>60</v>
      </c>
      <c r="K202" s="7">
        <v>42488</v>
      </c>
    </row>
    <row r="203" spans="1:11" x14ac:dyDescent="0.25">
      <c r="A203" s="4">
        <v>23463</v>
      </c>
      <c r="B203" s="4" t="s">
        <v>339</v>
      </c>
      <c r="C203" s="4" t="s">
        <v>278</v>
      </c>
      <c r="D203" s="4" t="str">
        <f>VLOOKUP(C203,Países!$A$1:$B$186,2,TRUE)</f>
        <v>Australia and Oceania</v>
      </c>
      <c r="E203" s="4" t="s">
        <v>46</v>
      </c>
      <c r="F203" s="4" t="str">
        <f>VLOOKUP(E203,Productos!$A$2:$D$13,2,TRUE)</f>
        <v>botellín 500cc</v>
      </c>
      <c r="G203" s="4">
        <f>VLOOKUP(E203,Productos!$A$2:$D$13,3,TRUE)</f>
        <v>3.5</v>
      </c>
      <c r="H203" s="4">
        <f>VLOOKUP(E203,Productos!$A$2:$D$13,4,TRUE)</f>
        <v>6.5</v>
      </c>
      <c r="I203" s="4" t="s">
        <v>10</v>
      </c>
      <c r="J203" s="4">
        <v>202</v>
      </c>
      <c r="K203" s="7">
        <v>42515</v>
      </c>
    </row>
    <row r="204" spans="1:11" x14ac:dyDescent="0.25">
      <c r="A204" s="4">
        <v>23464</v>
      </c>
      <c r="B204" s="4" t="s">
        <v>340</v>
      </c>
      <c r="C204" s="4" t="s">
        <v>341</v>
      </c>
      <c r="D204" s="4" t="str">
        <f>VLOOKUP(C204,Países!$A$1:$B$186,2,TRUE)</f>
        <v>Sub-Saharan Africa</v>
      </c>
      <c r="E204" s="4" t="s">
        <v>51</v>
      </c>
      <c r="F204" s="4" t="str">
        <f>VLOOKUP(E204,Productos!$A$2:$D$13,2,TRUE)</f>
        <v>garrafa 8l</v>
      </c>
      <c r="G204" s="4">
        <f>VLOOKUP(E204,Productos!$A$2:$D$13,3,TRUE)</f>
        <v>8</v>
      </c>
      <c r="H204" s="4">
        <f>VLOOKUP(E204,Productos!$A$2:$D$13,4,TRUE)</f>
        <v>14.5</v>
      </c>
      <c r="I204" s="4" t="s">
        <v>17</v>
      </c>
      <c r="J204" s="4">
        <v>181</v>
      </c>
      <c r="K204" s="7">
        <v>42469</v>
      </c>
    </row>
    <row r="205" spans="1:11" x14ac:dyDescent="0.25">
      <c r="A205" s="4">
        <v>23465</v>
      </c>
      <c r="B205" s="4" t="s">
        <v>342</v>
      </c>
      <c r="C205" s="4" t="s">
        <v>329</v>
      </c>
      <c r="D205" s="4" t="str">
        <f>VLOOKUP(C205,Países!$A$1:$B$186,2,TRUE)</f>
        <v>Central America and the Caribbean</v>
      </c>
      <c r="E205" s="4" t="s">
        <v>29</v>
      </c>
      <c r="F205" s="4" t="str">
        <f>VLOOKUP(E205,Productos!$A$2:$D$13,2,TRUE)</f>
        <v>botella 0.5l</v>
      </c>
      <c r="G205" s="4">
        <f>VLOOKUP(E205,Productos!$A$2:$D$13,3,TRUE)</f>
        <v>3</v>
      </c>
      <c r="H205" s="4">
        <f>VLOOKUP(E205,Productos!$A$2:$D$13,4,TRUE)</f>
        <v>6</v>
      </c>
      <c r="I205" s="4" t="s">
        <v>10</v>
      </c>
      <c r="J205" s="4">
        <v>28</v>
      </c>
      <c r="K205" s="7">
        <v>42478</v>
      </c>
    </row>
    <row r="206" spans="1:11" x14ac:dyDescent="0.25">
      <c r="A206" s="4">
        <v>23466</v>
      </c>
      <c r="B206" s="4" t="s">
        <v>343</v>
      </c>
      <c r="C206" s="4" t="s">
        <v>193</v>
      </c>
      <c r="D206" s="4" t="str">
        <f>VLOOKUP(C206,Países!$A$1:$B$186,2,TRUE)</f>
        <v>Sub-Saharan Africa</v>
      </c>
      <c r="E206" s="4" t="s">
        <v>16</v>
      </c>
      <c r="F206" s="4" t="str">
        <f>VLOOKUP(E206,Productos!$A$2:$D$13,2,TRUE)</f>
        <v>botella 5l</v>
      </c>
      <c r="G206" s="4">
        <f>VLOOKUP(E206,Productos!$A$2:$D$13,3,TRUE)</f>
        <v>6</v>
      </c>
      <c r="H206" s="4">
        <f>VLOOKUP(E206,Productos!$A$2:$D$13,4,TRUE)</f>
        <v>9</v>
      </c>
      <c r="I206" s="4" t="s">
        <v>10</v>
      </c>
      <c r="J206" s="4">
        <v>79</v>
      </c>
      <c r="K206" s="7">
        <v>42496</v>
      </c>
    </row>
    <row r="207" spans="1:11" x14ac:dyDescent="0.25">
      <c r="A207" s="4">
        <v>23467</v>
      </c>
      <c r="B207" s="4" t="s">
        <v>344</v>
      </c>
      <c r="C207" s="4" t="s">
        <v>345</v>
      </c>
      <c r="D207" s="4" t="str">
        <f>VLOOKUP(C207,Países!$A$1:$B$186,2,TRUE)</f>
        <v>Sub-Saharan Africa</v>
      </c>
      <c r="E207" s="4" t="s">
        <v>16</v>
      </c>
      <c r="F207" s="4" t="str">
        <f>VLOOKUP(E207,Productos!$A$2:$D$13,2,TRUE)</f>
        <v>botella 5l</v>
      </c>
      <c r="G207" s="4">
        <f>VLOOKUP(E207,Productos!$A$2:$D$13,3,TRUE)</f>
        <v>6</v>
      </c>
      <c r="H207" s="4">
        <f>VLOOKUP(E207,Productos!$A$2:$D$13,4,TRUE)</f>
        <v>9</v>
      </c>
      <c r="I207" s="4" t="s">
        <v>10</v>
      </c>
      <c r="J207" s="4">
        <v>10</v>
      </c>
      <c r="K207" s="7">
        <v>42496</v>
      </c>
    </row>
    <row r="208" spans="1:11" x14ac:dyDescent="0.25">
      <c r="A208" s="4">
        <v>23468</v>
      </c>
      <c r="B208" s="4" t="s">
        <v>346</v>
      </c>
      <c r="C208" s="4" t="s">
        <v>326</v>
      </c>
      <c r="D208" s="4" t="str">
        <f>VLOOKUP(C208,Países!$A$1:$B$186,2,TRUE)</f>
        <v>Asia</v>
      </c>
      <c r="E208" s="4" t="s">
        <v>51</v>
      </c>
      <c r="F208" s="4" t="str">
        <f>VLOOKUP(E208,Productos!$A$2:$D$13,2,TRUE)</f>
        <v>garrafa 8l</v>
      </c>
      <c r="G208" s="4">
        <f>VLOOKUP(E208,Productos!$A$2:$D$13,3,TRUE)</f>
        <v>8</v>
      </c>
      <c r="H208" s="4">
        <f>VLOOKUP(E208,Productos!$A$2:$D$13,4,TRUE)</f>
        <v>14.5</v>
      </c>
      <c r="I208" s="4" t="s">
        <v>10</v>
      </c>
      <c r="J208" s="4">
        <v>41</v>
      </c>
      <c r="K208" s="7">
        <v>42505</v>
      </c>
    </row>
    <row r="209" spans="1:11" x14ac:dyDescent="0.25">
      <c r="A209" s="4">
        <v>23469</v>
      </c>
      <c r="B209" s="4" t="s">
        <v>347</v>
      </c>
      <c r="C209" s="4" t="s">
        <v>71</v>
      </c>
      <c r="D209" s="4" t="str">
        <f>VLOOKUP(C209,Países!$A$1:$B$186,2,TRUE)</f>
        <v>Australia and Oceania</v>
      </c>
      <c r="E209" s="4" t="s">
        <v>23</v>
      </c>
      <c r="F209" s="4" t="str">
        <f>VLOOKUP(E209,Productos!$A$2:$D$13,2,TRUE)</f>
        <v>botellín 400cc</v>
      </c>
      <c r="G209" s="4">
        <f>VLOOKUP(E209,Productos!$A$2:$D$13,3,TRUE)</f>
        <v>2.2999999999999998</v>
      </c>
      <c r="H209" s="4">
        <f>VLOOKUP(E209,Productos!$A$2:$D$13,4,TRUE)</f>
        <v>4.5</v>
      </c>
      <c r="I209" s="4" t="s">
        <v>10</v>
      </c>
      <c r="J209" s="4">
        <v>5</v>
      </c>
      <c r="K209" s="7">
        <v>42468</v>
      </c>
    </row>
    <row r="210" spans="1:11" x14ac:dyDescent="0.25">
      <c r="A210" s="4">
        <v>23470</v>
      </c>
      <c r="B210" s="4" t="s">
        <v>348</v>
      </c>
      <c r="C210" s="4" t="s">
        <v>349</v>
      </c>
      <c r="D210" s="4" t="str">
        <f>VLOOKUP(C210,Países!$A$1:$B$186,2,TRUE)</f>
        <v>Middle East and North Africa</v>
      </c>
      <c r="E210" s="4" t="s">
        <v>23</v>
      </c>
      <c r="F210" s="4" t="str">
        <f>VLOOKUP(E210,Productos!$A$2:$D$13,2,TRUE)</f>
        <v>botellín 400cc</v>
      </c>
      <c r="G210" s="4">
        <f>VLOOKUP(E210,Productos!$A$2:$D$13,3,TRUE)</f>
        <v>2.2999999999999998</v>
      </c>
      <c r="H210" s="4">
        <f>VLOOKUP(E210,Productos!$A$2:$D$13,4,TRUE)</f>
        <v>4.5</v>
      </c>
      <c r="I210" s="4" t="s">
        <v>10</v>
      </c>
      <c r="J210" s="4">
        <v>129</v>
      </c>
      <c r="K210" s="7">
        <v>42496</v>
      </c>
    </row>
    <row r="211" spans="1:11" x14ac:dyDescent="0.25">
      <c r="A211" s="4">
        <v>23471</v>
      </c>
      <c r="B211" s="4" t="s">
        <v>350</v>
      </c>
      <c r="C211" s="4" t="s">
        <v>8</v>
      </c>
      <c r="D211" s="4" t="str">
        <f>VLOOKUP(C211,Países!$A$1:$B$186,2,TRUE)</f>
        <v>Sub-Saharan Africa</v>
      </c>
      <c r="E211" s="4" t="s">
        <v>26</v>
      </c>
      <c r="F211" s="4" t="str">
        <f>VLOOKUP(E211,Productos!$A$2:$D$13,2,TRUE)</f>
        <v>botellín 200cc</v>
      </c>
      <c r="G211" s="4">
        <f>VLOOKUP(E211,Productos!$A$2:$D$13,3,TRUE)</f>
        <v>1.5</v>
      </c>
      <c r="H211" s="4">
        <f>VLOOKUP(E211,Productos!$A$2:$D$13,4,TRUE)</f>
        <v>3</v>
      </c>
      <c r="I211" s="4" t="s">
        <v>17</v>
      </c>
      <c r="J211" s="4">
        <v>210</v>
      </c>
      <c r="K211" s="7">
        <v>42465</v>
      </c>
    </row>
    <row r="212" spans="1:11" x14ac:dyDescent="0.25">
      <c r="A212" s="4">
        <v>23472</v>
      </c>
      <c r="B212" s="4" t="s">
        <v>351</v>
      </c>
      <c r="C212" s="4" t="s">
        <v>352</v>
      </c>
      <c r="D212" s="4" t="str">
        <f>VLOOKUP(C212,Países!$A$1:$B$186,2,TRUE)</f>
        <v>Europe</v>
      </c>
      <c r="E212" s="4" t="s">
        <v>20</v>
      </c>
      <c r="F212" s="4" t="str">
        <f>VLOOKUP(E212,Productos!$A$2:$D$13,2,TRUE)</f>
        <v>garrafa 4l</v>
      </c>
      <c r="G212" s="4">
        <f>VLOOKUP(E212,Productos!$A$2:$D$13,3,TRUE)</f>
        <v>5</v>
      </c>
      <c r="H212" s="4">
        <f>VLOOKUP(E212,Productos!$A$2:$D$13,4,TRUE)</f>
        <v>9.99</v>
      </c>
      <c r="I212" s="4" t="s">
        <v>59</v>
      </c>
      <c r="J212" s="4">
        <v>209</v>
      </c>
      <c r="K212" s="7">
        <v>42518</v>
      </c>
    </row>
    <row r="213" spans="1:11" x14ac:dyDescent="0.25">
      <c r="A213" s="4">
        <v>23473</v>
      </c>
      <c r="B213" s="4" t="s">
        <v>353</v>
      </c>
      <c r="C213" s="4" t="s">
        <v>307</v>
      </c>
      <c r="D213" s="4" t="str">
        <f>VLOOKUP(C213,Países!$A$1:$B$186,2,TRUE)</f>
        <v>Middle East and North Africa</v>
      </c>
      <c r="E213" s="4" t="s">
        <v>13</v>
      </c>
      <c r="F213" s="4" t="str">
        <f>VLOOKUP(E213,Productos!$A$2:$D$13,2,TRUE)</f>
        <v>botella 1l</v>
      </c>
      <c r="G213" s="4">
        <f>VLOOKUP(E213,Productos!$A$2:$D$13,3,TRUE)</f>
        <v>3.5</v>
      </c>
      <c r="H213" s="4">
        <f>VLOOKUP(E213,Productos!$A$2:$D$13,4,TRUE)</f>
        <v>6.5</v>
      </c>
      <c r="I213" s="4" t="s">
        <v>10</v>
      </c>
      <c r="J213" s="4">
        <v>55</v>
      </c>
      <c r="K213" s="7">
        <v>42463</v>
      </c>
    </row>
    <row r="214" spans="1:11" x14ac:dyDescent="0.25">
      <c r="A214" s="4">
        <v>23474</v>
      </c>
      <c r="B214" s="4" t="s">
        <v>354</v>
      </c>
      <c r="C214" s="4" t="s">
        <v>97</v>
      </c>
      <c r="D214" s="4" t="str">
        <f>VLOOKUP(C214,Países!$A$1:$B$186,2,TRUE)</f>
        <v>Sub-Saharan Africa</v>
      </c>
      <c r="E214" s="4" t="s">
        <v>13</v>
      </c>
      <c r="F214" s="4" t="str">
        <f>VLOOKUP(E214,Productos!$A$2:$D$13,2,TRUE)</f>
        <v>botella 1l</v>
      </c>
      <c r="G214" s="4">
        <f>VLOOKUP(E214,Productos!$A$2:$D$13,3,TRUE)</f>
        <v>3.5</v>
      </c>
      <c r="H214" s="4">
        <f>VLOOKUP(E214,Productos!$A$2:$D$13,4,TRUE)</f>
        <v>6.5</v>
      </c>
      <c r="I214" s="4" t="s">
        <v>17</v>
      </c>
      <c r="J214" s="4">
        <v>49</v>
      </c>
      <c r="K214" s="7">
        <v>42463</v>
      </c>
    </row>
    <row r="215" spans="1:11" x14ac:dyDescent="0.25">
      <c r="A215" s="4">
        <v>23475</v>
      </c>
      <c r="B215" s="4" t="s">
        <v>355</v>
      </c>
      <c r="C215" s="4" t="s">
        <v>295</v>
      </c>
      <c r="D215" s="4" t="str">
        <f>VLOOKUP(C215,Países!$A$1:$B$186,2,TRUE)</f>
        <v>Central America and the Caribbean</v>
      </c>
      <c r="E215" s="4" t="s">
        <v>58</v>
      </c>
      <c r="F215" s="4" t="str">
        <f>VLOOKUP(E215,Productos!$A$2:$D$13,2,TRUE)</f>
        <v>garrafa 2l</v>
      </c>
      <c r="G215" s="4">
        <f>VLOOKUP(E215,Productos!$A$2:$D$13,3,TRUE)</f>
        <v>2.5</v>
      </c>
      <c r="H215" s="4">
        <f>VLOOKUP(E215,Productos!$A$2:$D$13,4,TRUE)</f>
        <v>4.5</v>
      </c>
      <c r="I215" s="4" t="s">
        <v>17</v>
      </c>
      <c r="J215" s="4">
        <v>16</v>
      </c>
      <c r="K215" s="7">
        <v>42505</v>
      </c>
    </row>
    <row r="216" spans="1:11" x14ac:dyDescent="0.25">
      <c r="A216" s="4">
        <v>23476</v>
      </c>
      <c r="B216" s="4" t="s">
        <v>356</v>
      </c>
      <c r="C216" s="4" t="s">
        <v>38</v>
      </c>
      <c r="D216" s="4" t="str">
        <f>VLOOKUP(C216,Países!$A$1:$B$186,2,TRUE)</f>
        <v>Asia</v>
      </c>
      <c r="E216" s="4" t="s">
        <v>34</v>
      </c>
      <c r="F216" s="4" t="str">
        <f>VLOOKUP(E216,Productos!$A$2:$D$13,2,TRUE)</f>
        <v>garrafa 3l</v>
      </c>
      <c r="G216" s="4">
        <f>VLOOKUP(E216,Productos!$A$2:$D$13,3,TRUE)</f>
        <v>3.5</v>
      </c>
      <c r="H216" s="4">
        <f>VLOOKUP(E216,Productos!$A$2:$D$13,4,TRUE)</f>
        <v>6.99</v>
      </c>
      <c r="I216" s="4" t="s">
        <v>59</v>
      </c>
      <c r="J216" s="4">
        <v>29</v>
      </c>
      <c r="K216" s="7">
        <v>42481</v>
      </c>
    </row>
    <row r="217" spans="1:11" x14ac:dyDescent="0.25">
      <c r="A217" s="4">
        <v>23477</v>
      </c>
      <c r="B217" s="4" t="s">
        <v>204</v>
      </c>
      <c r="C217" s="4" t="s">
        <v>357</v>
      </c>
      <c r="D217" s="4" t="str">
        <f>VLOOKUP(C217,Países!$A$1:$B$186,2,TRUE)</f>
        <v>Asia</v>
      </c>
      <c r="E217" s="4" t="s">
        <v>20</v>
      </c>
      <c r="F217" s="4" t="str">
        <f>VLOOKUP(E217,Productos!$A$2:$D$13,2,TRUE)</f>
        <v>garrafa 4l</v>
      </c>
      <c r="G217" s="4">
        <f>VLOOKUP(E217,Productos!$A$2:$D$13,3,TRUE)</f>
        <v>5</v>
      </c>
      <c r="H217" s="4">
        <f>VLOOKUP(E217,Productos!$A$2:$D$13,4,TRUE)</f>
        <v>9.99</v>
      </c>
      <c r="I217" s="4" t="s">
        <v>17</v>
      </c>
      <c r="J217" s="4">
        <v>164</v>
      </c>
      <c r="K217" s="7">
        <v>42503</v>
      </c>
    </row>
    <row r="218" spans="1:11" x14ac:dyDescent="0.25">
      <c r="A218" s="4">
        <v>23478</v>
      </c>
      <c r="B218" s="4" t="s">
        <v>358</v>
      </c>
      <c r="C218" s="4" t="s">
        <v>22</v>
      </c>
      <c r="D218" s="4" t="str">
        <f>VLOOKUP(C218,Países!$A$1:$B$186,2,TRUE)</f>
        <v>Sub-Saharan Africa</v>
      </c>
      <c r="E218" s="4" t="s">
        <v>58</v>
      </c>
      <c r="F218" s="4" t="str">
        <f>VLOOKUP(E218,Productos!$A$2:$D$13,2,TRUE)</f>
        <v>garrafa 2l</v>
      </c>
      <c r="G218" s="4">
        <f>VLOOKUP(E218,Productos!$A$2:$D$13,3,TRUE)</f>
        <v>2.5</v>
      </c>
      <c r="H218" s="4">
        <f>VLOOKUP(E218,Productos!$A$2:$D$13,4,TRUE)</f>
        <v>4.5</v>
      </c>
      <c r="I218" s="4" t="s">
        <v>59</v>
      </c>
      <c r="J218" s="4">
        <v>173</v>
      </c>
      <c r="K218" s="7">
        <v>42489</v>
      </c>
    </row>
    <row r="219" spans="1:11" x14ac:dyDescent="0.25">
      <c r="A219" s="4">
        <v>23479</v>
      </c>
      <c r="B219" s="4" t="s">
        <v>359</v>
      </c>
      <c r="C219" s="4" t="s">
        <v>352</v>
      </c>
      <c r="D219" s="4" t="str">
        <f>VLOOKUP(C219,Países!$A$1:$B$186,2,TRUE)</f>
        <v>Europe</v>
      </c>
      <c r="E219" s="4" t="s">
        <v>23</v>
      </c>
      <c r="F219" s="4" t="str">
        <f>VLOOKUP(E219,Productos!$A$2:$D$13,2,TRUE)</f>
        <v>botellín 400cc</v>
      </c>
      <c r="G219" s="4">
        <f>VLOOKUP(E219,Productos!$A$2:$D$13,3,TRUE)</f>
        <v>2.2999999999999998</v>
      </c>
      <c r="H219" s="4">
        <f>VLOOKUP(E219,Productos!$A$2:$D$13,4,TRUE)</f>
        <v>4.5</v>
      </c>
      <c r="I219" s="4" t="s">
        <v>10</v>
      </c>
      <c r="J219" s="4">
        <v>119</v>
      </c>
      <c r="K219" s="7">
        <v>42487</v>
      </c>
    </row>
    <row r="220" spans="1:11" x14ac:dyDescent="0.25">
      <c r="A220" s="4">
        <v>23480</v>
      </c>
      <c r="B220" s="4" t="s">
        <v>360</v>
      </c>
      <c r="C220" s="4" t="s">
        <v>295</v>
      </c>
      <c r="D220" s="4" t="str">
        <f>VLOOKUP(C220,Países!$A$1:$B$186,2,TRUE)</f>
        <v>Central America and the Caribbean</v>
      </c>
      <c r="E220" s="4" t="s">
        <v>26</v>
      </c>
      <c r="F220" s="4" t="str">
        <f>VLOOKUP(E220,Productos!$A$2:$D$13,2,TRUE)</f>
        <v>botellín 200cc</v>
      </c>
      <c r="G220" s="4">
        <f>VLOOKUP(E220,Productos!$A$2:$D$13,3,TRUE)</f>
        <v>1.5</v>
      </c>
      <c r="H220" s="4">
        <f>VLOOKUP(E220,Productos!$A$2:$D$13,4,TRUE)</f>
        <v>3</v>
      </c>
      <c r="I220" s="4" t="s">
        <v>10</v>
      </c>
      <c r="J220" s="4">
        <v>111</v>
      </c>
      <c r="K220" s="7">
        <v>42501</v>
      </c>
    </row>
    <row r="221" spans="1:11" x14ac:dyDescent="0.25">
      <c r="A221" s="4">
        <v>23481</v>
      </c>
      <c r="B221" s="4" t="s">
        <v>361</v>
      </c>
      <c r="C221" s="4" t="s">
        <v>333</v>
      </c>
      <c r="D221" s="4" t="str">
        <f>VLOOKUP(C221,Países!$A$1:$B$186,2,TRUE)</f>
        <v>Asia</v>
      </c>
      <c r="E221" s="4" t="s">
        <v>34</v>
      </c>
      <c r="F221" s="4" t="str">
        <f>VLOOKUP(E221,Productos!$A$2:$D$13,2,TRUE)</f>
        <v>garrafa 3l</v>
      </c>
      <c r="G221" s="4">
        <f>VLOOKUP(E221,Productos!$A$2:$D$13,3,TRUE)</f>
        <v>3.5</v>
      </c>
      <c r="H221" s="4">
        <f>VLOOKUP(E221,Productos!$A$2:$D$13,4,TRUE)</f>
        <v>6.99</v>
      </c>
      <c r="I221" s="4" t="s">
        <v>17</v>
      </c>
      <c r="J221" s="4">
        <v>20</v>
      </c>
      <c r="K221" s="7">
        <v>42499</v>
      </c>
    </row>
    <row r="222" spans="1:11" x14ac:dyDescent="0.25">
      <c r="A222" s="4">
        <v>23482</v>
      </c>
      <c r="B222" s="4" t="s">
        <v>362</v>
      </c>
      <c r="C222" s="4" t="s">
        <v>57</v>
      </c>
      <c r="D222" s="4" t="str">
        <f>VLOOKUP(C222,Países!$A$1:$B$186,2,TRUE)</f>
        <v>Sub-Saharan Africa</v>
      </c>
      <c r="E222" s="4" t="s">
        <v>23</v>
      </c>
      <c r="F222" s="4" t="str">
        <f>VLOOKUP(E222,Productos!$A$2:$D$13,2,TRUE)</f>
        <v>botellín 400cc</v>
      </c>
      <c r="G222" s="4">
        <f>VLOOKUP(E222,Productos!$A$2:$D$13,3,TRUE)</f>
        <v>2.2999999999999998</v>
      </c>
      <c r="H222" s="4">
        <f>VLOOKUP(E222,Productos!$A$2:$D$13,4,TRUE)</f>
        <v>4.5</v>
      </c>
      <c r="I222" s="4" t="s">
        <v>10</v>
      </c>
      <c r="J222" s="4">
        <v>197</v>
      </c>
      <c r="K222" s="7">
        <v>42466</v>
      </c>
    </row>
    <row r="223" spans="1:11" x14ac:dyDescent="0.25">
      <c r="A223" s="4">
        <v>23483</v>
      </c>
      <c r="B223" s="4" t="s">
        <v>363</v>
      </c>
      <c r="C223" s="4" t="s">
        <v>45</v>
      </c>
      <c r="D223" s="4" t="str">
        <f>VLOOKUP(C223,Países!$A$1:$B$186,2,TRUE)</f>
        <v>Asia</v>
      </c>
      <c r="E223" s="4" t="s">
        <v>9</v>
      </c>
      <c r="F223" s="4" t="str">
        <f>VLOOKUP(E223,Productos!$A$2:$D$13,2,TRUE)</f>
        <v>garrafa 1l</v>
      </c>
      <c r="G223" s="4">
        <f>VLOOKUP(E223,Productos!$A$2:$D$13,3,TRUE)</f>
        <v>1</v>
      </c>
      <c r="H223" s="4">
        <f>VLOOKUP(E223,Productos!$A$2:$D$13,4,TRUE)</f>
        <v>2</v>
      </c>
      <c r="I223" s="4" t="s">
        <v>17</v>
      </c>
      <c r="J223" s="4">
        <v>122</v>
      </c>
      <c r="K223" s="7">
        <v>42512</v>
      </c>
    </row>
    <row r="224" spans="1:11" x14ac:dyDescent="0.25">
      <c r="A224" s="4">
        <v>23484</v>
      </c>
      <c r="B224" s="4" t="s">
        <v>364</v>
      </c>
      <c r="C224" s="4" t="s">
        <v>295</v>
      </c>
      <c r="D224" s="4" t="str">
        <f>VLOOKUP(C224,Países!$A$1:$B$186,2,TRUE)</f>
        <v>Central America and the Caribbean</v>
      </c>
      <c r="E224" s="4" t="s">
        <v>58</v>
      </c>
      <c r="F224" s="4" t="str">
        <f>VLOOKUP(E224,Productos!$A$2:$D$13,2,TRUE)</f>
        <v>garrafa 2l</v>
      </c>
      <c r="G224" s="4">
        <f>VLOOKUP(E224,Productos!$A$2:$D$13,3,TRUE)</f>
        <v>2.5</v>
      </c>
      <c r="H224" s="4">
        <f>VLOOKUP(E224,Productos!$A$2:$D$13,4,TRUE)</f>
        <v>4.5</v>
      </c>
      <c r="I224" s="4" t="s">
        <v>59</v>
      </c>
      <c r="J224" s="4">
        <v>51</v>
      </c>
      <c r="K224" s="7">
        <v>42516</v>
      </c>
    </row>
    <row r="225" spans="1:11" x14ac:dyDescent="0.25">
      <c r="A225" s="4">
        <v>23485</v>
      </c>
      <c r="B225" s="4" t="s">
        <v>365</v>
      </c>
      <c r="C225" s="4" t="s">
        <v>366</v>
      </c>
      <c r="D225" s="4" t="str">
        <f>VLOOKUP(C225,Países!$A$1:$B$186,2,TRUE)</f>
        <v>Middle East and North Africa</v>
      </c>
      <c r="E225" s="4" t="s">
        <v>51</v>
      </c>
      <c r="F225" s="4" t="str">
        <f>VLOOKUP(E225,Productos!$A$2:$D$13,2,TRUE)</f>
        <v>garrafa 8l</v>
      </c>
      <c r="G225" s="4">
        <f>VLOOKUP(E225,Productos!$A$2:$D$13,3,TRUE)</f>
        <v>8</v>
      </c>
      <c r="H225" s="4">
        <f>VLOOKUP(E225,Productos!$A$2:$D$13,4,TRUE)</f>
        <v>14.5</v>
      </c>
      <c r="I225" s="4" t="s">
        <v>10</v>
      </c>
      <c r="J225" s="4">
        <v>38</v>
      </c>
      <c r="K225" s="7">
        <v>42497</v>
      </c>
    </row>
    <row r="226" spans="1:11" x14ac:dyDescent="0.25">
      <c r="A226" s="4">
        <v>23486</v>
      </c>
      <c r="B226" s="4" t="s">
        <v>367</v>
      </c>
      <c r="C226" s="4" t="s">
        <v>88</v>
      </c>
      <c r="D226" s="4" t="str">
        <f>VLOOKUP(C226,Países!$A$1:$B$186,2,TRUE)</f>
        <v>Europe</v>
      </c>
      <c r="E226" s="4" t="s">
        <v>51</v>
      </c>
      <c r="F226" s="4" t="str">
        <f>VLOOKUP(E226,Productos!$A$2:$D$13,2,TRUE)</f>
        <v>garrafa 8l</v>
      </c>
      <c r="G226" s="4">
        <f>VLOOKUP(E226,Productos!$A$2:$D$13,3,TRUE)</f>
        <v>8</v>
      </c>
      <c r="H226" s="4">
        <f>VLOOKUP(E226,Productos!$A$2:$D$13,4,TRUE)</f>
        <v>14.5</v>
      </c>
      <c r="I226" s="4" t="s">
        <v>17</v>
      </c>
      <c r="J226" s="4">
        <v>206</v>
      </c>
      <c r="K226" s="7">
        <v>42509</v>
      </c>
    </row>
    <row r="227" spans="1:11" x14ac:dyDescent="0.25">
      <c r="A227" s="4">
        <v>23487</v>
      </c>
      <c r="B227" s="4" t="s">
        <v>368</v>
      </c>
      <c r="C227" s="4" t="s">
        <v>369</v>
      </c>
      <c r="D227" s="4" t="str">
        <f>VLOOKUP(C227,Países!$A$1:$B$186,2,TRUE)</f>
        <v>Middle East and North Africa</v>
      </c>
      <c r="E227" s="4" t="s">
        <v>13</v>
      </c>
      <c r="F227" s="4" t="str">
        <f>VLOOKUP(E227,Productos!$A$2:$D$13,2,TRUE)</f>
        <v>botella 1l</v>
      </c>
      <c r="G227" s="4">
        <f>VLOOKUP(E227,Productos!$A$2:$D$13,3,TRUE)</f>
        <v>3.5</v>
      </c>
      <c r="H227" s="4">
        <f>VLOOKUP(E227,Productos!$A$2:$D$13,4,TRUE)</f>
        <v>6.5</v>
      </c>
      <c r="I227" s="4" t="s">
        <v>10</v>
      </c>
      <c r="J227" s="4">
        <v>143</v>
      </c>
      <c r="K227" s="7">
        <v>42516</v>
      </c>
    </row>
    <row r="228" spans="1:11" x14ac:dyDescent="0.25">
      <c r="A228" s="4">
        <v>23488</v>
      </c>
      <c r="B228" s="4" t="s">
        <v>370</v>
      </c>
      <c r="C228" s="4" t="s">
        <v>333</v>
      </c>
      <c r="D228" s="4" t="str">
        <f>VLOOKUP(C228,Países!$A$1:$B$186,2,TRUE)</f>
        <v>Asia</v>
      </c>
      <c r="E228" s="4" t="s">
        <v>58</v>
      </c>
      <c r="F228" s="4" t="str">
        <f>VLOOKUP(E228,Productos!$A$2:$D$13,2,TRUE)</f>
        <v>garrafa 2l</v>
      </c>
      <c r="G228" s="4">
        <f>VLOOKUP(E228,Productos!$A$2:$D$13,3,TRUE)</f>
        <v>2.5</v>
      </c>
      <c r="H228" s="4">
        <f>VLOOKUP(E228,Productos!$A$2:$D$13,4,TRUE)</f>
        <v>4.5</v>
      </c>
      <c r="I228" s="4" t="s">
        <v>17</v>
      </c>
      <c r="J228" s="4">
        <v>134</v>
      </c>
      <c r="K228" s="7">
        <v>42471</v>
      </c>
    </row>
    <row r="229" spans="1:11" x14ac:dyDescent="0.25">
      <c r="A229" s="4">
        <v>23489</v>
      </c>
      <c r="B229" s="4" t="s">
        <v>371</v>
      </c>
      <c r="C229" s="4" t="s">
        <v>71</v>
      </c>
      <c r="D229" s="4" t="str">
        <f>VLOOKUP(C229,Países!$A$1:$B$186,2,TRUE)</f>
        <v>Australia and Oceania</v>
      </c>
      <c r="E229" s="4" t="s">
        <v>51</v>
      </c>
      <c r="F229" s="4" t="str">
        <f>VLOOKUP(E229,Productos!$A$2:$D$13,2,TRUE)</f>
        <v>garrafa 8l</v>
      </c>
      <c r="G229" s="4">
        <f>VLOOKUP(E229,Productos!$A$2:$D$13,3,TRUE)</f>
        <v>8</v>
      </c>
      <c r="H229" s="4">
        <f>VLOOKUP(E229,Productos!$A$2:$D$13,4,TRUE)</f>
        <v>14.5</v>
      </c>
      <c r="I229" s="4" t="s">
        <v>17</v>
      </c>
      <c r="J229" s="4">
        <v>101</v>
      </c>
      <c r="K229" s="7">
        <v>42485</v>
      </c>
    </row>
    <row r="230" spans="1:11" x14ac:dyDescent="0.25">
      <c r="A230" s="4">
        <v>23490</v>
      </c>
      <c r="B230" s="4" t="s">
        <v>372</v>
      </c>
      <c r="C230" s="4" t="s">
        <v>53</v>
      </c>
      <c r="D230" s="4" t="str">
        <f>VLOOKUP(C230,Países!$A$1:$B$186,2,TRUE)</f>
        <v>Europe</v>
      </c>
      <c r="E230" s="4" t="s">
        <v>58</v>
      </c>
      <c r="F230" s="4" t="str">
        <f>VLOOKUP(E230,Productos!$A$2:$D$13,2,TRUE)</f>
        <v>garrafa 2l</v>
      </c>
      <c r="G230" s="4">
        <f>VLOOKUP(E230,Productos!$A$2:$D$13,3,TRUE)</f>
        <v>2.5</v>
      </c>
      <c r="H230" s="4">
        <f>VLOOKUP(E230,Productos!$A$2:$D$13,4,TRUE)</f>
        <v>4.5</v>
      </c>
      <c r="I230" s="4" t="s">
        <v>59</v>
      </c>
      <c r="J230" s="4">
        <v>173</v>
      </c>
      <c r="K230" s="7">
        <v>42473</v>
      </c>
    </row>
    <row r="231" spans="1:11" x14ac:dyDescent="0.25">
      <c r="A231" s="4">
        <v>23491</v>
      </c>
      <c r="B231" s="4" t="s">
        <v>373</v>
      </c>
      <c r="C231" s="4" t="s">
        <v>108</v>
      </c>
      <c r="D231" s="4" t="str">
        <f>VLOOKUP(C231,Países!$A$1:$B$186,2,TRUE)</f>
        <v>Sub-Saharan Africa</v>
      </c>
      <c r="E231" s="4" t="s">
        <v>34</v>
      </c>
      <c r="F231" s="4" t="str">
        <f>VLOOKUP(E231,Productos!$A$2:$D$13,2,TRUE)</f>
        <v>garrafa 3l</v>
      </c>
      <c r="G231" s="4">
        <f>VLOOKUP(E231,Productos!$A$2:$D$13,3,TRUE)</f>
        <v>3.5</v>
      </c>
      <c r="H231" s="4">
        <f>VLOOKUP(E231,Productos!$A$2:$D$13,4,TRUE)</f>
        <v>6.99</v>
      </c>
      <c r="I231" s="4" t="s">
        <v>10</v>
      </c>
      <c r="J231" s="4">
        <v>87</v>
      </c>
      <c r="K231" s="7">
        <v>42489</v>
      </c>
    </row>
    <row r="232" spans="1:11" x14ac:dyDescent="0.25">
      <c r="A232" s="4">
        <v>23492</v>
      </c>
      <c r="B232" s="4" t="s">
        <v>374</v>
      </c>
      <c r="C232" s="4" t="s">
        <v>83</v>
      </c>
      <c r="D232" s="4" t="str">
        <f>VLOOKUP(C232,Países!$A$1:$B$186,2,TRUE)</f>
        <v>Sub-Saharan Africa</v>
      </c>
      <c r="E232" s="4" t="s">
        <v>26</v>
      </c>
      <c r="F232" s="4" t="str">
        <f>VLOOKUP(E232,Productos!$A$2:$D$13,2,TRUE)</f>
        <v>botellín 200cc</v>
      </c>
      <c r="G232" s="4">
        <f>VLOOKUP(E232,Productos!$A$2:$D$13,3,TRUE)</f>
        <v>1.5</v>
      </c>
      <c r="H232" s="4">
        <f>VLOOKUP(E232,Productos!$A$2:$D$13,4,TRUE)</f>
        <v>3</v>
      </c>
      <c r="I232" s="4" t="s">
        <v>10</v>
      </c>
      <c r="J232" s="4">
        <v>6</v>
      </c>
      <c r="K232" s="7">
        <v>42493</v>
      </c>
    </row>
    <row r="233" spans="1:11" x14ac:dyDescent="0.25">
      <c r="A233" s="4">
        <v>23493</v>
      </c>
      <c r="B233" s="4" t="s">
        <v>375</v>
      </c>
      <c r="C233" s="4" t="s">
        <v>8</v>
      </c>
      <c r="D233" s="4" t="str">
        <f>VLOOKUP(C233,Países!$A$1:$B$186,2,TRUE)</f>
        <v>Sub-Saharan Africa</v>
      </c>
      <c r="E233" s="4" t="s">
        <v>9</v>
      </c>
      <c r="F233" s="4" t="str">
        <f>VLOOKUP(E233,Productos!$A$2:$D$13,2,TRUE)</f>
        <v>garrafa 1l</v>
      </c>
      <c r="G233" s="4">
        <f>VLOOKUP(E233,Productos!$A$2:$D$13,3,TRUE)</f>
        <v>1</v>
      </c>
      <c r="H233" s="4">
        <f>VLOOKUP(E233,Productos!$A$2:$D$13,4,TRUE)</f>
        <v>2</v>
      </c>
      <c r="I233" s="4" t="s">
        <v>10</v>
      </c>
      <c r="J233" s="4">
        <v>176</v>
      </c>
      <c r="K233" s="7">
        <v>42498</v>
      </c>
    </row>
    <row r="234" spans="1:11" x14ac:dyDescent="0.25">
      <c r="A234" s="4">
        <v>23494</v>
      </c>
      <c r="B234" s="4" t="s">
        <v>376</v>
      </c>
      <c r="C234" s="4" t="s">
        <v>176</v>
      </c>
      <c r="D234" s="4" t="str">
        <f>VLOOKUP(C234,Países!$A$1:$B$186,2,TRUE)</f>
        <v>Europe</v>
      </c>
      <c r="E234" s="4" t="s">
        <v>23</v>
      </c>
      <c r="F234" s="4" t="str">
        <f>VLOOKUP(E234,Productos!$A$2:$D$13,2,TRUE)</f>
        <v>botellín 400cc</v>
      </c>
      <c r="G234" s="4">
        <f>VLOOKUP(E234,Productos!$A$2:$D$13,3,TRUE)</f>
        <v>2.2999999999999998</v>
      </c>
      <c r="H234" s="4">
        <f>VLOOKUP(E234,Productos!$A$2:$D$13,4,TRUE)</f>
        <v>4.5</v>
      </c>
      <c r="I234" s="4" t="s">
        <v>10</v>
      </c>
      <c r="J234" s="4">
        <v>77</v>
      </c>
      <c r="K234" s="7">
        <v>42465</v>
      </c>
    </row>
    <row r="235" spans="1:11" x14ac:dyDescent="0.25">
      <c r="A235" s="4">
        <v>23495</v>
      </c>
      <c r="B235" s="4" t="s">
        <v>377</v>
      </c>
      <c r="C235" s="4" t="s">
        <v>69</v>
      </c>
      <c r="D235" s="4" t="str">
        <f>VLOOKUP(C235,Países!$A$1:$B$186,2,TRUE)</f>
        <v>Middle East and North Africa</v>
      </c>
      <c r="E235" s="4" t="s">
        <v>9</v>
      </c>
      <c r="F235" s="4" t="str">
        <f>VLOOKUP(E235,Productos!$A$2:$D$13,2,TRUE)</f>
        <v>garrafa 1l</v>
      </c>
      <c r="G235" s="4">
        <f>VLOOKUP(E235,Productos!$A$2:$D$13,3,TRUE)</f>
        <v>1</v>
      </c>
      <c r="H235" s="4">
        <f>VLOOKUP(E235,Productos!$A$2:$D$13,4,TRUE)</f>
        <v>2</v>
      </c>
      <c r="I235" s="4" t="s">
        <v>10</v>
      </c>
      <c r="J235" s="4">
        <v>192</v>
      </c>
      <c r="K235" s="7">
        <v>42506</v>
      </c>
    </row>
    <row r="236" spans="1:11" x14ac:dyDescent="0.25">
      <c r="A236" s="4">
        <v>23496</v>
      </c>
      <c r="B236" s="4" t="s">
        <v>378</v>
      </c>
      <c r="C236" s="4" t="s">
        <v>178</v>
      </c>
      <c r="D236" s="4" t="str">
        <f>VLOOKUP(C236,Países!$A$1:$B$186,2,TRUE)</f>
        <v>Sub-Saharan Africa</v>
      </c>
      <c r="E236" s="4" t="s">
        <v>34</v>
      </c>
      <c r="F236" s="4" t="str">
        <f>VLOOKUP(E236,Productos!$A$2:$D$13,2,TRUE)</f>
        <v>garrafa 3l</v>
      </c>
      <c r="G236" s="4">
        <f>VLOOKUP(E236,Productos!$A$2:$D$13,3,TRUE)</f>
        <v>3.5</v>
      </c>
      <c r="H236" s="4">
        <f>VLOOKUP(E236,Productos!$A$2:$D$13,4,TRUE)</f>
        <v>6.99</v>
      </c>
      <c r="I236" s="4" t="s">
        <v>10</v>
      </c>
      <c r="J236" s="4">
        <v>143</v>
      </c>
      <c r="K236" s="7">
        <v>42466</v>
      </c>
    </row>
    <row r="237" spans="1:11" x14ac:dyDescent="0.25">
      <c r="A237" s="4">
        <v>23497</v>
      </c>
      <c r="B237" s="4" t="s">
        <v>379</v>
      </c>
      <c r="C237" s="4" t="s">
        <v>380</v>
      </c>
      <c r="D237" s="4" t="str">
        <f>VLOOKUP(C237,Países!$A$1:$B$186,2,TRUE)</f>
        <v>Asia</v>
      </c>
      <c r="E237" s="4" t="s">
        <v>29</v>
      </c>
      <c r="F237" s="4" t="str">
        <f>VLOOKUP(E237,Productos!$A$2:$D$13,2,TRUE)</f>
        <v>botella 0.5l</v>
      </c>
      <c r="G237" s="4">
        <f>VLOOKUP(E237,Productos!$A$2:$D$13,3,TRUE)</f>
        <v>3</v>
      </c>
      <c r="H237" s="4">
        <f>VLOOKUP(E237,Productos!$A$2:$D$13,4,TRUE)</f>
        <v>6</v>
      </c>
      <c r="I237" s="4" t="s">
        <v>17</v>
      </c>
      <c r="J237" s="4">
        <v>126</v>
      </c>
      <c r="K237" s="7">
        <v>42500</v>
      </c>
    </row>
    <row r="238" spans="1:11" x14ac:dyDescent="0.25">
      <c r="A238" s="4">
        <v>23498</v>
      </c>
      <c r="B238" s="4" t="s">
        <v>381</v>
      </c>
      <c r="C238" s="4" t="s">
        <v>252</v>
      </c>
      <c r="D238" s="4" t="str">
        <f>VLOOKUP(C238,Países!$A$1:$B$186,2,TRUE)</f>
        <v>Europe</v>
      </c>
      <c r="E238" s="4" t="s">
        <v>51</v>
      </c>
      <c r="F238" s="4" t="str">
        <f>VLOOKUP(E238,Productos!$A$2:$D$13,2,TRUE)</f>
        <v>garrafa 8l</v>
      </c>
      <c r="G238" s="4">
        <f>VLOOKUP(E238,Productos!$A$2:$D$13,3,TRUE)</f>
        <v>8</v>
      </c>
      <c r="H238" s="4">
        <f>VLOOKUP(E238,Productos!$A$2:$D$13,4,TRUE)</f>
        <v>14.5</v>
      </c>
      <c r="I238" s="4" t="s">
        <v>17</v>
      </c>
      <c r="J238" s="4">
        <v>178</v>
      </c>
      <c r="K238" s="7">
        <v>42518</v>
      </c>
    </row>
    <row r="239" spans="1:11" x14ac:dyDescent="0.25">
      <c r="A239" s="4">
        <v>23499</v>
      </c>
      <c r="B239" s="4" t="s">
        <v>382</v>
      </c>
      <c r="C239" s="4" t="s">
        <v>250</v>
      </c>
      <c r="D239" s="4" t="str">
        <f>VLOOKUP(C239,Países!$A$1:$B$186,2,TRUE)</f>
        <v>Sub-Saharan Africa</v>
      </c>
      <c r="E239" s="4" t="s">
        <v>26</v>
      </c>
      <c r="F239" s="4" t="str">
        <f>VLOOKUP(E239,Productos!$A$2:$D$13,2,TRUE)</f>
        <v>botellín 200cc</v>
      </c>
      <c r="G239" s="4">
        <f>VLOOKUP(E239,Productos!$A$2:$D$13,3,TRUE)</f>
        <v>1.5</v>
      </c>
      <c r="H239" s="4">
        <f>VLOOKUP(E239,Productos!$A$2:$D$13,4,TRUE)</f>
        <v>3</v>
      </c>
      <c r="I239" s="4" t="s">
        <v>17</v>
      </c>
      <c r="J239" s="4">
        <v>116</v>
      </c>
      <c r="K239" s="7">
        <v>42509</v>
      </c>
    </row>
    <row r="240" spans="1:11" x14ac:dyDescent="0.25">
      <c r="A240" s="4">
        <v>23500</v>
      </c>
      <c r="B240" s="4" t="s">
        <v>383</v>
      </c>
      <c r="C240" s="4" t="s">
        <v>384</v>
      </c>
      <c r="D240" s="4" t="str">
        <f>VLOOKUP(C240,Países!$A$1:$B$186,2,TRUE)</f>
        <v>North America</v>
      </c>
      <c r="E240" s="4" t="s">
        <v>51</v>
      </c>
      <c r="F240" s="4" t="str">
        <f>VLOOKUP(E240,Productos!$A$2:$D$13,2,TRUE)</f>
        <v>garrafa 8l</v>
      </c>
      <c r="G240" s="4">
        <f>VLOOKUP(E240,Productos!$A$2:$D$13,3,TRUE)</f>
        <v>8</v>
      </c>
      <c r="H240" s="4">
        <f>VLOOKUP(E240,Productos!$A$2:$D$13,4,TRUE)</f>
        <v>14.5</v>
      </c>
      <c r="I240" s="4" t="s">
        <v>17</v>
      </c>
      <c r="J240" s="4">
        <v>8</v>
      </c>
      <c r="K240" s="7">
        <v>42502</v>
      </c>
    </row>
    <row r="241" spans="1:11" x14ac:dyDescent="0.25">
      <c r="A241" s="4">
        <v>23501</v>
      </c>
      <c r="B241" s="4" t="s">
        <v>385</v>
      </c>
      <c r="C241" s="4" t="s">
        <v>257</v>
      </c>
      <c r="D241" s="4" t="str">
        <f>VLOOKUP(C241,Países!$A$1:$B$186,2,TRUE)</f>
        <v>Central America and the Caribbean</v>
      </c>
      <c r="E241" s="4" t="s">
        <v>26</v>
      </c>
      <c r="F241" s="4" t="str">
        <f>VLOOKUP(E241,Productos!$A$2:$D$13,2,TRUE)</f>
        <v>botellín 200cc</v>
      </c>
      <c r="G241" s="4">
        <f>VLOOKUP(E241,Productos!$A$2:$D$13,3,TRUE)</f>
        <v>1.5</v>
      </c>
      <c r="H241" s="4">
        <f>VLOOKUP(E241,Productos!$A$2:$D$13,4,TRUE)</f>
        <v>3</v>
      </c>
      <c r="I241" s="4" t="s">
        <v>10</v>
      </c>
      <c r="J241" s="4">
        <v>204</v>
      </c>
      <c r="K241" s="7">
        <v>42506</v>
      </c>
    </row>
    <row r="242" spans="1:11" x14ac:dyDescent="0.25">
      <c r="A242" s="4">
        <v>23502</v>
      </c>
      <c r="B242" s="4" t="s">
        <v>386</v>
      </c>
      <c r="C242" s="4" t="s">
        <v>140</v>
      </c>
      <c r="D242" s="4" t="str">
        <f>VLOOKUP(C242,Países!$A$1:$B$186,2,TRUE)</f>
        <v>Sub-Saharan Africa</v>
      </c>
      <c r="E242" s="4" t="s">
        <v>26</v>
      </c>
      <c r="F242" s="4" t="str">
        <f>VLOOKUP(E242,Productos!$A$2:$D$13,2,TRUE)</f>
        <v>botellín 200cc</v>
      </c>
      <c r="G242" s="4">
        <f>VLOOKUP(E242,Productos!$A$2:$D$13,3,TRUE)</f>
        <v>1.5</v>
      </c>
      <c r="H242" s="4">
        <f>VLOOKUP(E242,Productos!$A$2:$D$13,4,TRUE)</f>
        <v>3</v>
      </c>
      <c r="I242" s="4" t="s">
        <v>17</v>
      </c>
      <c r="J242" s="4">
        <v>123</v>
      </c>
      <c r="K242" s="7">
        <v>42502</v>
      </c>
    </row>
    <row r="243" spans="1:11" x14ac:dyDescent="0.25">
      <c r="A243" s="4">
        <v>23503</v>
      </c>
      <c r="B243" s="4" t="s">
        <v>387</v>
      </c>
      <c r="C243" s="4" t="s">
        <v>83</v>
      </c>
      <c r="D243" s="4" t="str">
        <f>VLOOKUP(C243,Países!$A$1:$B$186,2,TRUE)</f>
        <v>Sub-Saharan Africa</v>
      </c>
      <c r="E243" s="4" t="s">
        <v>26</v>
      </c>
      <c r="F243" s="4" t="str">
        <f>VLOOKUP(E243,Productos!$A$2:$D$13,2,TRUE)</f>
        <v>botellín 200cc</v>
      </c>
      <c r="G243" s="4">
        <f>VLOOKUP(E243,Productos!$A$2:$D$13,3,TRUE)</f>
        <v>1.5</v>
      </c>
      <c r="H243" s="4">
        <f>VLOOKUP(E243,Productos!$A$2:$D$13,4,TRUE)</f>
        <v>3</v>
      </c>
      <c r="I243" s="4" t="s">
        <v>10</v>
      </c>
      <c r="J243" s="4">
        <v>111</v>
      </c>
      <c r="K243" s="7">
        <v>42470</v>
      </c>
    </row>
    <row r="244" spans="1:11" x14ac:dyDescent="0.25">
      <c r="A244" s="4">
        <v>23504</v>
      </c>
      <c r="B244" s="4" t="s">
        <v>388</v>
      </c>
      <c r="C244" s="4" t="s">
        <v>65</v>
      </c>
      <c r="D244" s="4" t="str">
        <f>VLOOKUP(C244,Países!$A$1:$B$186,2,TRUE)</f>
        <v>Australia and Oceania</v>
      </c>
      <c r="E244" s="4" t="s">
        <v>46</v>
      </c>
      <c r="F244" s="4" t="str">
        <f>VLOOKUP(E244,Productos!$A$2:$D$13,2,TRUE)</f>
        <v>botellín 500cc</v>
      </c>
      <c r="G244" s="4">
        <f>VLOOKUP(E244,Productos!$A$2:$D$13,3,TRUE)</f>
        <v>3.5</v>
      </c>
      <c r="H244" s="4">
        <f>VLOOKUP(E244,Productos!$A$2:$D$13,4,TRUE)</f>
        <v>6.5</v>
      </c>
      <c r="I244" s="4" t="s">
        <v>10</v>
      </c>
      <c r="J244" s="4">
        <v>88</v>
      </c>
      <c r="K244" s="7">
        <v>42507</v>
      </c>
    </row>
    <row r="245" spans="1:11" x14ac:dyDescent="0.25">
      <c r="A245" s="4">
        <v>23505</v>
      </c>
      <c r="B245" s="4" t="s">
        <v>389</v>
      </c>
      <c r="C245" s="4" t="s">
        <v>390</v>
      </c>
      <c r="D245" s="4" t="str">
        <f>VLOOKUP(C245,Países!$A$1:$B$186,2,TRUE)</f>
        <v>Australia and Oceania</v>
      </c>
      <c r="E245" s="4" t="s">
        <v>20</v>
      </c>
      <c r="F245" s="4" t="str">
        <f>VLOOKUP(E245,Productos!$A$2:$D$13,2,TRUE)</f>
        <v>garrafa 4l</v>
      </c>
      <c r="G245" s="4">
        <f>VLOOKUP(E245,Productos!$A$2:$D$13,3,TRUE)</f>
        <v>5</v>
      </c>
      <c r="H245" s="4">
        <f>VLOOKUP(E245,Productos!$A$2:$D$13,4,TRUE)</f>
        <v>9.99</v>
      </c>
      <c r="I245" s="4" t="s">
        <v>10</v>
      </c>
      <c r="J245" s="4">
        <v>189</v>
      </c>
      <c r="K245" s="7">
        <v>42490</v>
      </c>
    </row>
    <row r="246" spans="1:11" x14ac:dyDescent="0.25">
      <c r="A246" s="4">
        <v>23506</v>
      </c>
      <c r="B246" s="4" t="s">
        <v>391</v>
      </c>
      <c r="C246" s="4" t="s">
        <v>212</v>
      </c>
      <c r="D246" s="4" t="str">
        <f>VLOOKUP(C246,Países!$A$1:$B$186,2,TRUE)</f>
        <v>Sub-Saharan Africa</v>
      </c>
      <c r="E246" s="4" t="s">
        <v>58</v>
      </c>
      <c r="F246" s="4" t="str">
        <f>VLOOKUP(E246,Productos!$A$2:$D$13,2,TRUE)</f>
        <v>garrafa 2l</v>
      </c>
      <c r="G246" s="4">
        <f>VLOOKUP(E246,Productos!$A$2:$D$13,3,TRUE)</f>
        <v>2.5</v>
      </c>
      <c r="H246" s="4">
        <f>VLOOKUP(E246,Productos!$A$2:$D$13,4,TRUE)</f>
        <v>4.5</v>
      </c>
      <c r="I246" s="4" t="s">
        <v>10</v>
      </c>
      <c r="J246" s="4">
        <v>83</v>
      </c>
      <c r="K246" s="7">
        <v>42472</v>
      </c>
    </row>
    <row r="247" spans="1:11" x14ac:dyDescent="0.25">
      <c r="A247" s="4">
        <v>23507</v>
      </c>
      <c r="B247" s="4" t="s">
        <v>392</v>
      </c>
      <c r="C247" s="4" t="s">
        <v>323</v>
      </c>
      <c r="D247" s="4" t="str">
        <f>VLOOKUP(C247,Países!$A$1:$B$186,2,TRUE)</f>
        <v>Europe</v>
      </c>
      <c r="E247" s="4" t="s">
        <v>34</v>
      </c>
      <c r="F247" s="4" t="str">
        <f>VLOOKUP(E247,Productos!$A$2:$D$13,2,TRUE)</f>
        <v>garrafa 3l</v>
      </c>
      <c r="G247" s="4">
        <f>VLOOKUP(E247,Productos!$A$2:$D$13,3,TRUE)</f>
        <v>3.5</v>
      </c>
      <c r="H247" s="4">
        <f>VLOOKUP(E247,Productos!$A$2:$D$13,4,TRUE)</f>
        <v>6.99</v>
      </c>
      <c r="I247" s="4" t="s">
        <v>59</v>
      </c>
      <c r="J247" s="4">
        <v>211</v>
      </c>
      <c r="K247" s="7">
        <v>42518</v>
      </c>
    </row>
    <row r="248" spans="1:11" x14ac:dyDescent="0.25">
      <c r="A248" s="4">
        <v>23508</v>
      </c>
      <c r="B248" s="4" t="s">
        <v>393</v>
      </c>
      <c r="C248" s="4" t="s">
        <v>155</v>
      </c>
      <c r="D248" s="4" t="str">
        <f>VLOOKUP(C248,Países!$A$1:$B$186,2,TRUE)</f>
        <v>Middle East and North Africa</v>
      </c>
      <c r="E248" s="4" t="s">
        <v>26</v>
      </c>
      <c r="F248" s="4" t="str">
        <f>VLOOKUP(E248,Productos!$A$2:$D$13,2,TRUE)</f>
        <v>botellín 200cc</v>
      </c>
      <c r="G248" s="4">
        <f>VLOOKUP(E248,Productos!$A$2:$D$13,3,TRUE)</f>
        <v>1.5</v>
      </c>
      <c r="H248" s="4">
        <f>VLOOKUP(E248,Productos!$A$2:$D$13,4,TRUE)</f>
        <v>3</v>
      </c>
      <c r="I248" s="4" t="s">
        <v>10</v>
      </c>
      <c r="J248" s="4">
        <v>34</v>
      </c>
      <c r="K248" s="7">
        <v>42477</v>
      </c>
    </row>
    <row r="249" spans="1:11" x14ac:dyDescent="0.25">
      <c r="A249" s="4">
        <v>23509</v>
      </c>
      <c r="B249" s="4" t="s">
        <v>394</v>
      </c>
      <c r="C249" s="4" t="s">
        <v>45</v>
      </c>
      <c r="D249" s="4" t="str">
        <f>VLOOKUP(C249,Países!$A$1:$B$186,2,TRUE)</f>
        <v>Asia</v>
      </c>
      <c r="E249" s="4" t="s">
        <v>51</v>
      </c>
      <c r="F249" s="4" t="str">
        <f>VLOOKUP(E249,Productos!$A$2:$D$13,2,TRUE)</f>
        <v>garrafa 8l</v>
      </c>
      <c r="G249" s="4">
        <f>VLOOKUP(E249,Productos!$A$2:$D$13,3,TRUE)</f>
        <v>8</v>
      </c>
      <c r="H249" s="4">
        <f>VLOOKUP(E249,Productos!$A$2:$D$13,4,TRUE)</f>
        <v>14.5</v>
      </c>
      <c r="I249" s="4" t="s">
        <v>10</v>
      </c>
      <c r="J249" s="4">
        <v>195</v>
      </c>
      <c r="K249" s="7">
        <v>42477</v>
      </c>
    </row>
    <row r="250" spans="1:11" x14ac:dyDescent="0.25">
      <c r="A250" s="4">
        <v>23510</v>
      </c>
      <c r="B250" s="4" t="s">
        <v>395</v>
      </c>
      <c r="C250" s="4" t="s">
        <v>285</v>
      </c>
      <c r="D250" s="4" t="str">
        <f>VLOOKUP(C250,Países!$A$1:$B$186,2,TRUE)</f>
        <v>Europe</v>
      </c>
      <c r="E250" s="4" t="s">
        <v>16</v>
      </c>
      <c r="F250" s="4" t="str">
        <f>VLOOKUP(E250,Productos!$A$2:$D$13,2,TRUE)</f>
        <v>botella 5l</v>
      </c>
      <c r="G250" s="4">
        <f>VLOOKUP(E250,Productos!$A$2:$D$13,3,TRUE)</f>
        <v>6</v>
      </c>
      <c r="H250" s="4">
        <f>VLOOKUP(E250,Productos!$A$2:$D$13,4,TRUE)</f>
        <v>9</v>
      </c>
      <c r="I250" s="4" t="s">
        <v>10</v>
      </c>
      <c r="J250" s="4">
        <v>127</v>
      </c>
      <c r="K250" s="7">
        <v>42515</v>
      </c>
    </row>
    <row r="251" spans="1:11" x14ac:dyDescent="0.25">
      <c r="A251" s="4">
        <v>23511</v>
      </c>
      <c r="B251" s="4" t="s">
        <v>396</v>
      </c>
      <c r="C251" s="4" t="s">
        <v>397</v>
      </c>
      <c r="D251" s="4" t="str">
        <f>VLOOKUP(C251,Países!$A$1:$B$186,2,TRUE)</f>
        <v>Sub-Saharan Africa</v>
      </c>
      <c r="E251" s="4" t="s">
        <v>29</v>
      </c>
      <c r="F251" s="4" t="str">
        <f>VLOOKUP(E251,Productos!$A$2:$D$13,2,TRUE)</f>
        <v>botella 0.5l</v>
      </c>
      <c r="G251" s="4">
        <f>VLOOKUP(E251,Productos!$A$2:$D$13,3,TRUE)</f>
        <v>3</v>
      </c>
      <c r="H251" s="4">
        <f>VLOOKUP(E251,Productos!$A$2:$D$13,4,TRUE)</f>
        <v>6</v>
      </c>
      <c r="I251" s="4" t="s">
        <v>10</v>
      </c>
      <c r="J251" s="4">
        <v>158</v>
      </c>
      <c r="K251" s="7">
        <v>42499</v>
      </c>
    </row>
    <row r="252" spans="1:11" x14ac:dyDescent="0.25">
      <c r="A252" s="4">
        <v>23512</v>
      </c>
      <c r="B252" s="4" t="s">
        <v>398</v>
      </c>
      <c r="C252" s="4" t="s">
        <v>198</v>
      </c>
      <c r="D252" s="4" t="str">
        <f>VLOOKUP(C252,Países!$A$1:$B$186,2,TRUE)</f>
        <v>Middle East and North Africa</v>
      </c>
      <c r="E252" s="4" t="s">
        <v>26</v>
      </c>
      <c r="F252" s="4" t="str">
        <f>VLOOKUP(E252,Productos!$A$2:$D$13,2,TRUE)</f>
        <v>botellín 200cc</v>
      </c>
      <c r="G252" s="4">
        <f>VLOOKUP(E252,Productos!$A$2:$D$13,3,TRUE)</f>
        <v>1.5</v>
      </c>
      <c r="H252" s="4">
        <f>VLOOKUP(E252,Productos!$A$2:$D$13,4,TRUE)</f>
        <v>3</v>
      </c>
      <c r="I252" s="4" t="s">
        <v>17</v>
      </c>
      <c r="J252" s="4">
        <v>154</v>
      </c>
      <c r="K252" s="7">
        <v>42491</v>
      </c>
    </row>
    <row r="253" spans="1:11" x14ac:dyDescent="0.25">
      <c r="A253" s="4">
        <v>23513</v>
      </c>
      <c r="B253" s="4" t="s">
        <v>399</v>
      </c>
      <c r="C253" s="4" t="s">
        <v>140</v>
      </c>
      <c r="D253" s="4" t="str">
        <f>VLOOKUP(C253,Países!$A$1:$B$186,2,TRUE)</f>
        <v>Sub-Saharan Africa</v>
      </c>
      <c r="E253" s="4" t="s">
        <v>46</v>
      </c>
      <c r="F253" s="4" t="str">
        <f>VLOOKUP(E253,Productos!$A$2:$D$13,2,TRUE)</f>
        <v>botellín 500cc</v>
      </c>
      <c r="G253" s="4">
        <f>VLOOKUP(E253,Productos!$A$2:$D$13,3,TRUE)</f>
        <v>3.5</v>
      </c>
      <c r="H253" s="4">
        <f>VLOOKUP(E253,Productos!$A$2:$D$13,4,TRUE)</f>
        <v>6.5</v>
      </c>
      <c r="I253" s="4" t="s">
        <v>59</v>
      </c>
      <c r="J253" s="4">
        <v>78</v>
      </c>
      <c r="K253" s="7">
        <v>42506</v>
      </c>
    </row>
    <row r="254" spans="1:11" x14ac:dyDescent="0.25">
      <c r="A254" s="4">
        <v>23514</v>
      </c>
      <c r="B254" s="4" t="s">
        <v>400</v>
      </c>
      <c r="C254" s="4" t="s">
        <v>401</v>
      </c>
      <c r="D254" s="4" t="str">
        <f>VLOOKUP(C254,Países!$A$1:$B$186,2,TRUE)</f>
        <v>Sub-Saharan Africa</v>
      </c>
      <c r="E254" s="4" t="s">
        <v>16</v>
      </c>
      <c r="F254" s="4" t="str">
        <f>VLOOKUP(E254,Productos!$A$2:$D$13,2,TRUE)</f>
        <v>botella 5l</v>
      </c>
      <c r="G254" s="4">
        <f>VLOOKUP(E254,Productos!$A$2:$D$13,3,TRUE)</f>
        <v>6</v>
      </c>
      <c r="H254" s="4">
        <f>VLOOKUP(E254,Productos!$A$2:$D$13,4,TRUE)</f>
        <v>9</v>
      </c>
      <c r="I254" s="4" t="s">
        <v>10</v>
      </c>
      <c r="J254" s="4">
        <v>130</v>
      </c>
      <c r="K254" s="7">
        <v>42479</v>
      </c>
    </row>
    <row r="255" spans="1:11" x14ac:dyDescent="0.25">
      <c r="A255" s="4">
        <v>23515</v>
      </c>
      <c r="B255" s="4" t="s">
        <v>402</v>
      </c>
      <c r="C255" s="4" t="s">
        <v>403</v>
      </c>
      <c r="D255" s="4" t="str">
        <f>VLOOKUP(C255,Países!$A$1:$B$186,2,TRUE)</f>
        <v>Central America and the Caribbean</v>
      </c>
      <c r="E255" s="4" t="s">
        <v>58</v>
      </c>
      <c r="F255" s="4" t="str">
        <f>VLOOKUP(E255,Productos!$A$2:$D$13,2,TRUE)</f>
        <v>garrafa 2l</v>
      </c>
      <c r="G255" s="4">
        <f>VLOOKUP(E255,Productos!$A$2:$D$13,3,TRUE)</f>
        <v>2.5</v>
      </c>
      <c r="H255" s="4">
        <f>VLOOKUP(E255,Productos!$A$2:$D$13,4,TRUE)</f>
        <v>4.5</v>
      </c>
      <c r="I255" s="4" t="s">
        <v>17</v>
      </c>
      <c r="J255" s="4">
        <v>191</v>
      </c>
      <c r="K255" s="7">
        <v>42481</v>
      </c>
    </row>
    <row r="256" spans="1:11" x14ac:dyDescent="0.25">
      <c r="A256" s="4">
        <v>23516</v>
      </c>
      <c r="B256" s="4" t="s">
        <v>404</v>
      </c>
      <c r="C256" s="4" t="s">
        <v>198</v>
      </c>
      <c r="D256" s="4" t="str">
        <f>VLOOKUP(C256,Países!$A$1:$B$186,2,TRUE)</f>
        <v>Middle East and North Africa</v>
      </c>
      <c r="E256" s="4" t="s">
        <v>51</v>
      </c>
      <c r="F256" s="4" t="str">
        <f>VLOOKUP(E256,Productos!$A$2:$D$13,2,TRUE)</f>
        <v>garrafa 8l</v>
      </c>
      <c r="G256" s="4">
        <f>VLOOKUP(E256,Productos!$A$2:$D$13,3,TRUE)</f>
        <v>8</v>
      </c>
      <c r="H256" s="4">
        <f>VLOOKUP(E256,Productos!$A$2:$D$13,4,TRUE)</f>
        <v>14.5</v>
      </c>
      <c r="I256" s="4" t="s">
        <v>10</v>
      </c>
      <c r="J256" s="4">
        <v>4</v>
      </c>
      <c r="K256" s="7">
        <v>42519</v>
      </c>
    </row>
    <row r="257" spans="1:11" x14ac:dyDescent="0.25">
      <c r="A257" s="4">
        <v>23517</v>
      </c>
      <c r="B257" s="4" t="s">
        <v>405</v>
      </c>
      <c r="C257" s="4" t="s">
        <v>406</v>
      </c>
      <c r="D257" s="4" t="str">
        <f>VLOOKUP(C257,Países!$A$1:$B$186,2,TRUE)</f>
        <v>Sub-Saharan Africa</v>
      </c>
      <c r="E257" s="4" t="s">
        <v>26</v>
      </c>
      <c r="F257" s="4" t="str">
        <f>VLOOKUP(E257,Productos!$A$2:$D$13,2,TRUE)</f>
        <v>botellín 200cc</v>
      </c>
      <c r="G257" s="4">
        <f>VLOOKUP(E257,Productos!$A$2:$D$13,3,TRUE)</f>
        <v>1.5</v>
      </c>
      <c r="H257" s="4">
        <f>VLOOKUP(E257,Productos!$A$2:$D$13,4,TRUE)</f>
        <v>3</v>
      </c>
      <c r="I257" s="4" t="s">
        <v>17</v>
      </c>
      <c r="J257" s="4">
        <v>144</v>
      </c>
      <c r="K257" s="7">
        <v>42507</v>
      </c>
    </row>
    <row r="258" spans="1:11" x14ac:dyDescent="0.25">
      <c r="A258" s="4">
        <v>23518</v>
      </c>
      <c r="B258" s="4" t="s">
        <v>407</v>
      </c>
      <c r="C258" s="4" t="s">
        <v>408</v>
      </c>
      <c r="D258" s="4" t="str">
        <f>VLOOKUP(C258,Países!$A$1:$B$186,2,TRUE)</f>
        <v>Europe</v>
      </c>
      <c r="E258" s="4" t="s">
        <v>34</v>
      </c>
      <c r="F258" s="4" t="str">
        <f>VLOOKUP(E258,Productos!$A$2:$D$13,2,TRUE)</f>
        <v>garrafa 3l</v>
      </c>
      <c r="G258" s="4">
        <f>VLOOKUP(E258,Productos!$A$2:$D$13,3,TRUE)</f>
        <v>3.5</v>
      </c>
      <c r="H258" s="4">
        <f>VLOOKUP(E258,Productos!$A$2:$D$13,4,TRUE)</f>
        <v>6.99</v>
      </c>
      <c r="I258" s="4" t="s">
        <v>59</v>
      </c>
      <c r="J258" s="4">
        <v>2</v>
      </c>
      <c r="K258" s="7">
        <v>42492</v>
      </c>
    </row>
    <row r="259" spans="1:11" x14ac:dyDescent="0.25">
      <c r="A259" s="4">
        <v>23519</v>
      </c>
      <c r="B259" s="4" t="s">
        <v>409</v>
      </c>
      <c r="C259" s="4" t="s">
        <v>369</v>
      </c>
      <c r="D259" s="4" t="str">
        <f>VLOOKUP(C259,Países!$A$1:$B$186,2,TRUE)</f>
        <v>Middle East and North Africa</v>
      </c>
      <c r="E259" s="4" t="s">
        <v>16</v>
      </c>
      <c r="F259" s="4" t="str">
        <f>VLOOKUP(E259,Productos!$A$2:$D$13,2,TRUE)</f>
        <v>botella 5l</v>
      </c>
      <c r="G259" s="4">
        <f>VLOOKUP(E259,Productos!$A$2:$D$13,3,TRUE)</f>
        <v>6</v>
      </c>
      <c r="H259" s="4">
        <f>VLOOKUP(E259,Productos!$A$2:$D$13,4,TRUE)</f>
        <v>9</v>
      </c>
      <c r="I259" s="4" t="s">
        <v>10</v>
      </c>
      <c r="J259" s="4">
        <v>20</v>
      </c>
      <c r="K259" s="7">
        <v>42469</v>
      </c>
    </row>
    <row r="260" spans="1:11" x14ac:dyDescent="0.25">
      <c r="A260" s="4">
        <v>23520</v>
      </c>
      <c r="B260" s="4" t="s">
        <v>410</v>
      </c>
      <c r="C260" s="4" t="s">
        <v>140</v>
      </c>
      <c r="D260" s="4" t="str">
        <f>VLOOKUP(C260,Países!$A$1:$B$186,2,TRUE)</f>
        <v>Sub-Saharan Africa</v>
      </c>
      <c r="E260" s="4" t="s">
        <v>23</v>
      </c>
      <c r="F260" s="4" t="str">
        <f>VLOOKUP(E260,Productos!$A$2:$D$13,2,TRUE)</f>
        <v>botellín 400cc</v>
      </c>
      <c r="G260" s="4">
        <f>VLOOKUP(E260,Productos!$A$2:$D$13,3,TRUE)</f>
        <v>2.2999999999999998</v>
      </c>
      <c r="H260" s="4">
        <f>VLOOKUP(E260,Productos!$A$2:$D$13,4,TRUE)</f>
        <v>4.5</v>
      </c>
      <c r="I260" s="4" t="s">
        <v>10</v>
      </c>
      <c r="J260" s="4">
        <v>133</v>
      </c>
      <c r="K260" s="7">
        <v>42489</v>
      </c>
    </row>
    <row r="261" spans="1:11" x14ac:dyDescent="0.25">
      <c r="A261" s="4">
        <v>23521</v>
      </c>
      <c r="B261" s="4" t="s">
        <v>411</v>
      </c>
      <c r="C261" s="4" t="s">
        <v>412</v>
      </c>
      <c r="D261" s="4" t="str">
        <f>VLOOKUP(C261,Países!$A$1:$B$186,2,TRUE)</f>
        <v>Central America and the Caribbean</v>
      </c>
      <c r="E261" s="4" t="s">
        <v>29</v>
      </c>
      <c r="F261" s="4" t="str">
        <f>VLOOKUP(E261,Productos!$A$2:$D$13,2,TRUE)</f>
        <v>botella 0.5l</v>
      </c>
      <c r="G261" s="4">
        <f>VLOOKUP(E261,Productos!$A$2:$D$13,3,TRUE)</f>
        <v>3</v>
      </c>
      <c r="H261" s="4">
        <f>VLOOKUP(E261,Productos!$A$2:$D$13,4,TRUE)</f>
        <v>6</v>
      </c>
      <c r="I261" s="4" t="s">
        <v>17</v>
      </c>
      <c r="J261" s="4">
        <v>188</v>
      </c>
      <c r="K261" s="7">
        <v>42478</v>
      </c>
    </row>
    <row r="262" spans="1:11" x14ac:dyDescent="0.25">
      <c r="A262" s="4">
        <v>23522</v>
      </c>
      <c r="B262" s="4" t="s">
        <v>413</v>
      </c>
      <c r="C262" s="4" t="s">
        <v>323</v>
      </c>
      <c r="D262" s="4" t="str">
        <f>VLOOKUP(C262,Países!$A$1:$B$186,2,TRUE)</f>
        <v>Europe</v>
      </c>
      <c r="E262" s="4" t="s">
        <v>58</v>
      </c>
      <c r="F262" s="4" t="str">
        <f>VLOOKUP(E262,Productos!$A$2:$D$13,2,TRUE)</f>
        <v>garrafa 2l</v>
      </c>
      <c r="G262" s="4">
        <f>VLOOKUP(E262,Productos!$A$2:$D$13,3,TRUE)</f>
        <v>2.5</v>
      </c>
      <c r="H262" s="4">
        <f>VLOOKUP(E262,Productos!$A$2:$D$13,4,TRUE)</f>
        <v>4.5</v>
      </c>
      <c r="I262" s="4" t="s">
        <v>17</v>
      </c>
      <c r="J262" s="4">
        <v>105</v>
      </c>
      <c r="K262" s="7">
        <v>42503</v>
      </c>
    </row>
    <row r="263" spans="1:11" x14ac:dyDescent="0.25">
      <c r="A263" s="4">
        <v>23523</v>
      </c>
      <c r="B263" s="4" t="s">
        <v>414</v>
      </c>
      <c r="C263" s="4" t="s">
        <v>401</v>
      </c>
      <c r="D263" s="4" t="str">
        <f>VLOOKUP(C263,Países!$A$1:$B$186,2,TRUE)</f>
        <v>Sub-Saharan Africa</v>
      </c>
      <c r="E263" s="4" t="s">
        <v>13</v>
      </c>
      <c r="F263" s="4" t="str">
        <f>VLOOKUP(E263,Productos!$A$2:$D$13,2,TRUE)</f>
        <v>botella 1l</v>
      </c>
      <c r="G263" s="4">
        <f>VLOOKUP(E263,Productos!$A$2:$D$13,3,TRUE)</f>
        <v>3.5</v>
      </c>
      <c r="H263" s="4">
        <f>VLOOKUP(E263,Productos!$A$2:$D$13,4,TRUE)</f>
        <v>6.5</v>
      </c>
      <c r="I263" s="4" t="s">
        <v>17</v>
      </c>
      <c r="J263" s="4">
        <v>181</v>
      </c>
      <c r="K263" s="7">
        <v>42473</v>
      </c>
    </row>
    <row r="264" spans="1:11" x14ac:dyDescent="0.25">
      <c r="A264" s="4">
        <v>23524</v>
      </c>
      <c r="B264" s="4" t="s">
        <v>415</v>
      </c>
      <c r="C264" s="4" t="s">
        <v>63</v>
      </c>
      <c r="D264" s="4" t="str">
        <f>VLOOKUP(C264,Países!$A$1:$B$186,2,TRUE)</f>
        <v>Australia and Oceania</v>
      </c>
      <c r="E264" s="4" t="s">
        <v>23</v>
      </c>
      <c r="F264" s="4" t="str">
        <f>VLOOKUP(E264,Productos!$A$2:$D$13,2,TRUE)</f>
        <v>botellín 400cc</v>
      </c>
      <c r="G264" s="4">
        <f>VLOOKUP(E264,Productos!$A$2:$D$13,3,TRUE)</f>
        <v>2.2999999999999998</v>
      </c>
      <c r="H264" s="4">
        <f>VLOOKUP(E264,Productos!$A$2:$D$13,4,TRUE)</f>
        <v>4.5</v>
      </c>
      <c r="I264" s="4" t="s">
        <v>10</v>
      </c>
      <c r="J264" s="4">
        <v>115</v>
      </c>
      <c r="K264" s="7">
        <v>42512</v>
      </c>
    </row>
    <row r="265" spans="1:11" x14ac:dyDescent="0.25">
      <c r="A265" s="4">
        <v>23525</v>
      </c>
      <c r="B265" s="4" t="s">
        <v>416</v>
      </c>
      <c r="C265" s="4" t="s">
        <v>114</v>
      </c>
      <c r="D265" s="4" t="str">
        <f>VLOOKUP(C265,Países!$A$1:$B$186,2,TRUE)</f>
        <v>Sub-Saharan Africa</v>
      </c>
      <c r="E265" s="4" t="s">
        <v>46</v>
      </c>
      <c r="F265" s="4" t="str">
        <f>VLOOKUP(E265,Productos!$A$2:$D$13,2,TRUE)</f>
        <v>botellín 500cc</v>
      </c>
      <c r="G265" s="4">
        <f>VLOOKUP(E265,Productos!$A$2:$D$13,3,TRUE)</f>
        <v>3.5</v>
      </c>
      <c r="H265" s="4">
        <f>VLOOKUP(E265,Productos!$A$2:$D$13,4,TRUE)</f>
        <v>6.5</v>
      </c>
      <c r="I265" s="4" t="s">
        <v>10</v>
      </c>
      <c r="J265" s="4">
        <v>167</v>
      </c>
      <c r="K265" s="7">
        <v>42497</v>
      </c>
    </row>
    <row r="266" spans="1:11" x14ac:dyDescent="0.25">
      <c r="A266" s="4">
        <v>23526</v>
      </c>
      <c r="B266" s="4" t="s">
        <v>417</v>
      </c>
      <c r="C266" s="4" t="s">
        <v>390</v>
      </c>
      <c r="D266" s="4" t="str">
        <f>VLOOKUP(C266,Países!$A$1:$B$186,2,TRUE)</f>
        <v>Australia and Oceania</v>
      </c>
      <c r="E266" s="4" t="s">
        <v>34</v>
      </c>
      <c r="F266" s="4" t="str">
        <f>VLOOKUP(E266,Productos!$A$2:$D$13,2,TRUE)</f>
        <v>garrafa 3l</v>
      </c>
      <c r="G266" s="4">
        <f>VLOOKUP(E266,Productos!$A$2:$D$13,3,TRUE)</f>
        <v>3.5</v>
      </c>
      <c r="H266" s="4">
        <f>VLOOKUP(E266,Productos!$A$2:$D$13,4,TRUE)</f>
        <v>6.99</v>
      </c>
      <c r="I266" s="4" t="s">
        <v>10</v>
      </c>
      <c r="J266" s="4">
        <v>44</v>
      </c>
      <c r="K266" s="7">
        <v>42517</v>
      </c>
    </row>
    <row r="267" spans="1:11" x14ac:dyDescent="0.25">
      <c r="A267" s="4">
        <v>23527</v>
      </c>
      <c r="B267" s="4" t="s">
        <v>418</v>
      </c>
      <c r="C267" s="4" t="s">
        <v>161</v>
      </c>
      <c r="D267" s="4" t="str">
        <f>VLOOKUP(C267,Países!$A$1:$B$186,2,TRUE)</f>
        <v>Central America and the Caribbean</v>
      </c>
      <c r="E267" s="4" t="s">
        <v>20</v>
      </c>
      <c r="F267" s="4" t="str">
        <f>VLOOKUP(E267,Productos!$A$2:$D$13,2,TRUE)</f>
        <v>garrafa 4l</v>
      </c>
      <c r="G267" s="4">
        <f>VLOOKUP(E267,Productos!$A$2:$D$13,3,TRUE)</f>
        <v>5</v>
      </c>
      <c r="H267" s="4">
        <f>VLOOKUP(E267,Productos!$A$2:$D$13,4,TRUE)</f>
        <v>9.99</v>
      </c>
      <c r="I267" s="4" t="s">
        <v>10</v>
      </c>
      <c r="J267" s="4">
        <v>124</v>
      </c>
      <c r="K267" s="7">
        <v>42502</v>
      </c>
    </row>
    <row r="268" spans="1:11" x14ac:dyDescent="0.25">
      <c r="A268" s="4">
        <v>23528</v>
      </c>
      <c r="B268" s="4" t="s">
        <v>419</v>
      </c>
      <c r="C268" s="4" t="s">
        <v>148</v>
      </c>
      <c r="D268" s="4" t="str">
        <f>VLOOKUP(C268,Países!$A$1:$B$186,2,TRUE)</f>
        <v>Middle East and North Africa</v>
      </c>
      <c r="E268" s="4" t="s">
        <v>23</v>
      </c>
      <c r="F268" s="4" t="str">
        <f>VLOOKUP(E268,Productos!$A$2:$D$13,2,TRUE)</f>
        <v>botellín 400cc</v>
      </c>
      <c r="G268" s="4">
        <f>VLOOKUP(E268,Productos!$A$2:$D$13,3,TRUE)</f>
        <v>2.2999999999999998</v>
      </c>
      <c r="H268" s="4">
        <f>VLOOKUP(E268,Productos!$A$2:$D$13,4,TRUE)</f>
        <v>4.5</v>
      </c>
      <c r="I268" s="4" t="s">
        <v>10</v>
      </c>
      <c r="J268" s="4">
        <v>41</v>
      </c>
      <c r="K268" s="7">
        <v>42480</v>
      </c>
    </row>
    <row r="269" spans="1:11" x14ac:dyDescent="0.25">
      <c r="A269" s="4">
        <v>23529</v>
      </c>
      <c r="B269" s="4" t="s">
        <v>420</v>
      </c>
      <c r="C269" s="4" t="s">
        <v>121</v>
      </c>
      <c r="D269" s="4" t="str">
        <f>VLOOKUP(C269,Países!$A$1:$B$186,2,TRUE)</f>
        <v>Europe</v>
      </c>
      <c r="E269" s="4" t="s">
        <v>20</v>
      </c>
      <c r="F269" s="4" t="str">
        <f>VLOOKUP(E269,Productos!$A$2:$D$13,2,TRUE)</f>
        <v>garrafa 4l</v>
      </c>
      <c r="G269" s="4">
        <f>VLOOKUP(E269,Productos!$A$2:$D$13,3,TRUE)</f>
        <v>5</v>
      </c>
      <c r="H269" s="4">
        <f>VLOOKUP(E269,Productos!$A$2:$D$13,4,TRUE)</f>
        <v>9.99</v>
      </c>
      <c r="I269" s="4" t="s">
        <v>10</v>
      </c>
      <c r="J269" s="4">
        <v>160</v>
      </c>
      <c r="K269" s="7">
        <v>42514</v>
      </c>
    </row>
    <row r="270" spans="1:11" x14ac:dyDescent="0.25">
      <c r="A270" s="4">
        <v>23530</v>
      </c>
      <c r="B270" s="4" t="s">
        <v>421</v>
      </c>
      <c r="C270" s="4" t="s">
        <v>422</v>
      </c>
      <c r="D270" s="4" t="str">
        <f>VLOOKUP(C270,Países!$A$1:$B$186,2,TRUE)</f>
        <v>Asia</v>
      </c>
      <c r="E270" s="4" t="s">
        <v>46</v>
      </c>
      <c r="F270" s="4" t="str">
        <f>VLOOKUP(E270,Productos!$A$2:$D$13,2,TRUE)</f>
        <v>botellín 500cc</v>
      </c>
      <c r="G270" s="4">
        <f>VLOOKUP(E270,Productos!$A$2:$D$13,3,TRUE)</f>
        <v>3.5</v>
      </c>
      <c r="H270" s="4">
        <f>VLOOKUP(E270,Productos!$A$2:$D$13,4,TRUE)</f>
        <v>6.5</v>
      </c>
      <c r="I270" s="4" t="s">
        <v>17</v>
      </c>
      <c r="J270" s="4">
        <v>160</v>
      </c>
      <c r="K270" s="7">
        <v>42520</v>
      </c>
    </row>
    <row r="271" spans="1:11" x14ac:dyDescent="0.25">
      <c r="A271" s="4">
        <v>23531</v>
      </c>
      <c r="B271" s="4" t="s">
        <v>423</v>
      </c>
      <c r="C271" s="4" t="s">
        <v>140</v>
      </c>
      <c r="D271" s="4" t="str">
        <f>VLOOKUP(C271,Países!$A$1:$B$186,2,TRUE)</f>
        <v>Sub-Saharan Africa</v>
      </c>
      <c r="E271" s="4" t="s">
        <v>26</v>
      </c>
      <c r="F271" s="4" t="str">
        <f>VLOOKUP(E271,Productos!$A$2:$D$13,2,TRUE)</f>
        <v>botellín 200cc</v>
      </c>
      <c r="G271" s="4">
        <f>VLOOKUP(E271,Productos!$A$2:$D$13,3,TRUE)</f>
        <v>1.5</v>
      </c>
      <c r="H271" s="4">
        <f>VLOOKUP(E271,Productos!$A$2:$D$13,4,TRUE)</f>
        <v>3</v>
      </c>
      <c r="I271" s="4" t="s">
        <v>10</v>
      </c>
      <c r="J271" s="4">
        <v>7</v>
      </c>
      <c r="K271" s="7">
        <v>42468</v>
      </c>
    </row>
    <row r="272" spans="1:11" x14ac:dyDescent="0.25">
      <c r="A272" s="4">
        <v>23532</v>
      </c>
      <c r="B272" s="4" t="s">
        <v>424</v>
      </c>
      <c r="C272" s="4" t="s">
        <v>92</v>
      </c>
      <c r="D272" s="4" t="str">
        <f>VLOOKUP(C272,Países!$A$1:$B$186,2,TRUE)</f>
        <v>Asia</v>
      </c>
      <c r="E272" s="4" t="s">
        <v>51</v>
      </c>
      <c r="F272" s="4" t="str">
        <f>VLOOKUP(E272,Productos!$A$2:$D$13,2,TRUE)</f>
        <v>garrafa 8l</v>
      </c>
      <c r="G272" s="4">
        <f>VLOOKUP(E272,Productos!$A$2:$D$13,3,TRUE)</f>
        <v>8</v>
      </c>
      <c r="H272" s="4">
        <f>VLOOKUP(E272,Productos!$A$2:$D$13,4,TRUE)</f>
        <v>14.5</v>
      </c>
      <c r="I272" s="4" t="s">
        <v>59</v>
      </c>
      <c r="J272" s="4">
        <v>151</v>
      </c>
      <c r="K272" s="7">
        <v>42474</v>
      </c>
    </row>
    <row r="273" spans="1:11" x14ac:dyDescent="0.25">
      <c r="A273" s="4">
        <v>23533</v>
      </c>
      <c r="B273" s="4" t="s">
        <v>425</v>
      </c>
      <c r="C273" s="4" t="s">
        <v>341</v>
      </c>
      <c r="D273" s="4" t="str">
        <f>VLOOKUP(C273,Países!$A$1:$B$186,2,TRUE)</f>
        <v>Sub-Saharan Africa</v>
      </c>
      <c r="E273" s="4" t="s">
        <v>34</v>
      </c>
      <c r="F273" s="4" t="str">
        <f>VLOOKUP(E273,Productos!$A$2:$D$13,2,TRUE)</f>
        <v>garrafa 3l</v>
      </c>
      <c r="G273" s="4">
        <f>VLOOKUP(E273,Productos!$A$2:$D$13,3,TRUE)</f>
        <v>3.5</v>
      </c>
      <c r="H273" s="4">
        <f>VLOOKUP(E273,Productos!$A$2:$D$13,4,TRUE)</f>
        <v>6.99</v>
      </c>
      <c r="I273" s="4" t="s">
        <v>10</v>
      </c>
      <c r="J273" s="4">
        <v>155</v>
      </c>
      <c r="K273" s="7">
        <v>42480</v>
      </c>
    </row>
    <row r="274" spans="1:11" x14ac:dyDescent="0.25">
      <c r="A274" s="4">
        <v>23534</v>
      </c>
      <c r="B274" s="4" t="s">
        <v>426</v>
      </c>
      <c r="C274" s="4" t="s">
        <v>100</v>
      </c>
      <c r="D274" s="4" t="str">
        <f>VLOOKUP(C274,Países!$A$1:$B$186,2,TRUE)</f>
        <v>Asia</v>
      </c>
      <c r="E274" s="4" t="s">
        <v>29</v>
      </c>
      <c r="F274" s="4" t="str">
        <f>VLOOKUP(E274,Productos!$A$2:$D$13,2,TRUE)</f>
        <v>botella 0.5l</v>
      </c>
      <c r="G274" s="4">
        <f>VLOOKUP(E274,Productos!$A$2:$D$13,3,TRUE)</f>
        <v>3</v>
      </c>
      <c r="H274" s="4">
        <f>VLOOKUP(E274,Productos!$A$2:$D$13,4,TRUE)</f>
        <v>6</v>
      </c>
      <c r="I274" s="4" t="s">
        <v>10</v>
      </c>
      <c r="J274" s="4">
        <v>4</v>
      </c>
      <c r="K274" s="7">
        <v>42484</v>
      </c>
    </row>
    <row r="275" spans="1:11" x14ac:dyDescent="0.25">
      <c r="A275" s="4">
        <v>23535</v>
      </c>
      <c r="B275" s="4" t="s">
        <v>427</v>
      </c>
      <c r="C275" s="4" t="s">
        <v>152</v>
      </c>
      <c r="D275" s="4" t="str">
        <f>VLOOKUP(C275,Países!$A$1:$B$186,2,TRUE)</f>
        <v>Sub-Saharan Africa</v>
      </c>
      <c r="E275" s="4" t="s">
        <v>20</v>
      </c>
      <c r="F275" s="4" t="str">
        <f>VLOOKUP(E275,Productos!$A$2:$D$13,2,TRUE)</f>
        <v>garrafa 4l</v>
      </c>
      <c r="G275" s="4">
        <f>VLOOKUP(E275,Productos!$A$2:$D$13,3,TRUE)</f>
        <v>5</v>
      </c>
      <c r="H275" s="4">
        <f>VLOOKUP(E275,Productos!$A$2:$D$13,4,TRUE)</f>
        <v>9.99</v>
      </c>
      <c r="I275" s="4" t="s">
        <v>10</v>
      </c>
      <c r="J275" s="4">
        <v>159</v>
      </c>
      <c r="K275" s="7">
        <v>42510</v>
      </c>
    </row>
    <row r="276" spans="1:11" x14ac:dyDescent="0.25">
      <c r="A276" s="4">
        <v>23536</v>
      </c>
      <c r="B276" s="4" t="s">
        <v>428</v>
      </c>
      <c r="C276" s="4" t="s">
        <v>429</v>
      </c>
      <c r="D276" s="4" t="str">
        <f>VLOOKUP(C276,Países!$A$1:$B$186,2,TRUE)</f>
        <v>Europe</v>
      </c>
      <c r="E276" s="4" t="s">
        <v>58</v>
      </c>
      <c r="F276" s="4" t="str">
        <f>VLOOKUP(E276,Productos!$A$2:$D$13,2,TRUE)</f>
        <v>garrafa 2l</v>
      </c>
      <c r="G276" s="4">
        <f>VLOOKUP(E276,Productos!$A$2:$D$13,3,TRUE)</f>
        <v>2.5</v>
      </c>
      <c r="H276" s="4">
        <f>VLOOKUP(E276,Productos!$A$2:$D$13,4,TRUE)</f>
        <v>4.5</v>
      </c>
      <c r="I276" s="4" t="s">
        <v>10</v>
      </c>
      <c r="J276" s="4">
        <v>86</v>
      </c>
      <c r="K276" s="7">
        <v>42481</v>
      </c>
    </row>
    <row r="277" spans="1:11" x14ac:dyDescent="0.25">
      <c r="A277" s="4">
        <v>23537</v>
      </c>
      <c r="B277" s="4" t="s">
        <v>430</v>
      </c>
      <c r="C277" s="4" t="s">
        <v>12</v>
      </c>
      <c r="D277" s="4" t="str">
        <f>VLOOKUP(C277,Países!$A$1:$B$186,2,TRUE)</f>
        <v>Central America and the Caribbean</v>
      </c>
      <c r="E277" s="4" t="s">
        <v>16</v>
      </c>
      <c r="F277" s="4" t="str">
        <f>VLOOKUP(E277,Productos!$A$2:$D$13,2,TRUE)</f>
        <v>botella 5l</v>
      </c>
      <c r="G277" s="4">
        <f>VLOOKUP(E277,Productos!$A$2:$D$13,3,TRUE)</f>
        <v>6</v>
      </c>
      <c r="H277" s="4">
        <f>VLOOKUP(E277,Productos!$A$2:$D$13,4,TRUE)</f>
        <v>9</v>
      </c>
      <c r="I277" s="4" t="s">
        <v>17</v>
      </c>
      <c r="J277" s="4">
        <v>73</v>
      </c>
      <c r="K277" s="7">
        <v>42470</v>
      </c>
    </row>
    <row r="278" spans="1:11" x14ac:dyDescent="0.25">
      <c r="A278" s="4">
        <v>23538</v>
      </c>
      <c r="B278" s="4" t="s">
        <v>431</v>
      </c>
      <c r="C278" s="4" t="s">
        <v>283</v>
      </c>
      <c r="D278" s="4" t="str">
        <f>VLOOKUP(C278,Países!$A$1:$B$186,2,TRUE)</f>
        <v>Middle East and North Africa</v>
      </c>
      <c r="E278" s="4" t="s">
        <v>29</v>
      </c>
      <c r="F278" s="4" t="str">
        <f>VLOOKUP(E278,Productos!$A$2:$D$13,2,TRUE)</f>
        <v>botella 0.5l</v>
      </c>
      <c r="G278" s="4">
        <f>VLOOKUP(E278,Productos!$A$2:$D$13,3,TRUE)</f>
        <v>3</v>
      </c>
      <c r="H278" s="4">
        <f>VLOOKUP(E278,Productos!$A$2:$D$13,4,TRUE)</f>
        <v>6</v>
      </c>
      <c r="I278" s="4" t="s">
        <v>59</v>
      </c>
      <c r="J278" s="4">
        <v>13</v>
      </c>
      <c r="K278" s="7">
        <v>42491</v>
      </c>
    </row>
    <row r="279" spans="1:11" x14ac:dyDescent="0.25">
      <c r="A279" s="4">
        <v>23539</v>
      </c>
      <c r="B279" s="4" t="s">
        <v>432</v>
      </c>
      <c r="C279" s="4" t="s">
        <v>83</v>
      </c>
      <c r="D279" s="4" t="str">
        <f>VLOOKUP(C279,Países!$A$1:$B$186,2,TRUE)</f>
        <v>Sub-Saharan Africa</v>
      </c>
      <c r="E279" s="4" t="s">
        <v>23</v>
      </c>
      <c r="F279" s="4" t="str">
        <f>VLOOKUP(E279,Productos!$A$2:$D$13,2,TRUE)</f>
        <v>botellín 400cc</v>
      </c>
      <c r="G279" s="4">
        <f>VLOOKUP(E279,Productos!$A$2:$D$13,3,TRUE)</f>
        <v>2.2999999999999998</v>
      </c>
      <c r="H279" s="4">
        <f>VLOOKUP(E279,Productos!$A$2:$D$13,4,TRUE)</f>
        <v>4.5</v>
      </c>
      <c r="I279" s="4" t="s">
        <v>10</v>
      </c>
      <c r="J279" s="4">
        <v>172</v>
      </c>
      <c r="K279" s="7">
        <v>42489</v>
      </c>
    </row>
    <row r="280" spans="1:11" x14ac:dyDescent="0.25">
      <c r="A280" s="4">
        <v>23540</v>
      </c>
      <c r="B280" s="4" t="s">
        <v>433</v>
      </c>
      <c r="C280" s="4" t="s">
        <v>434</v>
      </c>
      <c r="D280" s="4" t="str">
        <f>VLOOKUP(C280,Países!$A$1:$B$186,2,TRUE)</f>
        <v>Europe</v>
      </c>
      <c r="E280" s="4" t="s">
        <v>16</v>
      </c>
      <c r="F280" s="4" t="str">
        <f>VLOOKUP(E280,Productos!$A$2:$D$13,2,TRUE)</f>
        <v>botella 5l</v>
      </c>
      <c r="G280" s="4">
        <f>VLOOKUP(E280,Productos!$A$2:$D$13,3,TRUE)</f>
        <v>6</v>
      </c>
      <c r="H280" s="4">
        <f>VLOOKUP(E280,Productos!$A$2:$D$13,4,TRUE)</f>
        <v>9</v>
      </c>
      <c r="I280" s="4" t="s">
        <v>10</v>
      </c>
      <c r="J280" s="4">
        <v>7</v>
      </c>
      <c r="K280" s="7">
        <v>42506</v>
      </c>
    </row>
    <row r="281" spans="1:11" x14ac:dyDescent="0.25">
      <c r="A281" s="4">
        <v>23541</v>
      </c>
      <c r="B281" s="4" t="s">
        <v>435</v>
      </c>
      <c r="C281" s="4" t="s">
        <v>366</v>
      </c>
      <c r="D281" s="4" t="str">
        <f>VLOOKUP(C281,Países!$A$1:$B$186,2,TRUE)</f>
        <v>Middle East and North Africa</v>
      </c>
      <c r="E281" s="4" t="s">
        <v>23</v>
      </c>
      <c r="F281" s="4" t="str">
        <f>VLOOKUP(E281,Productos!$A$2:$D$13,2,TRUE)</f>
        <v>botellín 400cc</v>
      </c>
      <c r="G281" s="4">
        <f>VLOOKUP(E281,Productos!$A$2:$D$13,3,TRUE)</f>
        <v>2.2999999999999998</v>
      </c>
      <c r="H281" s="4">
        <f>VLOOKUP(E281,Productos!$A$2:$D$13,4,TRUE)</f>
        <v>4.5</v>
      </c>
      <c r="I281" s="4" t="s">
        <v>17</v>
      </c>
      <c r="J281" s="4">
        <v>127</v>
      </c>
      <c r="K281" s="7">
        <v>42500</v>
      </c>
    </row>
    <row r="282" spans="1:11" x14ac:dyDescent="0.25">
      <c r="A282" s="4">
        <v>23542</v>
      </c>
      <c r="B282" s="4" t="s">
        <v>436</v>
      </c>
      <c r="C282" s="4" t="s">
        <v>19</v>
      </c>
      <c r="D282" s="4" t="str">
        <f>VLOOKUP(C282,Países!$A$1:$B$186,2,TRUE)</f>
        <v>Sub-Saharan Africa</v>
      </c>
      <c r="E282" s="4" t="s">
        <v>58</v>
      </c>
      <c r="F282" s="4" t="str">
        <f>VLOOKUP(E282,Productos!$A$2:$D$13,2,TRUE)</f>
        <v>garrafa 2l</v>
      </c>
      <c r="G282" s="4">
        <f>VLOOKUP(E282,Productos!$A$2:$D$13,3,TRUE)</f>
        <v>2.5</v>
      </c>
      <c r="H282" s="4">
        <f>VLOOKUP(E282,Productos!$A$2:$D$13,4,TRUE)</f>
        <v>4.5</v>
      </c>
      <c r="I282" s="4" t="s">
        <v>10</v>
      </c>
      <c r="J282" s="4">
        <v>123</v>
      </c>
      <c r="K282" s="7">
        <v>42484</v>
      </c>
    </row>
    <row r="283" spans="1:11" x14ac:dyDescent="0.25">
      <c r="A283" s="4">
        <v>23543</v>
      </c>
      <c r="B283" s="4" t="s">
        <v>437</v>
      </c>
      <c r="C283" s="4" t="s">
        <v>77</v>
      </c>
      <c r="D283" s="4" t="str">
        <f>VLOOKUP(C283,Países!$A$1:$B$186,2,TRUE)</f>
        <v>Middle East and North Africa</v>
      </c>
      <c r="E283" s="4" t="s">
        <v>9</v>
      </c>
      <c r="F283" s="4" t="str">
        <f>VLOOKUP(E283,Productos!$A$2:$D$13,2,TRUE)</f>
        <v>garrafa 1l</v>
      </c>
      <c r="G283" s="4">
        <f>VLOOKUP(E283,Productos!$A$2:$D$13,3,TRUE)</f>
        <v>1</v>
      </c>
      <c r="H283" s="4">
        <f>VLOOKUP(E283,Productos!$A$2:$D$13,4,TRUE)</f>
        <v>2</v>
      </c>
      <c r="I283" s="4" t="s">
        <v>10</v>
      </c>
      <c r="J283" s="4">
        <v>137</v>
      </c>
      <c r="K283" s="7">
        <v>42496</v>
      </c>
    </row>
    <row r="284" spans="1:11" x14ac:dyDescent="0.25">
      <c r="A284" s="4">
        <v>23544</v>
      </c>
      <c r="B284" s="4" t="s">
        <v>438</v>
      </c>
      <c r="C284" s="4" t="s">
        <v>83</v>
      </c>
      <c r="D284" s="4" t="str">
        <f>VLOOKUP(C284,Países!$A$1:$B$186,2,TRUE)</f>
        <v>Sub-Saharan Africa</v>
      </c>
      <c r="E284" s="4" t="s">
        <v>16</v>
      </c>
      <c r="F284" s="4" t="str">
        <f>VLOOKUP(E284,Productos!$A$2:$D$13,2,TRUE)</f>
        <v>botella 5l</v>
      </c>
      <c r="G284" s="4">
        <f>VLOOKUP(E284,Productos!$A$2:$D$13,3,TRUE)</f>
        <v>6</v>
      </c>
      <c r="H284" s="4">
        <f>VLOOKUP(E284,Productos!$A$2:$D$13,4,TRUE)</f>
        <v>9</v>
      </c>
      <c r="I284" s="4" t="s">
        <v>10</v>
      </c>
      <c r="J284" s="4">
        <v>58</v>
      </c>
      <c r="K284" s="7">
        <v>42507</v>
      </c>
    </row>
    <row r="285" spans="1:11" x14ac:dyDescent="0.25">
      <c r="A285" s="4">
        <v>23545</v>
      </c>
      <c r="B285" s="4" t="s">
        <v>439</v>
      </c>
      <c r="C285" s="4" t="s">
        <v>144</v>
      </c>
      <c r="D285" s="4" t="str">
        <f>VLOOKUP(C285,Países!$A$1:$B$186,2,TRUE)</f>
        <v>North America</v>
      </c>
      <c r="E285" s="4" t="s">
        <v>16</v>
      </c>
      <c r="F285" s="4" t="str">
        <f>VLOOKUP(E285,Productos!$A$2:$D$13,2,TRUE)</f>
        <v>botella 5l</v>
      </c>
      <c r="G285" s="4">
        <f>VLOOKUP(E285,Productos!$A$2:$D$13,3,TRUE)</f>
        <v>6</v>
      </c>
      <c r="H285" s="4">
        <f>VLOOKUP(E285,Productos!$A$2:$D$13,4,TRUE)</f>
        <v>9</v>
      </c>
      <c r="I285" s="4" t="s">
        <v>10</v>
      </c>
      <c r="J285" s="4">
        <v>134</v>
      </c>
      <c r="K285" s="7">
        <v>42520</v>
      </c>
    </row>
    <row r="286" spans="1:11" x14ac:dyDescent="0.25">
      <c r="A286" s="4">
        <v>23546</v>
      </c>
      <c r="B286" s="4" t="s">
        <v>440</v>
      </c>
      <c r="C286" s="4" t="s">
        <v>97</v>
      </c>
      <c r="D286" s="4" t="str">
        <f>VLOOKUP(C286,Países!$A$1:$B$186,2,TRUE)</f>
        <v>Sub-Saharan Africa</v>
      </c>
      <c r="E286" s="4" t="s">
        <v>46</v>
      </c>
      <c r="F286" s="4" t="str">
        <f>VLOOKUP(E286,Productos!$A$2:$D$13,2,TRUE)</f>
        <v>botellín 500cc</v>
      </c>
      <c r="G286" s="4">
        <f>VLOOKUP(E286,Productos!$A$2:$D$13,3,TRUE)</f>
        <v>3.5</v>
      </c>
      <c r="H286" s="4">
        <f>VLOOKUP(E286,Productos!$A$2:$D$13,4,TRUE)</f>
        <v>6.5</v>
      </c>
      <c r="I286" s="4" t="s">
        <v>10</v>
      </c>
      <c r="J286" s="4">
        <v>109</v>
      </c>
      <c r="K286" s="7">
        <v>42492</v>
      </c>
    </row>
    <row r="287" spans="1:11" x14ac:dyDescent="0.25">
      <c r="A287" s="4">
        <v>23547</v>
      </c>
      <c r="B287" s="4" t="s">
        <v>441</v>
      </c>
      <c r="C287" s="4" t="s">
        <v>442</v>
      </c>
      <c r="D287" s="4" t="str">
        <f>VLOOKUP(C287,Países!$A$1:$B$186,2,TRUE)</f>
        <v>Asia</v>
      </c>
      <c r="E287" s="4" t="s">
        <v>26</v>
      </c>
      <c r="F287" s="4" t="str">
        <f>VLOOKUP(E287,Productos!$A$2:$D$13,2,TRUE)</f>
        <v>botellín 200cc</v>
      </c>
      <c r="G287" s="4">
        <f>VLOOKUP(E287,Productos!$A$2:$D$13,3,TRUE)</f>
        <v>1.5</v>
      </c>
      <c r="H287" s="4">
        <f>VLOOKUP(E287,Productos!$A$2:$D$13,4,TRUE)</f>
        <v>3</v>
      </c>
      <c r="I287" s="4" t="s">
        <v>10</v>
      </c>
      <c r="J287" s="4">
        <v>28</v>
      </c>
      <c r="K287" s="7">
        <v>42519</v>
      </c>
    </row>
    <row r="288" spans="1:11" x14ac:dyDescent="0.25">
      <c r="A288" s="4">
        <v>23548</v>
      </c>
      <c r="B288" s="4" t="s">
        <v>443</v>
      </c>
      <c r="C288" s="4" t="s">
        <v>444</v>
      </c>
      <c r="D288" s="4" t="str">
        <f>VLOOKUP(C288,Países!$A$1:$B$186,2,TRUE)</f>
        <v>Europe</v>
      </c>
      <c r="E288" s="4" t="s">
        <v>46</v>
      </c>
      <c r="F288" s="4" t="str">
        <f>VLOOKUP(E288,Productos!$A$2:$D$13,2,TRUE)</f>
        <v>botellín 500cc</v>
      </c>
      <c r="G288" s="4">
        <f>VLOOKUP(E288,Productos!$A$2:$D$13,3,TRUE)</f>
        <v>3.5</v>
      </c>
      <c r="H288" s="4">
        <f>VLOOKUP(E288,Productos!$A$2:$D$13,4,TRUE)</f>
        <v>6.5</v>
      </c>
      <c r="I288" s="4" t="s">
        <v>10</v>
      </c>
      <c r="J288" s="4">
        <v>6</v>
      </c>
      <c r="K288" s="7">
        <v>42461</v>
      </c>
    </row>
    <row r="289" spans="1:11" x14ac:dyDescent="0.25">
      <c r="A289" s="4">
        <v>23549</v>
      </c>
      <c r="B289" s="4" t="s">
        <v>445</v>
      </c>
      <c r="C289" s="4" t="s">
        <v>104</v>
      </c>
      <c r="D289" s="4" t="str">
        <f>VLOOKUP(C289,Países!$A$1:$B$186,2,TRUE)</f>
        <v>Asia</v>
      </c>
      <c r="E289" s="4" t="s">
        <v>16</v>
      </c>
      <c r="F289" s="4" t="str">
        <f>VLOOKUP(E289,Productos!$A$2:$D$13,2,TRUE)</f>
        <v>botella 5l</v>
      </c>
      <c r="G289" s="4">
        <f>VLOOKUP(E289,Productos!$A$2:$D$13,3,TRUE)</f>
        <v>6</v>
      </c>
      <c r="H289" s="4">
        <f>VLOOKUP(E289,Productos!$A$2:$D$13,4,TRUE)</f>
        <v>9</v>
      </c>
      <c r="I289" s="4" t="s">
        <v>10</v>
      </c>
      <c r="J289" s="4">
        <v>184</v>
      </c>
      <c r="K289" s="7">
        <v>42516</v>
      </c>
    </row>
    <row r="290" spans="1:11" x14ac:dyDescent="0.25">
      <c r="A290" s="4">
        <v>23550</v>
      </c>
      <c r="B290" s="4" t="s">
        <v>446</v>
      </c>
      <c r="C290" s="4" t="s">
        <v>114</v>
      </c>
      <c r="D290" s="4" t="str">
        <f>VLOOKUP(C290,Países!$A$1:$B$186,2,TRUE)</f>
        <v>Sub-Saharan Africa</v>
      </c>
      <c r="E290" s="4" t="s">
        <v>34</v>
      </c>
      <c r="F290" s="4" t="str">
        <f>VLOOKUP(E290,Productos!$A$2:$D$13,2,TRUE)</f>
        <v>garrafa 3l</v>
      </c>
      <c r="G290" s="4">
        <f>VLOOKUP(E290,Productos!$A$2:$D$13,3,TRUE)</f>
        <v>3.5</v>
      </c>
      <c r="H290" s="4">
        <f>VLOOKUP(E290,Productos!$A$2:$D$13,4,TRUE)</f>
        <v>6.99</v>
      </c>
      <c r="I290" s="4" t="s">
        <v>17</v>
      </c>
      <c r="J290" s="4">
        <v>128</v>
      </c>
      <c r="K290" s="7">
        <v>42480</v>
      </c>
    </row>
    <row r="291" spans="1:11" x14ac:dyDescent="0.25">
      <c r="A291" s="4">
        <v>23551</v>
      </c>
      <c r="B291" s="4" t="s">
        <v>447</v>
      </c>
      <c r="C291" s="4" t="s">
        <v>61</v>
      </c>
      <c r="D291" s="4" t="str">
        <f>VLOOKUP(C291,Países!$A$1:$B$186,2,TRUE)</f>
        <v>Sub-Saharan Africa</v>
      </c>
      <c r="E291" s="4" t="s">
        <v>58</v>
      </c>
      <c r="F291" s="4" t="str">
        <f>VLOOKUP(E291,Productos!$A$2:$D$13,2,TRUE)</f>
        <v>garrafa 2l</v>
      </c>
      <c r="G291" s="4">
        <f>VLOOKUP(E291,Productos!$A$2:$D$13,3,TRUE)</f>
        <v>2.5</v>
      </c>
      <c r="H291" s="4">
        <f>VLOOKUP(E291,Productos!$A$2:$D$13,4,TRUE)</f>
        <v>4.5</v>
      </c>
      <c r="I291" s="4" t="s">
        <v>10</v>
      </c>
      <c r="J291" s="4">
        <v>17</v>
      </c>
      <c r="K291" s="7">
        <v>42472</v>
      </c>
    </row>
    <row r="292" spans="1:11" x14ac:dyDescent="0.25">
      <c r="A292" s="4">
        <v>23552</v>
      </c>
      <c r="B292" s="4" t="s">
        <v>448</v>
      </c>
      <c r="C292" s="4" t="s">
        <v>208</v>
      </c>
      <c r="D292" s="4" t="str">
        <f>VLOOKUP(C292,Países!$A$1:$B$186,2,TRUE)</f>
        <v>Central America and the Caribbean</v>
      </c>
      <c r="E292" s="4" t="s">
        <v>23</v>
      </c>
      <c r="F292" s="4" t="str">
        <f>VLOOKUP(E292,Productos!$A$2:$D$13,2,TRUE)</f>
        <v>botellín 400cc</v>
      </c>
      <c r="G292" s="4">
        <f>VLOOKUP(E292,Productos!$A$2:$D$13,3,TRUE)</f>
        <v>2.2999999999999998</v>
      </c>
      <c r="H292" s="4">
        <f>VLOOKUP(E292,Productos!$A$2:$D$13,4,TRUE)</f>
        <v>4.5</v>
      </c>
      <c r="I292" s="4" t="s">
        <v>10</v>
      </c>
      <c r="J292" s="4">
        <v>162</v>
      </c>
      <c r="K292" s="7">
        <v>42479</v>
      </c>
    </row>
    <row r="293" spans="1:11" x14ac:dyDescent="0.25">
      <c r="A293" s="4">
        <v>23553</v>
      </c>
      <c r="B293" s="4" t="s">
        <v>449</v>
      </c>
      <c r="C293" s="4" t="s">
        <v>434</v>
      </c>
      <c r="D293" s="4" t="str">
        <f>VLOOKUP(C293,Países!$A$1:$B$186,2,TRUE)</f>
        <v>Europe</v>
      </c>
      <c r="E293" s="4" t="s">
        <v>23</v>
      </c>
      <c r="F293" s="4" t="str">
        <f>VLOOKUP(E293,Productos!$A$2:$D$13,2,TRUE)</f>
        <v>botellín 400cc</v>
      </c>
      <c r="G293" s="4">
        <f>VLOOKUP(E293,Productos!$A$2:$D$13,3,TRUE)</f>
        <v>2.2999999999999998</v>
      </c>
      <c r="H293" s="4">
        <f>VLOOKUP(E293,Productos!$A$2:$D$13,4,TRUE)</f>
        <v>4.5</v>
      </c>
      <c r="I293" s="4" t="s">
        <v>17</v>
      </c>
      <c r="J293" s="4">
        <v>90</v>
      </c>
      <c r="K293" s="7">
        <v>42476</v>
      </c>
    </row>
    <row r="294" spans="1:11" x14ac:dyDescent="0.25">
      <c r="A294" s="4">
        <v>23554</v>
      </c>
      <c r="B294" s="4" t="s">
        <v>450</v>
      </c>
      <c r="C294" s="4" t="s">
        <v>252</v>
      </c>
      <c r="D294" s="4" t="str">
        <f>VLOOKUP(C294,Países!$A$1:$B$186,2,TRUE)</f>
        <v>Europe</v>
      </c>
      <c r="E294" s="4" t="s">
        <v>29</v>
      </c>
      <c r="F294" s="4" t="str">
        <f>VLOOKUP(E294,Productos!$A$2:$D$13,2,TRUE)</f>
        <v>botella 0.5l</v>
      </c>
      <c r="G294" s="4">
        <f>VLOOKUP(E294,Productos!$A$2:$D$13,3,TRUE)</f>
        <v>3</v>
      </c>
      <c r="H294" s="4">
        <f>VLOOKUP(E294,Productos!$A$2:$D$13,4,TRUE)</f>
        <v>6</v>
      </c>
      <c r="I294" s="4" t="s">
        <v>10</v>
      </c>
      <c r="J294" s="4">
        <v>204</v>
      </c>
      <c r="K294" s="7">
        <v>42512</v>
      </c>
    </row>
    <row r="295" spans="1:11" x14ac:dyDescent="0.25">
      <c r="A295" s="4">
        <v>23555</v>
      </c>
      <c r="B295" s="4" t="s">
        <v>451</v>
      </c>
      <c r="C295" s="4" t="s">
        <v>157</v>
      </c>
      <c r="D295" s="4" t="str">
        <f>VLOOKUP(C295,Países!$A$1:$B$186,2,TRUE)</f>
        <v>Sub-Saharan Africa</v>
      </c>
      <c r="E295" s="4" t="s">
        <v>13</v>
      </c>
      <c r="F295" s="4" t="str">
        <f>VLOOKUP(E295,Productos!$A$2:$D$13,2,TRUE)</f>
        <v>botella 1l</v>
      </c>
      <c r="G295" s="4">
        <f>VLOOKUP(E295,Productos!$A$2:$D$13,3,TRUE)</f>
        <v>3.5</v>
      </c>
      <c r="H295" s="4">
        <f>VLOOKUP(E295,Productos!$A$2:$D$13,4,TRUE)</f>
        <v>6.5</v>
      </c>
      <c r="I295" s="4" t="s">
        <v>17</v>
      </c>
      <c r="J295" s="4">
        <v>117</v>
      </c>
      <c r="K295" s="7">
        <v>42517</v>
      </c>
    </row>
    <row r="296" spans="1:11" x14ac:dyDescent="0.25">
      <c r="A296" s="4">
        <v>23556</v>
      </c>
      <c r="B296" s="4" t="s">
        <v>452</v>
      </c>
      <c r="C296" s="4" t="s">
        <v>453</v>
      </c>
      <c r="D296" s="4" t="str">
        <f>VLOOKUP(C296,Países!$A$1:$B$186,2,TRUE)</f>
        <v>Europe</v>
      </c>
      <c r="E296" s="4" t="s">
        <v>23</v>
      </c>
      <c r="F296" s="4" t="str">
        <f>VLOOKUP(E296,Productos!$A$2:$D$13,2,TRUE)</f>
        <v>botellín 400cc</v>
      </c>
      <c r="G296" s="4">
        <f>VLOOKUP(E296,Productos!$A$2:$D$13,3,TRUE)</f>
        <v>2.2999999999999998</v>
      </c>
      <c r="H296" s="4">
        <f>VLOOKUP(E296,Productos!$A$2:$D$13,4,TRUE)</f>
        <v>4.5</v>
      </c>
      <c r="I296" s="4" t="s">
        <v>17</v>
      </c>
      <c r="J296" s="4">
        <v>121</v>
      </c>
      <c r="K296" s="7">
        <v>42518</v>
      </c>
    </row>
    <row r="297" spans="1:11" x14ac:dyDescent="0.25">
      <c r="A297" s="4">
        <v>23557</v>
      </c>
      <c r="B297" s="4" t="s">
        <v>454</v>
      </c>
      <c r="C297" s="4" t="s">
        <v>90</v>
      </c>
      <c r="D297" s="4" t="str">
        <f>VLOOKUP(C297,Países!$A$1:$B$186,2,TRUE)</f>
        <v>Europe</v>
      </c>
      <c r="E297" s="4" t="s">
        <v>20</v>
      </c>
      <c r="F297" s="4" t="str">
        <f>VLOOKUP(E297,Productos!$A$2:$D$13,2,TRUE)</f>
        <v>garrafa 4l</v>
      </c>
      <c r="G297" s="4">
        <f>VLOOKUP(E297,Productos!$A$2:$D$13,3,TRUE)</f>
        <v>5</v>
      </c>
      <c r="H297" s="4">
        <f>VLOOKUP(E297,Productos!$A$2:$D$13,4,TRUE)</f>
        <v>9.99</v>
      </c>
      <c r="I297" s="4" t="s">
        <v>17</v>
      </c>
      <c r="J297" s="4">
        <v>45</v>
      </c>
      <c r="K297" s="7">
        <v>42518</v>
      </c>
    </row>
    <row r="298" spans="1:11" x14ac:dyDescent="0.25">
      <c r="A298" s="4">
        <v>23558</v>
      </c>
      <c r="B298" s="4" t="s">
        <v>455</v>
      </c>
      <c r="C298" s="4" t="s">
        <v>456</v>
      </c>
      <c r="D298" s="4" t="str">
        <f>VLOOKUP(C298,Países!$A$1:$B$186,2,TRUE)</f>
        <v>Europe</v>
      </c>
      <c r="E298" s="4" t="s">
        <v>20</v>
      </c>
      <c r="F298" s="4" t="str">
        <f>VLOOKUP(E298,Productos!$A$2:$D$13,2,TRUE)</f>
        <v>garrafa 4l</v>
      </c>
      <c r="G298" s="4">
        <f>VLOOKUP(E298,Productos!$A$2:$D$13,3,TRUE)</f>
        <v>5</v>
      </c>
      <c r="H298" s="4">
        <f>VLOOKUP(E298,Productos!$A$2:$D$13,4,TRUE)</f>
        <v>9.99</v>
      </c>
      <c r="I298" s="4" t="s">
        <v>10</v>
      </c>
      <c r="J298" s="4">
        <v>164</v>
      </c>
      <c r="K298" s="7">
        <v>42505</v>
      </c>
    </row>
    <row r="299" spans="1:11" x14ac:dyDescent="0.25">
      <c r="A299" s="4">
        <v>23559</v>
      </c>
      <c r="B299" s="4" t="s">
        <v>457</v>
      </c>
      <c r="C299" s="4" t="s">
        <v>40</v>
      </c>
      <c r="D299" s="4" t="str">
        <f>VLOOKUP(C299,Países!$A$1:$B$186,2,TRUE)</f>
        <v>Europe</v>
      </c>
      <c r="E299" s="4" t="s">
        <v>34</v>
      </c>
      <c r="F299" s="4" t="str">
        <f>VLOOKUP(E299,Productos!$A$2:$D$13,2,TRUE)</f>
        <v>garrafa 3l</v>
      </c>
      <c r="G299" s="4">
        <f>VLOOKUP(E299,Productos!$A$2:$D$13,3,TRUE)</f>
        <v>3.5</v>
      </c>
      <c r="H299" s="4">
        <f>VLOOKUP(E299,Productos!$A$2:$D$13,4,TRUE)</f>
        <v>6.99</v>
      </c>
      <c r="I299" s="4" t="s">
        <v>10</v>
      </c>
      <c r="J299" s="4">
        <v>76</v>
      </c>
      <c r="K299" s="7">
        <v>42469</v>
      </c>
    </row>
    <row r="300" spans="1:11" x14ac:dyDescent="0.25">
      <c r="A300" s="4">
        <v>23560</v>
      </c>
      <c r="B300" s="4" t="s">
        <v>458</v>
      </c>
      <c r="C300" s="4" t="s">
        <v>12</v>
      </c>
      <c r="D300" s="4" t="str">
        <f>VLOOKUP(C300,Países!$A$1:$B$186,2,TRUE)</f>
        <v>Central America and the Caribbean</v>
      </c>
      <c r="E300" s="4" t="s">
        <v>9</v>
      </c>
      <c r="F300" s="4" t="str">
        <f>VLOOKUP(E300,Productos!$A$2:$D$13,2,TRUE)</f>
        <v>garrafa 1l</v>
      </c>
      <c r="G300" s="4">
        <f>VLOOKUP(E300,Productos!$A$2:$D$13,3,TRUE)</f>
        <v>1</v>
      </c>
      <c r="H300" s="4">
        <f>VLOOKUP(E300,Productos!$A$2:$D$13,4,TRUE)</f>
        <v>2</v>
      </c>
      <c r="I300" s="4" t="s">
        <v>59</v>
      </c>
      <c r="J300" s="4">
        <v>212</v>
      </c>
      <c r="K300" s="7">
        <v>42492</v>
      </c>
    </row>
    <row r="301" spans="1:11" x14ac:dyDescent="0.25">
      <c r="A301" s="4">
        <v>23561</v>
      </c>
      <c r="B301" s="4" t="s">
        <v>459</v>
      </c>
      <c r="C301" s="4" t="s">
        <v>83</v>
      </c>
      <c r="D301" s="4" t="str">
        <f>VLOOKUP(C301,Países!$A$1:$B$186,2,TRUE)</f>
        <v>Sub-Saharan Africa</v>
      </c>
      <c r="E301" s="4" t="s">
        <v>20</v>
      </c>
      <c r="F301" s="4" t="str">
        <f>VLOOKUP(E301,Productos!$A$2:$D$13,2,TRUE)</f>
        <v>garrafa 4l</v>
      </c>
      <c r="G301" s="4">
        <f>VLOOKUP(E301,Productos!$A$2:$D$13,3,TRUE)</f>
        <v>5</v>
      </c>
      <c r="H301" s="4">
        <f>VLOOKUP(E301,Productos!$A$2:$D$13,4,TRUE)</f>
        <v>9.99</v>
      </c>
      <c r="I301" s="4" t="s">
        <v>17</v>
      </c>
      <c r="J301" s="4">
        <v>91</v>
      </c>
      <c r="K301" s="7">
        <v>42492</v>
      </c>
    </row>
    <row r="302" spans="1:11" x14ac:dyDescent="0.25">
      <c r="A302" s="4">
        <v>23562</v>
      </c>
      <c r="B302" s="4" t="s">
        <v>460</v>
      </c>
      <c r="C302" s="4" t="s">
        <v>148</v>
      </c>
      <c r="D302" s="4" t="str">
        <f>VLOOKUP(C302,Países!$A$1:$B$186,2,TRUE)</f>
        <v>Middle East and North Africa</v>
      </c>
      <c r="E302" s="4" t="s">
        <v>26</v>
      </c>
      <c r="F302" s="4" t="str">
        <f>VLOOKUP(E302,Productos!$A$2:$D$13,2,TRUE)</f>
        <v>botellín 200cc</v>
      </c>
      <c r="G302" s="4">
        <f>VLOOKUP(E302,Productos!$A$2:$D$13,3,TRUE)</f>
        <v>1.5</v>
      </c>
      <c r="H302" s="4">
        <f>VLOOKUP(E302,Productos!$A$2:$D$13,4,TRUE)</f>
        <v>3</v>
      </c>
      <c r="I302" s="4" t="s">
        <v>10</v>
      </c>
      <c r="J302" s="4">
        <v>198</v>
      </c>
      <c r="K302" s="7">
        <v>42486</v>
      </c>
    </row>
    <row r="303" spans="1:11" x14ac:dyDescent="0.25">
      <c r="A303" s="4">
        <v>23563</v>
      </c>
      <c r="B303" s="4" t="s">
        <v>461</v>
      </c>
      <c r="C303" s="4" t="s">
        <v>146</v>
      </c>
      <c r="D303" s="4" t="str">
        <f>VLOOKUP(C303,Países!$A$1:$B$186,2,TRUE)</f>
        <v>Europe</v>
      </c>
      <c r="E303" s="4" t="s">
        <v>26</v>
      </c>
      <c r="F303" s="4" t="str">
        <f>VLOOKUP(E303,Productos!$A$2:$D$13,2,TRUE)</f>
        <v>botellín 200cc</v>
      </c>
      <c r="G303" s="4">
        <f>VLOOKUP(E303,Productos!$A$2:$D$13,3,TRUE)</f>
        <v>1.5</v>
      </c>
      <c r="H303" s="4">
        <f>VLOOKUP(E303,Productos!$A$2:$D$13,4,TRUE)</f>
        <v>3</v>
      </c>
      <c r="I303" s="4" t="s">
        <v>10</v>
      </c>
      <c r="J303" s="4">
        <v>202</v>
      </c>
      <c r="K303" s="7">
        <v>42484</v>
      </c>
    </row>
    <row r="304" spans="1:11" x14ac:dyDescent="0.25">
      <c r="A304" s="4">
        <v>23564</v>
      </c>
      <c r="B304" s="4" t="s">
        <v>462</v>
      </c>
      <c r="C304" s="4" t="s">
        <v>61</v>
      </c>
      <c r="D304" s="4" t="str">
        <f>VLOOKUP(C304,Países!$A$1:$B$186,2,TRUE)</f>
        <v>Sub-Saharan Africa</v>
      </c>
      <c r="E304" s="4" t="s">
        <v>26</v>
      </c>
      <c r="F304" s="4" t="str">
        <f>VLOOKUP(E304,Productos!$A$2:$D$13,2,TRUE)</f>
        <v>botellín 200cc</v>
      </c>
      <c r="G304" s="4">
        <f>VLOOKUP(E304,Productos!$A$2:$D$13,3,TRUE)</f>
        <v>1.5</v>
      </c>
      <c r="H304" s="4">
        <f>VLOOKUP(E304,Productos!$A$2:$D$13,4,TRUE)</f>
        <v>3</v>
      </c>
      <c r="I304" s="4" t="s">
        <v>10</v>
      </c>
      <c r="J304" s="4">
        <v>136</v>
      </c>
      <c r="K304" s="7">
        <v>42481</v>
      </c>
    </row>
    <row r="305" spans="1:11" x14ac:dyDescent="0.25">
      <c r="A305" s="4">
        <v>23565</v>
      </c>
      <c r="B305" s="4" t="s">
        <v>463</v>
      </c>
      <c r="C305" s="4" t="s">
        <v>131</v>
      </c>
      <c r="D305" s="4" t="str">
        <f>VLOOKUP(C305,Países!$A$1:$B$186,2,TRUE)</f>
        <v>Asia</v>
      </c>
      <c r="E305" s="4" t="s">
        <v>16</v>
      </c>
      <c r="F305" s="4" t="str">
        <f>VLOOKUP(E305,Productos!$A$2:$D$13,2,TRUE)</f>
        <v>botella 5l</v>
      </c>
      <c r="G305" s="4">
        <f>VLOOKUP(E305,Productos!$A$2:$D$13,3,TRUE)</f>
        <v>6</v>
      </c>
      <c r="H305" s="4">
        <f>VLOOKUP(E305,Productos!$A$2:$D$13,4,TRUE)</f>
        <v>9</v>
      </c>
      <c r="I305" s="4" t="s">
        <v>10</v>
      </c>
      <c r="J305" s="4">
        <v>70</v>
      </c>
      <c r="K305" s="7">
        <v>42498</v>
      </c>
    </row>
    <row r="306" spans="1:11" x14ac:dyDescent="0.25">
      <c r="A306" s="4">
        <v>23566</v>
      </c>
      <c r="B306" s="4" t="s">
        <v>464</v>
      </c>
      <c r="C306" s="4" t="s">
        <v>465</v>
      </c>
      <c r="D306" s="4" t="str">
        <f>VLOOKUP(C306,Países!$A$1:$B$186,2,TRUE)</f>
        <v>Central America and the Caribbean</v>
      </c>
      <c r="E306" s="4" t="s">
        <v>46</v>
      </c>
      <c r="F306" s="4" t="str">
        <f>VLOOKUP(E306,Productos!$A$2:$D$13,2,TRUE)</f>
        <v>botellín 500cc</v>
      </c>
      <c r="G306" s="4">
        <f>VLOOKUP(E306,Productos!$A$2:$D$13,3,TRUE)</f>
        <v>3.5</v>
      </c>
      <c r="H306" s="4">
        <f>VLOOKUP(E306,Productos!$A$2:$D$13,4,TRUE)</f>
        <v>6.5</v>
      </c>
      <c r="I306" s="4" t="s">
        <v>17</v>
      </c>
      <c r="J306" s="4">
        <v>95</v>
      </c>
      <c r="K306" s="7">
        <v>42511</v>
      </c>
    </row>
    <row r="307" spans="1:11" x14ac:dyDescent="0.25">
      <c r="A307" s="4">
        <v>23567</v>
      </c>
      <c r="B307" s="4" t="s">
        <v>466</v>
      </c>
      <c r="C307" s="4" t="s">
        <v>57</v>
      </c>
      <c r="D307" s="4" t="str">
        <f>VLOOKUP(C307,Países!$A$1:$B$186,2,TRUE)</f>
        <v>Sub-Saharan Africa</v>
      </c>
      <c r="E307" s="4" t="s">
        <v>34</v>
      </c>
      <c r="F307" s="4" t="str">
        <f>VLOOKUP(E307,Productos!$A$2:$D$13,2,TRUE)</f>
        <v>garrafa 3l</v>
      </c>
      <c r="G307" s="4">
        <f>VLOOKUP(E307,Productos!$A$2:$D$13,3,TRUE)</f>
        <v>3.5</v>
      </c>
      <c r="H307" s="4">
        <f>VLOOKUP(E307,Productos!$A$2:$D$13,4,TRUE)</f>
        <v>6.99</v>
      </c>
      <c r="I307" s="4" t="s">
        <v>17</v>
      </c>
      <c r="J307" s="4">
        <v>150</v>
      </c>
      <c r="K307" s="7">
        <v>42471</v>
      </c>
    </row>
    <row r="308" spans="1:11" x14ac:dyDescent="0.25">
      <c r="A308" s="4">
        <v>23568</v>
      </c>
      <c r="B308" s="4" t="s">
        <v>467</v>
      </c>
      <c r="C308" s="4" t="s">
        <v>220</v>
      </c>
      <c r="D308" s="4" t="str">
        <f>VLOOKUP(C308,Países!$A$1:$B$186,2,TRUE)</f>
        <v>Australia and Oceania</v>
      </c>
      <c r="E308" s="4" t="s">
        <v>20</v>
      </c>
      <c r="F308" s="4" t="str">
        <f>VLOOKUP(E308,Productos!$A$2:$D$13,2,TRUE)</f>
        <v>garrafa 4l</v>
      </c>
      <c r="G308" s="4">
        <f>VLOOKUP(E308,Productos!$A$2:$D$13,3,TRUE)</f>
        <v>5</v>
      </c>
      <c r="H308" s="4">
        <f>VLOOKUP(E308,Productos!$A$2:$D$13,4,TRUE)</f>
        <v>9.99</v>
      </c>
      <c r="I308" s="4" t="s">
        <v>10</v>
      </c>
      <c r="J308" s="4">
        <v>146</v>
      </c>
      <c r="K308" s="7">
        <v>42481</v>
      </c>
    </row>
    <row r="309" spans="1:11" x14ac:dyDescent="0.25">
      <c r="A309" s="4">
        <v>23569</v>
      </c>
      <c r="B309" s="4" t="s">
        <v>468</v>
      </c>
      <c r="C309" s="4" t="s">
        <v>270</v>
      </c>
      <c r="D309" s="4" t="str">
        <f>VLOOKUP(C309,Países!$A$1:$B$186,2,TRUE)</f>
        <v>Asia</v>
      </c>
      <c r="E309" s="4" t="s">
        <v>23</v>
      </c>
      <c r="F309" s="4" t="str">
        <f>VLOOKUP(E309,Productos!$A$2:$D$13,2,TRUE)</f>
        <v>botellín 400cc</v>
      </c>
      <c r="G309" s="4">
        <f>VLOOKUP(E309,Productos!$A$2:$D$13,3,TRUE)</f>
        <v>2.2999999999999998</v>
      </c>
      <c r="H309" s="4">
        <f>VLOOKUP(E309,Productos!$A$2:$D$13,4,TRUE)</f>
        <v>4.5</v>
      </c>
      <c r="I309" s="4" t="s">
        <v>59</v>
      </c>
      <c r="J309" s="4">
        <v>9</v>
      </c>
      <c r="K309" s="7">
        <v>42474</v>
      </c>
    </row>
    <row r="310" spans="1:11" x14ac:dyDescent="0.25">
      <c r="A310" s="4">
        <v>23570</v>
      </c>
      <c r="B310" s="4" t="s">
        <v>469</v>
      </c>
      <c r="C310" s="4" t="s">
        <v>114</v>
      </c>
      <c r="D310" s="4" t="str">
        <f>VLOOKUP(C310,Países!$A$1:$B$186,2,TRUE)</f>
        <v>Sub-Saharan Africa</v>
      </c>
      <c r="E310" s="4" t="s">
        <v>26</v>
      </c>
      <c r="F310" s="4" t="str">
        <f>VLOOKUP(E310,Productos!$A$2:$D$13,2,TRUE)</f>
        <v>botellín 200cc</v>
      </c>
      <c r="G310" s="4">
        <f>VLOOKUP(E310,Productos!$A$2:$D$13,3,TRUE)</f>
        <v>1.5</v>
      </c>
      <c r="H310" s="4">
        <f>VLOOKUP(E310,Productos!$A$2:$D$13,4,TRUE)</f>
        <v>3</v>
      </c>
      <c r="I310" s="4" t="s">
        <v>10</v>
      </c>
      <c r="J310" s="4">
        <v>68</v>
      </c>
      <c r="K310" s="7">
        <v>42465</v>
      </c>
    </row>
    <row r="311" spans="1:11" x14ac:dyDescent="0.25">
      <c r="A311" s="4">
        <v>23571</v>
      </c>
      <c r="B311" s="4" t="s">
        <v>470</v>
      </c>
      <c r="C311" s="4" t="s">
        <v>434</v>
      </c>
      <c r="D311" s="4" t="str">
        <f>VLOOKUP(C311,Países!$A$1:$B$186,2,TRUE)</f>
        <v>Europe</v>
      </c>
      <c r="E311" s="4" t="s">
        <v>20</v>
      </c>
      <c r="F311" s="4" t="str">
        <f>VLOOKUP(E311,Productos!$A$2:$D$13,2,TRUE)</f>
        <v>garrafa 4l</v>
      </c>
      <c r="G311" s="4">
        <f>VLOOKUP(E311,Productos!$A$2:$D$13,3,TRUE)</f>
        <v>5</v>
      </c>
      <c r="H311" s="4">
        <f>VLOOKUP(E311,Productos!$A$2:$D$13,4,TRUE)</f>
        <v>9.99</v>
      </c>
      <c r="I311" s="4" t="s">
        <v>10</v>
      </c>
      <c r="J311" s="4">
        <v>71</v>
      </c>
      <c r="K311" s="7">
        <v>42504</v>
      </c>
    </row>
    <row r="312" spans="1:11" x14ac:dyDescent="0.25">
      <c r="A312" s="4">
        <v>23572</v>
      </c>
      <c r="B312" s="4" t="s">
        <v>471</v>
      </c>
      <c r="C312" s="4" t="s">
        <v>472</v>
      </c>
      <c r="D312" s="4" t="str">
        <f>VLOOKUP(C312,Países!$A$1:$B$186,2,TRUE)</f>
        <v>Sub-Saharan Africa</v>
      </c>
      <c r="E312" s="4" t="s">
        <v>13</v>
      </c>
      <c r="F312" s="4" t="str">
        <f>VLOOKUP(E312,Productos!$A$2:$D$13,2,TRUE)</f>
        <v>botella 1l</v>
      </c>
      <c r="G312" s="4">
        <f>VLOOKUP(E312,Productos!$A$2:$D$13,3,TRUE)</f>
        <v>3.5</v>
      </c>
      <c r="H312" s="4">
        <f>VLOOKUP(E312,Productos!$A$2:$D$13,4,TRUE)</f>
        <v>6.5</v>
      </c>
      <c r="I312" s="4" t="s">
        <v>17</v>
      </c>
      <c r="J312" s="4">
        <v>72</v>
      </c>
      <c r="K312" s="7">
        <v>42494</v>
      </c>
    </row>
    <row r="313" spans="1:11" x14ac:dyDescent="0.25">
      <c r="A313" s="4">
        <v>23573</v>
      </c>
      <c r="B313" s="4" t="s">
        <v>473</v>
      </c>
      <c r="C313" s="4" t="s">
        <v>125</v>
      </c>
      <c r="D313" s="4" t="str">
        <f>VLOOKUP(C313,Países!$A$1:$B$186,2,TRUE)</f>
        <v>Sub-Saharan Africa</v>
      </c>
      <c r="E313" s="4" t="s">
        <v>58</v>
      </c>
      <c r="F313" s="4" t="str">
        <f>VLOOKUP(E313,Productos!$A$2:$D$13,2,TRUE)</f>
        <v>garrafa 2l</v>
      </c>
      <c r="G313" s="4">
        <f>VLOOKUP(E313,Productos!$A$2:$D$13,3,TRUE)</f>
        <v>2.5</v>
      </c>
      <c r="H313" s="4">
        <f>VLOOKUP(E313,Productos!$A$2:$D$13,4,TRUE)</f>
        <v>4.5</v>
      </c>
      <c r="I313" s="4" t="s">
        <v>10</v>
      </c>
      <c r="J313" s="4">
        <v>67</v>
      </c>
      <c r="K313" s="7">
        <v>42499</v>
      </c>
    </row>
    <row r="314" spans="1:11" x14ac:dyDescent="0.25">
      <c r="A314" s="4">
        <v>23574</v>
      </c>
      <c r="B314" s="4" t="s">
        <v>474</v>
      </c>
      <c r="C314" s="4" t="s">
        <v>307</v>
      </c>
      <c r="D314" s="4" t="str">
        <f>VLOOKUP(C314,Países!$A$1:$B$186,2,TRUE)</f>
        <v>Middle East and North Africa</v>
      </c>
      <c r="E314" s="4" t="s">
        <v>23</v>
      </c>
      <c r="F314" s="4" t="str">
        <f>VLOOKUP(E314,Productos!$A$2:$D$13,2,TRUE)</f>
        <v>botellín 400cc</v>
      </c>
      <c r="G314" s="4">
        <f>VLOOKUP(E314,Productos!$A$2:$D$13,3,TRUE)</f>
        <v>2.2999999999999998</v>
      </c>
      <c r="H314" s="4">
        <f>VLOOKUP(E314,Productos!$A$2:$D$13,4,TRUE)</f>
        <v>4.5</v>
      </c>
      <c r="I314" s="4" t="s">
        <v>17</v>
      </c>
      <c r="J314" s="4">
        <v>33</v>
      </c>
      <c r="K314" s="7">
        <v>42504</v>
      </c>
    </row>
    <row r="315" spans="1:11" x14ac:dyDescent="0.25">
      <c r="A315" s="4">
        <v>23575</v>
      </c>
      <c r="B315" s="4" t="s">
        <v>475</v>
      </c>
      <c r="C315" s="4" t="s">
        <v>142</v>
      </c>
      <c r="D315" s="4" t="str">
        <f>VLOOKUP(C315,Países!$A$1:$B$186,2,TRUE)</f>
        <v>Europe</v>
      </c>
      <c r="E315" s="4" t="s">
        <v>16</v>
      </c>
      <c r="F315" s="4" t="str">
        <f>VLOOKUP(E315,Productos!$A$2:$D$13,2,TRUE)</f>
        <v>botella 5l</v>
      </c>
      <c r="G315" s="4">
        <f>VLOOKUP(E315,Productos!$A$2:$D$13,3,TRUE)</f>
        <v>6</v>
      </c>
      <c r="H315" s="4">
        <f>VLOOKUP(E315,Productos!$A$2:$D$13,4,TRUE)</f>
        <v>9</v>
      </c>
      <c r="I315" s="4" t="s">
        <v>17</v>
      </c>
      <c r="J315" s="4">
        <v>29</v>
      </c>
      <c r="K315" s="7">
        <v>42497</v>
      </c>
    </row>
    <row r="316" spans="1:11" x14ac:dyDescent="0.25">
      <c r="A316" s="4">
        <v>23576</v>
      </c>
      <c r="B316" s="4" t="s">
        <v>476</v>
      </c>
      <c r="C316" s="4" t="s">
        <v>61</v>
      </c>
      <c r="D316" s="4" t="str">
        <f>VLOOKUP(C316,Países!$A$1:$B$186,2,TRUE)</f>
        <v>Sub-Saharan Africa</v>
      </c>
      <c r="E316" s="4" t="s">
        <v>23</v>
      </c>
      <c r="F316" s="4" t="str">
        <f>VLOOKUP(E316,Productos!$A$2:$D$13,2,TRUE)</f>
        <v>botellín 400cc</v>
      </c>
      <c r="G316" s="4">
        <f>VLOOKUP(E316,Productos!$A$2:$D$13,3,TRUE)</f>
        <v>2.2999999999999998</v>
      </c>
      <c r="H316" s="4">
        <f>VLOOKUP(E316,Productos!$A$2:$D$13,4,TRUE)</f>
        <v>4.5</v>
      </c>
      <c r="I316" s="4" t="s">
        <v>17</v>
      </c>
      <c r="J316" s="4">
        <v>199</v>
      </c>
      <c r="K316" s="7">
        <v>42511</v>
      </c>
    </row>
    <row r="317" spans="1:11" x14ac:dyDescent="0.25">
      <c r="A317" s="4">
        <v>23577</v>
      </c>
      <c r="B317" s="4" t="s">
        <v>477</v>
      </c>
      <c r="C317" s="4" t="s">
        <v>276</v>
      </c>
      <c r="D317" s="4" t="str">
        <f>VLOOKUP(C317,Países!$A$1:$B$186,2,TRUE)</f>
        <v>Europe</v>
      </c>
      <c r="E317" s="4" t="s">
        <v>9</v>
      </c>
      <c r="F317" s="4" t="str">
        <f>VLOOKUP(E317,Productos!$A$2:$D$13,2,TRUE)</f>
        <v>garrafa 1l</v>
      </c>
      <c r="G317" s="4">
        <f>VLOOKUP(E317,Productos!$A$2:$D$13,3,TRUE)</f>
        <v>1</v>
      </c>
      <c r="H317" s="4">
        <f>VLOOKUP(E317,Productos!$A$2:$D$13,4,TRUE)</f>
        <v>2</v>
      </c>
      <c r="I317" s="4" t="s">
        <v>10</v>
      </c>
      <c r="J317" s="4">
        <v>62</v>
      </c>
      <c r="K317" s="7">
        <v>42466</v>
      </c>
    </row>
    <row r="318" spans="1:11" x14ac:dyDescent="0.25">
      <c r="A318" s="4">
        <v>23578</v>
      </c>
      <c r="B318" s="4" t="s">
        <v>478</v>
      </c>
      <c r="C318" s="4" t="s">
        <v>390</v>
      </c>
      <c r="D318" s="4" t="str">
        <f>VLOOKUP(C318,Países!$A$1:$B$186,2,TRUE)</f>
        <v>Australia and Oceania</v>
      </c>
      <c r="E318" s="4" t="s">
        <v>9</v>
      </c>
      <c r="F318" s="4" t="str">
        <f>VLOOKUP(E318,Productos!$A$2:$D$13,2,TRUE)</f>
        <v>garrafa 1l</v>
      </c>
      <c r="G318" s="4">
        <f>VLOOKUP(E318,Productos!$A$2:$D$13,3,TRUE)</f>
        <v>1</v>
      </c>
      <c r="H318" s="4">
        <f>VLOOKUP(E318,Productos!$A$2:$D$13,4,TRUE)</f>
        <v>2</v>
      </c>
      <c r="I318" s="4" t="s">
        <v>10</v>
      </c>
      <c r="J318" s="4">
        <v>119</v>
      </c>
      <c r="K318" s="7">
        <v>42500</v>
      </c>
    </row>
    <row r="319" spans="1:11" x14ac:dyDescent="0.25">
      <c r="A319" s="4">
        <v>23579</v>
      </c>
      <c r="B319" s="4" t="s">
        <v>479</v>
      </c>
      <c r="C319" s="4" t="s">
        <v>193</v>
      </c>
      <c r="D319" s="4" t="str">
        <f>VLOOKUP(C319,Países!$A$1:$B$186,2,TRUE)</f>
        <v>Sub-Saharan Africa</v>
      </c>
      <c r="E319" s="4" t="s">
        <v>23</v>
      </c>
      <c r="F319" s="4" t="str">
        <f>VLOOKUP(E319,Productos!$A$2:$D$13,2,TRUE)</f>
        <v>botellín 400cc</v>
      </c>
      <c r="G319" s="4">
        <f>VLOOKUP(E319,Productos!$A$2:$D$13,3,TRUE)</f>
        <v>2.2999999999999998</v>
      </c>
      <c r="H319" s="4">
        <f>VLOOKUP(E319,Productos!$A$2:$D$13,4,TRUE)</f>
        <v>4.5</v>
      </c>
      <c r="I319" s="4" t="s">
        <v>10</v>
      </c>
      <c r="J319" s="4">
        <v>50</v>
      </c>
      <c r="K319" s="7">
        <v>42464</v>
      </c>
    </row>
    <row r="320" spans="1:11" x14ac:dyDescent="0.25">
      <c r="A320" s="4">
        <v>23580</v>
      </c>
      <c r="B320" s="4" t="s">
        <v>480</v>
      </c>
      <c r="C320" s="4" t="s">
        <v>481</v>
      </c>
      <c r="D320" s="4" t="str">
        <f>VLOOKUP(C320,Países!$A$1:$B$186,2,TRUE)</f>
        <v>Middle East and North Africa</v>
      </c>
      <c r="E320" s="4" t="s">
        <v>16</v>
      </c>
      <c r="F320" s="4" t="str">
        <f>VLOOKUP(E320,Productos!$A$2:$D$13,2,TRUE)</f>
        <v>botella 5l</v>
      </c>
      <c r="G320" s="4">
        <f>VLOOKUP(E320,Productos!$A$2:$D$13,3,TRUE)</f>
        <v>6</v>
      </c>
      <c r="H320" s="4">
        <f>VLOOKUP(E320,Productos!$A$2:$D$13,4,TRUE)</f>
        <v>9</v>
      </c>
      <c r="I320" s="4" t="s">
        <v>10</v>
      </c>
      <c r="J320" s="4">
        <v>1</v>
      </c>
      <c r="K320" s="7">
        <v>42506</v>
      </c>
    </row>
    <row r="321" spans="1:11" x14ac:dyDescent="0.25">
      <c r="A321" s="4">
        <v>23581</v>
      </c>
      <c r="B321" s="4" t="s">
        <v>482</v>
      </c>
      <c r="C321" s="4" t="s">
        <v>97</v>
      </c>
      <c r="D321" s="4" t="str">
        <f>VLOOKUP(C321,Países!$A$1:$B$186,2,TRUE)</f>
        <v>Sub-Saharan Africa</v>
      </c>
      <c r="E321" s="4" t="s">
        <v>23</v>
      </c>
      <c r="F321" s="4" t="str">
        <f>VLOOKUP(E321,Productos!$A$2:$D$13,2,TRUE)</f>
        <v>botellín 400cc</v>
      </c>
      <c r="G321" s="4">
        <f>VLOOKUP(E321,Productos!$A$2:$D$13,3,TRUE)</f>
        <v>2.2999999999999998</v>
      </c>
      <c r="H321" s="4">
        <f>VLOOKUP(E321,Productos!$A$2:$D$13,4,TRUE)</f>
        <v>4.5</v>
      </c>
      <c r="I321" s="4" t="s">
        <v>10</v>
      </c>
      <c r="J321" s="4">
        <v>75</v>
      </c>
      <c r="K321" s="7">
        <v>42502</v>
      </c>
    </row>
    <row r="322" spans="1:11" x14ac:dyDescent="0.25">
      <c r="A322" s="4">
        <v>23582</v>
      </c>
      <c r="B322" s="4" t="s">
        <v>483</v>
      </c>
      <c r="C322" s="4" t="s">
        <v>406</v>
      </c>
      <c r="D322" s="4" t="str">
        <f>VLOOKUP(C322,Países!$A$1:$B$186,2,TRUE)</f>
        <v>Sub-Saharan Africa</v>
      </c>
      <c r="E322" s="4" t="s">
        <v>26</v>
      </c>
      <c r="F322" s="4" t="str">
        <f>VLOOKUP(E322,Productos!$A$2:$D$13,2,TRUE)</f>
        <v>botellín 200cc</v>
      </c>
      <c r="G322" s="4">
        <f>VLOOKUP(E322,Productos!$A$2:$D$13,3,TRUE)</f>
        <v>1.5</v>
      </c>
      <c r="H322" s="4">
        <f>VLOOKUP(E322,Productos!$A$2:$D$13,4,TRUE)</f>
        <v>3</v>
      </c>
      <c r="I322" s="4" t="s">
        <v>59</v>
      </c>
      <c r="J322" s="4">
        <v>146</v>
      </c>
      <c r="K322" s="7">
        <v>42502</v>
      </c>
    </row>
    <row r="323" spans="1:11" x14ac:dyDescent="0.25">
      <c r="A323" s="4">
        <v>23583</v>
      </c>
      <c r="B323" s="4" t="s">
        <v>484</v>
      </c>
      <c r="C323" s="4" t="s">
        <v>172</v>
      </c>
      <c r="D323" s="4" t="str">
        <f>VLOOKUP(C323,Países!$A$1:$B$186,2,TRUE)</f>
        <v>Middle East and North Africa</v>
      </c>
      <c r="E323" s="4" t="s">
        <v>29</v>
      </c>
      <c r="F323" s="4" t="str">
        <f>VLOOKUP(E323,Productos!$A$2:$D$13,2,TRUE)</f>
        <v>botella 0.5l</v>
      </c>
      <c r="G323" s="4">
        <f>VLOOKUP(E323,Productos!$A$2:$D$13,3,TRUE)</f>
        <v>3</v>
      </c>
      <c r="H323" s="4">
        <f>VLOOKUP(E323,Productos!$A$2:$D$13,4,TRUE)</f>
        <v>6</v>
      </c>
      <c r="I323" s="4" t="s">
        <v>17</v>
      </c>
      <c r="J323" s="4">
        <v>55</v>
      </c>
      <c r="K323" s="7">
        <v>42495</v>
      </c>
    </row>
    <row r="324" spans="1:11" x14ac:dyDescent="0.25">
      <c r="A324" s="4">
        <v>23584</v>
      </c>
      <c r="B324" s="4" t="s">
        <v>485</v>
      </c>
      <c r="C324" s="4" t="s">
        <v>40</v>
      </c>
      <c r="D324" s="4" t="str">
        <f>VLOOKUP(C324,Países!$A$1:$B$186,2,TRUE)</f>
        <v>Europe</v>
      </c>
      <c r="E324" s="4" t="s">
        <v>58</v>
      </c>
      <c r="F324" s="4" t="str">
        <f>VLOOKUP(E324,Productos!$A$2:$D$13,2,TRUE)</f>
        <v>garrafa 2l</v>
      </c>
      <c r="G324" s="4">
        <f>VLOOKUP(E324,Productos!$A$2:$D$13,3,TRUE)</f>
        <v>2.5</v>
      </c>
      <c r="H324" s="4">
        <f>VLOOKUP(E324,Productos!$A$2:$D$13,4,TRUE)</f>
        <v>4.5</v>
      </c>
      <c r="I324" s="4" t="s">
        <v>17</v>
      </c>
      <c r="J324" s="4">
        <v>11</v>
      </c>
      <c r="K324" s="7">
        <v>42484</v>
      </c>
    </row>
    <row r="325" spans="1:11" x14ac:dyDescent="0.25">
      <c r="A325" s="4">
        <v>23585</v>
      </c>
      <c r="B325" s="4" t="s">
        <v>486</v>
      </c>
      <c r="C325" s="4" t="s">
        <v>472</v>
      </c>
      <c r="D325" s="4" t="str">
        <f>VLOOKUP(C325,Países!$A$1:$B$186,2,TRUE)</f>
        <v>Sub-Saharan Africa</v>
      </c>
      <c r="E325" s="4" t="s">
        <v>29</v>
      </c>
      <c r="F325" s="4" t="str">
        <f>VLOOKUP(E325,Productos!$A$2:$D$13,2,TRUE)</f>
        <v>botella 0.5l</v>
      </c>
      <c r="G325" s="4">
        <f>VLOOKUP(E325,Productos!$A$2:$D$13,3,TRUE)</f>
        <v>3</v>
      </c>
      <c r="H325" s="4">
        <f>VLOOKUP(E325,Productos!$A$2:$D$13,4,TRUE)</f>
        <v>6</v>
      </c>
      <c r="I325" s="4" t="s">
        <v>10</v>
      </c>
      <c r="J325" s="4">
        <v>164</v>
      </c>
      <c r="K325" s="7">
        <v>42505</v>
      </c>
    </row>
    <row r="326" spans="1:11" x14ac:dyDescent="0.25">
      <c r="A326" s="4">
        <v>23586</v>
      </c>
      <c r="B326" s="4" t="s">
        <v>487</v>
      </c>
      <c r="C326" s="4" t="s">
        <v>172</v>
      </c>
      <c r="D326" s="4" t="str">
        <f>VLOOKUP(C326,Países!$A$1:$B$186,2,TRUE)</f>
        <v>Middle East and North Africa</v>
      </c>
      <c r="E326" s="4" t="s">
        <v>29</v>
      </c>
      <c r="F326" s="4" t="str">
        <f>VLOOKUP(E326,Productos!$A$2:$D$13,2,TRUE)</f>
        <v>botella 0.5l</v>
      </c>
      <c r="G326" s="4">
        <f>VLOOKUP(E326,Productos!$A$2:$D$13,3,TRUE)</f>
        <v>3</v>
      </c>
      <c r="H326" s="4">
        <f>VLOOKUP(E326,Productos!$A$2:$D$13,4,TRUE)</f>
        <v>6</v>
      </c>
      <c r="I326" s="4" t="s">
        <v>10</v>
      </c>
      <c r="J326" s="4">
        <v>175</v>
      </c>
      <c r="K326" s="7">
        <v>42498</v>
      </c>
    </row>
    <row r="327" spans="1:11" x14ac:dyDescent="0.25">
      <c r="A327" s="4">
        <v>23587</v>
      </c>
      <c r="B327" s="4" t="s">
        <v>488</v>
      </c>
      <c r="C327" s="4" t="s">
        <v>212</v>
      </c>
      <c r="D327" s="4" t="str">
        <f>VLOOKUP(C327,Países!$A$1:$B$186,2,TRUE)</f>
        <v>Sub-Saharan Africa</v>
      </c>
      <c r="E327" s="4" t="s">
        <v>20</v>
      </c>
      <c r="F327" s="4" t="str">
        <f>VLOOKUP(E327,Productos!$A$2:$D$13,2,TRUE)</f>
        <v>garrafa 4l</v>
      </c>
      <c r="G327" s="4">
        <f>VLOOKUP(E327,Productos!$A$2:$D$13,3,TRUE)</f>
        <v>5</v>
      </c>
      <c r="H327" s="4">
        <f>VLOOKUP(E327,Productos!$A$2:$D$13,4,TRUE)</f>
        <v>9.99</v>
      </c>
      <c r="I327" s="4" t="s">
        <v>17</v>
      </c>
      <c r="J327" s="4">
        <v>102</v>
      </c>
      <c r="K327" s="7">
        <v>42466</v>
      </c>
    </row>
    <row r="328" spans="1:11" x14ac:dyDescent="0.25">
      <c r="A328" s="4">
        <v>23588</v>
      </c>
      <c r="B328" s="4" t="s">
        <v>489</v>
      </c>
      <c r="C328" s="4" t="s">
        <v>490</v>
      </c>
      <c r="D328" s="4" t="str">
        <f>VLOOKUP(C328,Países!$A$1:$B$186,2,TRUE)</f>
        <v>Sub-Saharan Africa</v>
      </c>
      <c r="E328" s="4" t="s">
        <v>23</v>
      </c>
      <c r="F328" s="4" t="str">
        <f>VLOOKUP(E328,Productos!$A$2:$D$13,2,TRUE)</f>
        <v>botellín 400cc</v>
      </c>
      <c r="G328" s="4">
        <f>VLOOKUP(E328,Productos!$A$2:$D$13,3,TRUE)</f>
        <v>2.2999999999999998</v>
      </c>
      <c r="H328" s="4">
        <f>VLOOKUP(E328,Productos!$A$2:$D$13,4,TRUE)</f>
        <v>4.5</v>
      </c>
      <c r="I328" s="4" t="s">
        <v>17</v>
      </c>
      <c r="J328" s="4">
        <v>59</v>
      </c>
      <c r="K328" s="7">
        <v>42505</v>
      </c>
    </row>
    <row r="329" spans="1:11" x14ac:dyDescent="0.25">
      <c r="A329" s="4">
        <v>23589</v>
      </c>
      <c r="B329" s="4" t="s">
        <v>491</v>
      </c>
      <c r="C329" s="4" t="s">
        <v>168</v>
      </c>
      <c r="D329" s="4" t="str">
        <f>VLOOKUP(C329,Países!$A$1:$B$186,2,TRUE)</f>
        <v>Asia</v>
      </c>
      <c r="E329" s="4" t="s">
        <v>16</v>
      </c>
      <c r="F329" s="4" t="str">
        <f>VLOOKUP(E329,Productos!$A$2:$D$13,2,TRUE)</f>
        <v>botella 5l</v>
      </c>
      <c r="G329" s="4">
        <f>VLOOKUP(E329,Productos!$A$2:$D$13,3,TRUE)</f>
        <v>6</v>
      </c>
      <c r="H329" s="4">
        <f>VLOOKUP(E329,Productos!$A$2:$D$13,4,TRUE)</f>
        <v>9</v>
      </c>
      <c r="I329" s="4" t="s">
        <v>17</v>
      </c>
      <c r="J329" s="4">
        <v>111</v>
      </c>
      <c r="K329" s="7">
        <v>42477</v>
      </c>
    </row>
    <row r="330" spans="1:11" x14ac:dyDescent="0.25">
      <c r="A330" s="4">
        <v>23590</v>
      </c>
      <c r="B330" s="4" t="s">
        <v>492</v>
      </c>
      <c r="C330" s="4" t="s">
        <v>369</v>
      </c>
      <c r="D330" s="4" t="str">
        <f>VLOOKUP(C330,Países!$A$1:$B$186,2,TRUE)</f>
        <v>Middle East and North Africa</v>
      </c>
      <c r="E330" s="4" t="s">
        <v>20</v>
      </c>
      <c r="F330" s="4" t="str">
        <f>VLOOKUP(E330,Productos!$A$2:$D$13,2,TRUE)</f>
        <v>garrafa 4l</v>
      </c>
      <c r="G330" s="4">
        <f>VLOOKUP(E330,Productos!$A$2:$D$13,3,TRUE)</f>
        <v>5</v>
      </c>
      <c r="H330" s="4">
        <f>VLOOKUP(E330,Productos!$A$2:$D$13,4,TRUE)</f>
        <v>9.99</v>
      </c>
      <c r="I330" s="4" t="s">
        <v>17</v>
      </c>
      <c r="J330" s="4">
        <v>148</v>
      </c>
      <c r="K330" s="7">
        <v>42502</v>
      </c>
    </row>
    <row r="331" spans="1:11" x14ac:dyDescent="0.25">
      <c r="A331" s="4">
        <v>23591</v>
      </c>
      <c r="B331" s="4" t="s">
        <v>493</v>
      </c>
      <c r="C331" s="4" t="s">
        <v>104</v>
      </c>
      <c r="D331" s="4" t="str">
        <f>VLOOKUP(C331,Países!$A$1:$B$186,2,TRUE)</f>
        <v>Asia</v>
      </c>
      <c r="E331" s="4" t="s">
        <v>13</v>
      </c>
      <c r="F331" s="4" t="str">
        <f>VLOOKUP(E331,Productos!$A$2:$D$13,2,TRUE)</f>
        <v>botella 1l</v>
      </c>
      <c r="G331" s="4">
        <f>VLOOKUP(E331,Productos!$A$2:$D$13,3,TRUE)</f>
        <v>3.5</v>
      </c>
      <c r="H331" s="4">
        <f>VLOOKUP(E331,Productos!$A$2:$D$13,4,TRUE)</f>
        <v>6.5</v>
      </c>
      <c r="I331" s="4" t="s">
        <v>17</v>
      </c>
      <c r="J331" s="4">
        <v>44</v>
      </c>
      <c r="K331" s="7">
        <v>42477</v>
      </c>
    </row>
    <row r="332" spans="1:11" x14ac:dyDescent="0.25">
      <c r="A332" s="4">
        <v>23592</v>
      </c>
      <c r="B332" s="4" t="s">
        <v>494</v>
      </c>
      <c r="C332" s="4" t="s">
        <v>217</v>
      </c>
      <c r="D332" s="4" t="str">
        <f>VLOOKUP(C332,Países!$A$1:$B$186,2,TRUE)</f>
        <v>Europe</v>
      </c>
      <c r="E332" s="4" t="s">
        <v>23</v>
      </c>
      <c r="F332" s="4" t="str">
        <f>VLOOKUP(E332,Productos!$A$2:$D$13,2,TRUE)</f>
        <v>botellín 400cc</v>
      </c>
      <c r="G332" s="4">
        <f>VLOOKUP(E332,Productos!$A$2:$D$13,3,TRUE)</f>
        <v>2.2999999999999998</v>
      </c>
      <c r="H332" s="4">
        <f>VLOOKUP(E332,Productos!$A$2:$D$13,4,TRUE)</f>
        <v>4.5</v>
      </c>
      <c r="I332" s="4" t="s">
        <v>17</v>
      </c>
      <c r="J332" s="4">
        <v>4</v>
      </c>
      <c r="K332" s="7">
        <v>42471</v>
      </c>
    </row>
    <row r="333" spans="1:11" x14ac:dyDescent="0.25">
      <c r="A333" s="4">
        <v>23593</v>
      </c>
      <c r="B333" s="4" t="s">
        <v>495</v>
      </c>
      <c r="C333" s="4" t="s">
        <v>22</v>
      </c>
      <c r="D333" s="4" t="str">
        <f>VLOOKUP(C333,Países!$A$1:$B$186,2,TRUE)</f>
        <v>Sub-Saharan Africa</v>
      </c>
      <c r="E333" s="4" t="s">
        <v>46</v>
      </c>
      <c r="F333" s="4" t="str">
        <f>VLOOKUP(E333,Productos!$A$2:$D$13,2,TRUE)</f>
        <v>botellín 500cc</v>
      </c>
      <c r="G333" s="4">
        <f>VLOOKUP(E333,Productos!$A$2:$D$13,3,TRUE)</f>
        <v>3.5</v>
      </c>
      <c r="H333" s="4">
        <f>VLOOKUP(E333,Productos!$A$2:$D$13,4,TRUE)</f>
        <v>6.5</v>
      </c>
      <c r="I333" s="4" t="s">
        <v>10</v>
      </c>
      <c r="J333" s="4">
        <v>202</v>
      </c>
      <c r="K333" s="7">
        <v>42463</v>
      </c>
    </row>
    <row r="334" spans="1:11" x14ac:dyDescent="0.25">
      <c r="A334" s="4">
        <v>23594</v>
      </c>
      <c r="B334" s="4" t="s">
        <v>496</v>
      </c>
      <c r="C334" s="4" t="s">
        <v>263</v>
      </c>
      <c r="D334" s="4" t="str">
        <f>VLOOKUP(C334,Países!$A$1:$B$186,2,TRUE)</f>
        <v>Central America and the Caribbean</v>
      </c>
      <c r="E334" s="4" t="s">
        <v>20</v>
      </c>
      <c r="F334" s="4" t="str">
        <f>VLOOKUP(E334,Productos!$A$2:$D$13,2,TRUE)</f>
        <v>garrafa 4l</v>
      </c>
      <c r="G334" s="4">
        <f>VLOOKUP(E334,Productos!$A$2:$D$13,3,TRUE)</f>
        <v>5</v>
      </c>
      <c r="H334" s="4">
        <f>VLOOKUP(E334,Productos!$A$2:$D$13,4,TRUE)</f>
        <v>9.99</v>
      </c>
      <c r="I334" s="4" t="s">
        <v>17</v>
      </c>
      <c r="J334" s="4">
        <v>60</v>
      </c>
      <c r="K334" s="7">
        <v>42470</v>
      </c>
    </row>
    <row r="335" spans="1:11" x14ac:dyDescent="0.25">
      <c r="A335" s="4">
        <v>23595</v>
      </c>
      <c r="B335" s="4" t="s">
        <v>497</v>
      </c>
      <c r="C335" s="4" t="s">
        <v>274</v>
      </c>
      <c r="D335" s="4" t="str">
        <f>VLOOKUP(C335,Países!$A$1:$B$186,2,TRUE)</f>
        <v>Sub-Saharan Africa</v>
      </c>
      <c r="E335" s="4" t="s">
        <v>29</v>
      </c>
      <c r="F335" s="4" t="str">
        <f>VLOOKUP(E335,Productos!$A$2:$D$13,2,TRUE)</f>
        <v>botella 0.5l</v>
      </c>
      <c r="G335" s="4">
        <f>VLOOKUP(E335,Productos!$A$2:$D$13,3,TRUE)</f>
        <v>3</v>
      </c>
      <c r="H335" s="4">
        <f>VLOOKUP(E335,Productos!$A$2:$D$13,4,TRUE)</f>
        <v>6</v>
      </c>
      <c r="I335" s="4" t="s">
        <v>10</v>
      </c>
      <c r="J335" s="4">
        <v>211</v>
      </c>
      <c r="K335" s="7">
        <v>42473</v>
      </c>
    </row>
    <row r="336" spans="1:11" x14ac:dyDescent="0.25">
      <c r="A336" s="4">
        <v>23596</v>
      </c>
      <c r="B336" s="4" t="s">
        <v>498</v>
      </c>
      <c r="C336" s="4" t="s">
        <v>196</v>
      </c>
      <c r="D336" s="4" t="str">
        <f>VLOOKUP(C336,Países!$A$1:$B$186,2,TRUE)</f>
        <v>Europe</v>
      </c>
      <c r="E336" s="4" t="s">
        <v>23</v>
      </c>
      <c r="F336" s="4" t="str">
        <f>VLOOKUP(E336,Productos!$A$2:$D$13,2,TRUE)</f>
        <v>botellín 400cc</v>
      </c>
      <c r="G336" s="4">
        <f>VLOOKUP(E336,Productos!$A$2:$D$13,3,TRUE)</f>
        <v>2.2999999999999998</v>
      </c>
      <c r="H336" s="4">
        <f>VLOOKUP(E336,Productos!$A$2:$D$13,4,TRUE)</f>
        <v>4.5</v>
      </c>
      <c r="I336" s="4" t="s">
        <v>17</v>
      </c>
      <c r="J336" s="4">
        <v>111</v>
      </c>
      <c r="K336" s="7">
        <v>42488</v>
      </c>
    </row>
    <row r="337" spans="1:11" x14ac:dyDescent="0.25">
      <c r="A337" s="4">
        <v>23597</v>
      </c>
      <c r="B337" s="4" t="s">
        <v>499</v>
      </c>
      <c r="C337" s="4" t="s">
        <v>28</v>
      </c>
      <c r="D337" s="4" t="str">
        <f>VLOOKUP(C337,Países!$A$1:$B$186,2,TRUE)</f>
        <v>Central America and the Caribbean</v>
      </c>
      <c r="E337" s="4" t="s">
        <v>23</v>
      </c>
      <c r="F337" s="4" t="str">
        <f>VLOOKUP(E337,Productos!$A$2:$D$13,2,TRUE)</f>
        <v>botellín 400cc</v>
      </c>
      <c r="G337" s="4">
        <f>VLOOKUP(E337,Productos!$A$2:$D$13,3,TRUE)</f>
        <v>2.2999999999999998</v>
      </c>
      <c r="H337" s="4">
        <f>VLOOKUP(E337,Productos!$A$2:$D$13,4,TRUE)</f>
        <v>4.5</v>
      </c>
      <c r="I337" s="4" t="s">
        <v>10</v>
      </c>
      <c r="J337" s="4">
        <v>175</v>
      </c>
      <c r="K337" s="7">
        <v>42473</v>
      </c>
    </row>
    <row r="338" spans="1:11" x14ac:dyDescent="0.25">
      <c r="A338" s="4">
        <v>23598</v>
      </c>
      <c r="B338" s="4" t="s">
        <v>500</v>
      </c>
      <c r="C338" s="4" t="s">
        <v>31</v>
      </c>
      <c r="D338" s="4" t="str">
        <f>VLOOKUP(C338,Países!$A$1:$B$186,2,TRUE)</f>
        <v>Europe</v>
      </c>
      <c r="E338" s="4" t="s">
        <v>34</v>
      </c>
      <c r="F338" s="4" t="str">
        <f>VLOOKUP(E338,Productos!$A$2:$D$13,2,TRUE)</f>
        <v>garrafa 3l</v>
      </c>
      <c r="G338" s="4">
        <f>VLOOKUP(E338,Productos!$A$2:$D$13,3,TRUE)</f>
        <v>3.5</v>
      </c>
      <c r="H338" s="4">
        <f>VLOOKUP(E338,Productos!$A$2:$D$13,4,TRUE)</f>
        <v>6.99</v>
      </c>
      <c r="I338" s="4" t="s">
        <v>10</v>
      </c>
      <c r="J338" s="4">
        <v>190</v>
      </c>
      <c r="K338" s="7">
        <v>42472</v>
      </c>
    </row>
    <row r="339" spans="1:11" x14ac:dyDescent="0.25">
      <c r="A339" s="4">
        <v>23599</v>
      </c>
      <c r="B339" s="4" t="s">
        <v>501</v>
      </c>
      <c r="C339" s="4" t="s">
        <v>112</v>
      </c>
      <c r="D339" s="4" t="str">
        <f>VLOOKUP(C339,Países!$A$1:$B$186,2,TRUE)</f>
        <v>North America</v>
      </c>
      <c r="E339" s="4" t="s">
        <v>46</v>
      </c>
      <c r="F339" s="4" t="str">
        <f>VLOOKUP(E339,Productos!$A$2:$D$13,2,TRUE)</f>
        <v>botellín 500cc</v>
      </c>
      <c r="G339" s="4">
        <f>VLOOKUP(E339,Productos!$A$2:$D$13,3,TRUE)</f>
        <v>3.5</v>
      </c>
      <c r="H339" s="4">
        <f>VLOOKUP(E339,Productos!$A$2:$D$13,4,TRUE)</f>
        <v>6.5</v>
      </c>
      <c r="I339" s="4" t="s">
        <v>17</v>
      </c>
      <c r="J339" s="4">
        <v>41</v>
      </c>
      <c r="K339" s="7">
        <v>42491</v>
      </c>
    </row>
    <row r="340" spans="1:11" x14ac:dyDescent="0.25">
      <c r="A340" s="4">
        <v>23600</v>
      </c>
      <c r="B340" s="4" t="s">
        <v>502</v>
      </c>
      <c r="C340" s="4" t="s">
        <v>94</v>
      </c>
      <c r="D340" s="4" t="str">
        <f>VLOOKUP(C340,Países!$A$1:$B$186,2,TRUE)</f>
        <v>Sub-Saharan Africa</v>
      </c>
      <c r="E340" s="4" t="s">
        <v>51</v>
      </c>
      <c r="F340" s="4" t="str">
        <f>VLOOKUP(E340,Productos!$A$2:$D$13,2,TRUE)</f>
        <v>garrafa 8l</v>
      </c>
      <c r="G340" s="4">
        <f>VLOOKUP(E340,Productos!$A$2:$D$13,3,TRUE)</f>
        <v>8</v>
      </c>
      <c r="H340" s="4">
        <f>VLOOKUP(E340,Productos!$A$2:$D$13,4,TRUE)</f>
        <v>14.5</v>
      </c>
      <c r="I340" s="4" t="s">
        <v>17</v>
      </c>
      <c r="J340" s="4">
        <v>28</v>
      </c>
      <c r="K340" s="7">
        <v>42475</v>
      </c>
    </row>
    <row r="341" spans="1:11" x14ac:dyDescent="0.25">
      <c r="A341" s="4">
        <v>23601</v>
      </c>
      <c r="B341" s="4" t="s">
        <v>503</v>
      </c>
      <c r="C341" s="4" t="s">
        <v>278</v>
      </c>
      <c r="D341" s="4" t="str">
        <f>VLOOKUP(C341,Países!$A$1:$B$186,2,TRUE)</f>
        <v>Australia and Oceania</v>
      </c>
      <c r="E341" s="4" t="s">
        <v>51</v>
      </c>
      <c r="F341" s="4" t="str">
        <f>VLOOKUP(E341,Productos!$A$2:$D$13,2,TRUE)</f>
        <v>garrafa 8l</v>
      </c>
      <c r="G341" s="4">
        <f>VLOOKUP(E341,Productos!$A$2:$D$13,3,TRUE)</f>
        <v>8</v>
      </c>
      <c r="H341" s="4">
        <f>VLOOKUP(E341,Productos!$A$2:$D$13,4,TRUE)</f>
        <v>14.5</v>
      </c>
      <c r="I341" s="4" t="s">
        <v>17</v>
      </c>
      <c r="J341" s="4">
        <v>44</v>
      </c>
      <c r="K341" s="7">
        <v>42509</v>
      </c>
    </row>
    <row r="342" spans="1:11" x14ac:dyDescent="0.25">
      <c r="A342" s="4">
        <v>23602</v>
      </c>
      <c r="B342" s="4" t="s">
        <v>504</v>
      </c>
      <c r="C342" s="4" t="s">
        <v>366</v>
      </c>
      <c r="D342" s="4" t="str">
        <f>VLOOKUP(C342,Países!$A$1:$B$186,2,TRUE)</f>
        <v>Middle East and North Africa</v>
      </c>
      <c r="E342" s="4" t="s">
        <v>46</v>
      </c>
      <c r="F342" s="4" t="str">
        <f>VLOOKUP(E342,Productos!$A$2:$D$13,2,TRUE)</f>
        <v>botellín 500cc</v>
      </c>
      <c r="G342" s="4">
        <f>VLOOKUP(E342,Productos!$A$2:$D$13,3,TRUE)</f>
        <v>3.5</v>
      </c>
      <c r="H342" s="4">
        <f>VLOOKUP(E342,Productos!$A$2:$D$13,4,TRUE)</f>
        <v>6.5</v>
      </c>
      <c r="I342" s="4" t="s">
        <v>10</v>
      </c>
      <c r="J342" s="4">
        <v>107</v>
      </c>
      <c r="K342" s="7">
        <v>42513</v>
      </c>
    </row>
    <row r="343" spans="1:11" x14ac:dyDescent="0.25">
      <c r="A343" s="4">
        <v>23603</v>
      </c>
      <c r="B343" s="4" t="s">
        <v>505</v>
      </c>
      <c r="C343" s="4" t="s">
        <v>236</v>
      </c>
      <c r="D343" s="4" t="str">
        <f>VLOOKUP(C343,Países!$A$1:$B$186,2,TRUE)</f>
        <v>Middle East and North Africa</v>
      </c>
      <c r="E343" s="4" t="s">
        <v>13</v>
      </c>
      <c r="F343" s="4" t="str">
        <f>VLOOKUP(E343,Productos!$A$2:$D$13,2,TRUE)</f>
        <v>botella 1l</v>
      </c>
      <c r="G343" s="4">
        <f>VLOOKUP(E343,Productos!$A$2:$D$13,3,TRUE)</f>
        <v>3.5</v>
      </c>
      <c r="H343" s="4">
        <f>VLOOKUP(E343,Productos!$A$2:$D$13,4,TRUE)</f>
        <v>6.5</v>
      </c>
      <c r="I343" s="4" t="s">
        <v>17</v>
      </c>
      <c r="J343" s="4">
        <v>9</v>
      </c>
      <c r="K343" s="7">
        <v>42478</v>
      </c>
    </row>
    <row r="344" spans="1:11" x14ac:dyDescent="0.25">
      <c r="A344" s="4">
        <v>23604</v>
      </c>
      <c r="B344" s="4" t="s">
        <v>506</v>
      </c>
      <c r="C344" s="4" t="s">
        <v>507</v>
      </c>
      <c r="D344" s="4" t="str">
        <f>VLOOKUP(C344,Países!$A$1:$B$186,2,TRUE)</f>
        <v>Middle East and North Africa</v>
      </c>
      <c r="E344" s="4" t="s">
        <v>16</v>
      </c>
      <c r="F344" s="4" t="str">
        <f>VLOOKUP(E344,Productos!$A$2:$D$13,2,TRUE)</f>
        <v>botella 5l</v>
      </c>
      <c r="G344" s="4">
        <f>VLOOKUP(E344,Productos!$A$2:$D$13,3,TRUE)</f>
        <v>6</v>
      </c>
      <c r="H344" s="4">
        <f>VLOOKUP(E344,Productos!$A$2:$D$13,4,TRUE)</f>
        <v>9</v>
      </c>
      <c r="I344" s="4" t="s">
        <v>17</v>
      </c>
      <c r="J344" s="4">
        <v>26</v>
      </c>
      <c r="K344" s="7">
        <v>42516</v>
      </c>
    </row>
    <row r="345" spans="1:11" x14ac:dyDescent="0.25">
      <c r="A345" s="4">
        <v>23605</v>
      </c>
      <c r="B345" s="4" t="s">
        <v>508</v>
      </c>
      <c r="C345" s="4" t="s">
        <v>97</v>
      </c>
      <c r="D345" s="4" t="str">
        <f>VLOOKUP(C345,Países!$A$1:$B$186,2,TRUE)</f>
        <v>Sub-Saharan Africa</v>
      </c>
      <c r="E345" s="4" t="s">
        <v>9</v>
      </c>
      <c r="F345" s="4" t="str">
        <f>VLOOKUP(E345,Productos!$A$2:$D$13,2,TRUE)</f>
        <v>garrafa 1l</v>
      </c>
      <c r="G345" s="4">
        <f>VLOOKUP(E345,Productos!$A$2:$D$13,3,TRUE)</f>
        <v>1</v>
      </c>
      <c r="H345" s="4">
        <f>VLOOKUP(E345,Productos!$A$2:$D$13,4,TRUE)</f>
        <v>2</v>
      </c>
      <c r="I345" s="4" t="s">
        <v>17</v>
      </c>
      <c r="J345" s="4">
        <v>79</v>
      </c>
      <c r="K345" s="7">
        <v>42497</v>
      </c>
    </row>
    <row r="346" spans="1:11" x14ac:dyDescent="0.25">
      <c r="A346" s="4">
        <v>23606</v>
      </c>
      <c r="B346" s="4" t="s">
        <v>509</v>
      </c>
      <c r="C346" s="4" t="s">
        <v>97</v>
      </c>
      <c r="D346" s="4" t="str">
        <f>VLOOKUP(C346,Países!$A$1:$B$186,2,TRUE)</f>
        <v>Sub-Saharan Africa</v>
      </c>
      <c r="E346" s="4" t="s">
        <v>51</v>
      </c>
      <c r="F346" s="4" t="str">
        <f>VLOOKUP(E346,Productos!$A$2:$D$13,2,TRUE)</f>
        <v>garrafa 8l</v>
      </c>
      <c r="G346" s="4">
        <f>VLOOKUP(E346,Productos!$A$2:$D$13,3,TRUE)</f>
        <v>8</v>
      </c>
      <c r="H346" s="4">
        <f>VLOOKUP(E346,Productos!$A$2:$D$13,4,TRUE)</f>
        <v>14.5</v>
      </c>
      <c r="I346" s="4" t="s">
        <v>10</v>
      </c>
      <c r="J346" s="4">
        <v>17</v>
      </c>
      <c r="K346" s="7">
        <v>42479</v>
      </c>
    </row>
    <row r="347" spans="1:11" x14ac:dyDescent="0.25">
      <c r="A347" s="4">
        <v>23607</v>
      </c>
      <c r="B347" s="4" t="s">
        <v>510</v>
      </c>
      <c r="C347" s="4" t="s">
        <v>22</v>
      </c>
      <c r="D347" s="4" t="str">
        <f>VLOOKUP(C347,Países!$A$1:$B$186,2,TRUE)</f>
        <v>Sub-Saharan Africa</v>
      </c>
      <c r="E347" s="4" t="s">
        <v>16</v>
      </c>
      <c r="F347" s="4" t="str">
        <f>VLOOKUP(E347,Productos!$A$2:$D$13,2,TRUE)</f>
        <v>botella 5l</v>
      </c>
      <c r="G347" s="4">
        <f>VLOOKUP(E347,Productos!$A$2:$D$13,3,TRUE)</f>
        <v>6</v>
      </c>
      <c r="H347" s="4">
        <f>VLOOKUP(E347,Productos!$A$2:$D$13,4,TRUE)</f>
        <v>9</v>
      </c>
      <c r="I347" s="4" t="s">
        <v>17</v>
      </c>
      <c r="J347" s="4">
        <v>121</v>
      </c>
      <c r="K347" s="7">
        <v>42511</v>
      </c>
    </row>
    <row r="348" spans="1:11" x14ac:dyDescent="0.25">
      <c r="A348" s="4">
        <v>23608</v>
      </c>
      <c r="B348" s="4" t="s">
        <v>511</v>
      </c>
      <c r="C348" s="4" t="s">
        <v>274</v>
      </c>
      <c r="D348" s="4" t="str">
        <f>VLOOKUP(C348,Países!$A$1:$B$186,2,TRUE)</f>
        <v>Sub-Saharan Africa</v>
      </c>
      <c r="E348" s="4" t="s">
        <v>9</v>
      </c>
      <c r="F348" s="4" t="str">
        <f>VLOOKUP(E348,Productos!$A$2:$D$13,2,TRUE)</f>
        <v>garrafa 1l</v>
      </c>
      <c r="G348" s="4">
        <f>VLOOKUP(E348,Productos!$A$2:$D$13,3,TRUE)</f>
        <v>1</v>
      </c>
      <c r="H348" s="4">
        <f>VLOOKUP(E348,Productos!$A$2:$D$13,4,TRUE)</f>
        <v>2</v>
      </c>
      <c r="I348" s="4" t="s">
        <v>10</v>
      </c>
      <c r="J348" s="4">
        <v>116</v>
      </c>
      <c r="K348" s="7">
        <v>42473</v>
      </c>
    </row>
    <row r="349" spans="1:11" x14ac:dyDescent="0.25">
      <c r="A349" s="4">
        <v>23609</v>
      </c>
      <c r="B349" s="4" t="s">
        <v>512</v>
      </c>
      <c r="C349" s="4" t="s">
        <v>100</v>
      </c>
      <c r="D349" s="4" t="str">
        <f>VLOOKUP(C349,Países!$A$1:$B$186,2,TRUE)</f>
        <v>Asia</v>
      </c>
      <c r="E349" s="4" t="s">
        <v>23</v>
      </c>
      <c r="F349" s="4" t="str">
        <f>VLOOKUP(E349,Productos!$A$2:$D$13,2,TRUE)</f>
        <v>botellín 400cc</v>
      </c>
      <c r="G349" s="4">
        <f>VLOOKUP(E349,Productos!$A$2:$D$13,3,TRUE)</f>
        <v>2.2999999999999998</v>
      </c>
      <c r="H349" s="4">
        <f>VLOOKUP(E349,Productos!$A$2:$D$13,4,TRUE)</f>
        <v>4.5</v>
      </c>
      <c r="I349" s="4" t="s">
        <v>17</v>
      </c>
      <c r="J349" s="4">
        <v>131</v>
      </c>
      <c r="K349" s="7">
        <v>42491</v>
      </c>
    </row>
    <row r="350" spans="1:11" x14ac:dyDescent="0.25">
      <c r="A350" s="4">
        <v>23610</v>
      </c>
      <c r="B350" s="4" t="s">
        <v>513</v>
      </c>
      <c r="C350" s="4" t="s">
        <v>203</v>
      </c>
      <c r="D350" s="4" t="str">
        <f>VLOOKUP(C350,Países!$A$1:$B$186,2,TRUE)</f>
        <v>Middle East and North Africa</v>
      </c>
      <c r="E350" s="4" t="s">
        <v>34</v>
      </c>
      <c r="F350" s="4" t="str">
        <f>VLOOKUP(E350,Productos!$A$2:$D$13,2,TRUE)</f>
        <v>garrafa 3l</v>
      </c>
      <c r="G350" s="4">
        <f>VLOOKUP(E350,Productos!$A$2:$D$13,3,TRUE)</f>
        <v>3.5</v>
      </c>
      <c r="H350" s="4">
        <f>VLOOKUP(E350,Productos!$A$2:$D$13,4,TRUE)</f>
        <v>6.99</v>
      </c>
      <c r="I350" s="4" t="s">
        <v>17</v>
      </c>
      <c r="J350" s="4">
        <v>144</v>
      </c>
      <c r="K350" s="7">
        <v>42485</v>
      </c>
    </row>
    <row r="351" spans="1:11" x14ac:dyDescent="0.25">
      <c r="A351" s="4">
        <v>23611</v>
      </c>
      <c r="B351" s="4" t="s">
        <v>514</v>
      </c>
      <c r="C351" s="4" t="s">
        <v>515</v>
      </c>
      <c r="D351" s="4" t="str">
        <f>VLOOKUP(C351,Países!$A$1:$B$186,2,TRUE)</f>
        <v>Sub-Saharan Africa</v>
      </c>
      <c r="E351" s="4" t="s">
        <v>23</v>
      </c>
      <c r="F351" s="4" t="str">
        <f>VLOOKUP(E351,Productos!$A$2:$D$13,2,TRUE)</f>
        <v>botellín 400cc</v>
      </c>
      <c r="G351" s="4">
        <f>VLOOKUP(E351,Productos!$A$2:$D$13,3,TRUE)</f>
        <v>2.2999999999999998</v>
      </c>
      <c r="H351" s="4">
        <f>VLOOKUP(E351,Productos!$A$2:$D$13,4,TRUE)</f>
        <v>4.5</v>
      </c>
      <c r="I351" s="4" t="s">
        <v>10</v>
      </c>
      <c r="J351" s="4">
        <v>102</v>
      </c>
      <c r="K351" s="7">
        <v>42518</v>
      </c>
    </row>
    <row r="352" spans="1:11" x14ac:dyDescent="0.25">
      <c r="A352" s="4">
        <v>23612</v>
      </c>
      <c r="B352" s="4" t="s">
        <v>516</v>
      </c>
      <c r="C352" s="4" t="s">
        <v>38</v>
      </c>
      <c r="D352" s="4" t="str">
        <f>VLOOKUP(C352,Países!$A$1:$B$186,2,TRUE)</f>
        <v>Asia</v>
      </c>
      <c r="E352" s="4" t="s">
        <v>13</v>
      </c>
      <c r="F352" s="4" t="str">
        <f>VLOOKUP(E352,Productos!$A$2:$D$13,2,TRUE)</f>
        <v>botella 1l</v>
      </c>
      <c r="G352" s="4">
        <f>VLOOKUP(E352,Productos!$A$2:$D$13,3,TRUE)</f>
        <v>3.5</v>
      </c>
      <c r="H352" s="4">
        <f>VLOOKUP(E352,Productos!$A$2:$D$13,4,TRUE)</f>
        <v>6.5</v>
      </c>
      <c r="I352" s="4" t="s">
        <v>59</v>
      </c>
      <c r="J352" s="4">
        <v>212</v>
      </c>
      <c r="K352" s="7">
        <v>42492</v>
      </c>
    </row>
    <row r="353" spans="1:11" x14ac:dyDescent="0.25">
      <c r="A353" s="4">
        <v>23613</v>
      </c>
      <c r="B353" s="4" t="s">
        <v>517</v>
      </c>
      <c r="C353" s="4" t="s">
        <v>518</v>
      </c>
      <c r="D353" s="4" t="str">
        <f>VLOOKUP(C353,Países!$A$1:$B$186,2,TRUE)</f>
        <v>Middle East and North Africa</v>
      </c>
      <c r="E353" s="4" t="s">
        <v>9</v>
      </c>
      <c r="F353" s="4" t="str">
        <f>VLOOKUP(E353,Productos!$A$2:$D$13,2,TRUE)</f>
        <v>garrafa 1l</v>
      </c>
      <c r="G353" s="4">
        <f>VLOOKUP(E353,Productos!$A$2:$D$13,3,TRUE)</f>
        <v>1</v>
      </c>
      <c r="H353" s="4">
        <f>VLOOKUP(E353,Productos!$A$2:$D$13,4,TRUE)</f>
        <v>2</v>
      </c>
      <c r="I353" s="4" t="s">
        <v>17</v>
      </c>
      <c r="J353" s="4">
        <v>191</v>
      </c>
      <c r="K353" s="7">
        <v>42513</v>
      </c>
    </row>
    <row r="354" spans="1:11" x14ac:dyDescent="0.25">
      <c r="A354" s="4">
        <v>23614</v>
      </c>
      <c r="B354" s="4" t="s">
        <v>519</v>
      </c>
      <c r="C354" s="4" t="s">
        <v>267</v>
      </c>
      <c r="D354" s="4" t="str">
        <f>VLOOKUP(C354,Países!$A$1:$B$186,2,TRUE)</f>
        <v>Sub-Saharan Africa</v>
      </c>
      <c r="E354" s="4" t="s">
        <v>26</v>
      </c>
      <c r="F354" s="4" t="str">
        <f>VLOOKUP(E354,Productos!$A$2:$D$13,2,TRUE)</f>
        <v>botellín 200cc</v>
      </c>
      <c r="G354" s="4">
        <f>VLOOKUP(E354,Productos!$A$2:$D$13,3,TRUE)</f>
        <v>1.5</v>
      </c>
      <c r="H354" s="4">
        <f>VLOOKUP(E354,Productos!$A$2:$D$13,4,TRUE)</f>
        <v>3</v>
      </c>
      <c r="I354" s="4" t="s">
        <v>17</v>
      </c>
      <c r="J354" s="4">
        <v>172</v>
      </c>
      <c r="K354" s="7">
        <v>42462</v>
      </c>
    </row>
    <row r="355" spans="1:11" x14ac:dyDescent="0.25">
      <c r="A355" s="4">
        <v>23615</v>
      </c>
      <c r="B355" s="4" t="s">
        <v>520</v>
      </c>
      <c r="C355" s="4" t="s">
        <v>521</v>
      </c>
      <c r="D355" s="4" t="str">
        <f>VLOOKUP(C355,Países!$A$1:$B$186,2,TRUE)</f>
        <v>Sub-Saharan Africa</v>
      </c>
      <c r="E355" s="4" t="s">
        <v>23</v>
      </c>
      <c r="F355" s="4" t="str">
        <f>VLOOKUP(E355,Productos!$A$2:$D$13,2,TRUE)</f>
        <v>botellín 400cc</v>
      </c>
      <c r="G355" s="4">
        <f>VLOOKUP(E355,Productos!$A$2:$D$13,3,TRUE)</f>
        <v>2.2999999999999998</v>
      </c>
      <c r="H355" s="4">
        <f>VLOOKUP(E355,Productos!$A$2:$D$13,4,TRUE)</f>
        <v>4.5</v>
      </c>
      <c r="I355" s="4" t="s">
        <v>17</v>
      </c>
      <c r="J355" s="4">
        <v>27</v>
      </c>
      <c r="K355" s="7">
        <v>42495</v>
      </c>
    </row>
    <row r="356" spans="1:11" x14ac:dyDescent="0.25">
      <c r="A356" s="4">
        <v>23616</v>
      </c>
      <c r="B356" s="4" t="s">
        <v>522</v>
      </c>
      <c r="C356" s="4" t="s">
        <v>152</v>
      </c>
      <c r="D356" s="4" t="str">
        <f>VLOOKUP(C356,Países!$A$1:$B$186,2,TRUE)</f>
        <v>Sub-Saharan Africa</v>
      </c>
      <c r="E356" s="4" t="s">
        <v>20</v>
      </c>
      <c r="F356" s="4" t="str">
        <f>VLOOKUP(E356,Productos!$A$2:$D$13,2,TRUE)</f>
        <v>garrafa 4l</v>
      </c>
      <c r="G356" s="4">
        <f>VLOOKUP(E356,Productos!$A$2:$D$13,3,TRUE)</f>
        <v>5</v>
      </c>
      <c r="H356" s="4">
        <f>VLOOKUP(E356,Productos!$A$2:$D$13,4,TRUE)</f>
        <v>9.99</v>
      </c>
      <c r="I356" s="4" t="s">
        <v>10</v>
      </c>
      <c r="J356" s="4">
        <v>36</v>
      </c>
      <c r="K356" s="7">
        <v>42490</v>
      </c>
    </row>
    <row r="357" spans="1:11" x14ac:dyDescent="0.25">
      <c r="A357" s="4">
        <v>23617</v>
      </c>
      <c r="B357" s="4" t="s">
        <v>523</v>
      </c>
      <c r="C357" s="4" t="s">
        <v>390</v>
      </c>
      <c r="D357" s="4" t="str">
        <f>VLOOKUP(C357,Países!$A$1:$B$186,2,TRUE)</f>
        <v>Australia and Oceania</v>
      </c>
      <c r="E357" s="4" t="s">
        <v>20</v>
      </c>
      <c r="F357" s="4" t="str">
        <f>VLOOKUP(E357,Productos!$A$2:$D$13,2,TRUE)</f>
        <v>garrafa 4l</v>
      </c>
      <c r="G357" s="4">
        <f>VLOOKUP(E357,Productos!$A$2:$D$13,3,TRUE)</f>
        <v>5</v>
      </c>
      <c r="H357" s="4">
        <f>VLOOKUP(E357,Productos!$A$2:$D$13,4,TRUE)</f>
        <v>9.99</v>
      </c>
      <c r="I357" s="4" t="s">
        <v>17</v>
      </c>
      <c r="J357" s="4">
        <v>191</v>
      </c>
      <c r="K357" s="7">
        <v>42465</v>
      </c>
    </row>
    <row r="358" spans="1:11" x14ac:dyDescent="0.25">
      <c r="A358" s="4">
        <v>23618</v>
      </c>
      <c r="B358" s="4" t="s">
        <v>524</v>
      </c>
      <c r="C358" s="4" t="s">
        <v>345</v>
      </c>
      <c r="D358" s="4" t="str">
        <f>VLOOKUP(C358,Países!$A$1:$B$186,2,TRUE)</f>
        <v>Sub-Saharan Africa</v>
      </c>
      <c r="E358" s="4" t="s">
        <v>13</v>
      </c>
      <c r="F358" s="4" t="str">
        <f>VLOOKUP(E358,Productos!$A$2:$D$13,2,TRUE)</f>
        <v>botella 1l</v>
      </c>
      <c r="G358" s="4">
        <f>VLOOKUP(E358,Productos!$A$2:$D$13,3,TRUE)</f>
        <v>3.5</v>
      </c>
      <c r="H358" s="4">
        <f>VLOOKUP(E358,Productos!$A$2:$D$13,4,TRUE)</f>
        <v>6.5</v>
      </c>
      <c r="I358" s="4" t="s">
        <v>10</v>
      </c>
      <c r="J358" s="4">
        <v>103</v>
      </c>
      <c r="K358" s="7">
        <v>42482</v>
      </c>
    </row>
    <row r="359" spans="1:11" x14ac:dyDescent="0.25">
      <c r="A359" s="4">
        <v>23619</v>
      </c>
      <c r="B359" s="4" t="s">
        <v>525</v>
      </c>
      <c r="C359" s="4" t="s">
        <v>88</v>
      </c>
      <c r="D359" s="4" t="str">
        <f>VLOOKUP(C359,Países!$A$1:$B$186,2,TRUE)</f>
        <v>Europe</v>
      </c>
      <c r="E359" s="4" t="s">
        <v>20</v>
      </c>
      <c r="F359" s="4" t="str">
        <f>VLOOKUP(E359,Productos!$A$2:$D$13,2,TRUE)</f>
        <v>garrafa 4l</v>
      </c>
      <c r="G359" s="4">
        <f>VLOOKUP(E359,Productos!$A$2:$D$13,3,TRUE)</f>
        <v>5</v>
      </c>
      <c r="H359" s="4">
        <f>VLOOKUP(E359,Productos!$A$2:$D$13,4,TRUE)</f>
        <v>9.99</v>
      </c>
      <c r="I359" s="4" t="s">
        <v>17</v>
      </c>
      <c r="J359" s="4">
        <v>61</v>
      </c>
      <c r="K359" s="7">
        <v>42461</v>
      </c>
    </row>
    <row r="360" spans="1:11" x14ac:dyDescent="0.25">
      <c r="A360" s="4">
        <v>23620</v>
      </c>
      <c r="B360" s="4" t="s">
        <v>526</v>
      </c>
      <c r="C360" s="4" t="s">
        <v>88</v>
      </c>
      <c r="D360" s="4" t="str">
        <f>VLOOKUP(C360,Países!$A$1:$B$186,2,TRUE)</f>
        <v>Europe</v>
      </c>
      <c r="E360" s="4" t="s">
        <v>23</v>
      </c>
      <c r="F360" s="4" t="str">
        <f>VLOOKUP(E360,Productos!$A$2:$D$13,2,TRUE)</f>
        <v>botellín 400cc</v>
      </c>
      <c r="G360" s="4">
        <f>VLOOKUP(E360,Productos!$A$2:$D$13,3,TRUE)</f>
        <v>2.2999999999999998</v>
      </c>
      <c r="H360" s="4">
        <f>VLOOKUP(E360,Productos!$A$2:$D$13,4,TRUE)</f>
        <v>4.5</v>
      </c>
      <c r="I360" s="4" t="s">
        <v>17</v>
      </c>
      <c r="J360" s="4">
        <v>197</v>
      </c>
      <c r="K360" s="7">
        <v>42479</v>
      </c>
    </row>
    <row r="361" spans="1:11" x14ac:dyDescent="0.25">
      <c r="A361" s="4">
        <v>23621</v>
      </c>
      <c r="B361" s="4" t="s">
        <v>527</v>
      </c>
      <c r="C361" s="4" t="s">
        <v>181</v>
      </c>
      <c r="D361" s="4" t="str">
        <f>VLOOKUP(C361,Países!$A$1:$B$186,2,TRUE)</f>
        <v>Europe</v>
      </c>
      <c r="E361" s="4" t="s">
        <v>46</v>
      </c>
      <c r="F361" s="4" t="str">
        <f>VLOOKUP(E361,Productos!$A$2:$D$13,2,TRUE)</f>
        <v>botellín 500cc</v>
      </c>
      <c r="G361" s="4">
        <f>VLOOKUP(E361,Productos!$A$2:$D$13,3,TRUE)</f>
        <v>3.5</v>
      </c>
      <c r="H361" s="4">
        <f>VLOOKUP(E361,Productos!$A$2:$D$13,4,TRUE)</f>
        <v>6.5</v>
      </c>
      <c r="I361" s="4" t="s">
        <v>17</v>
      </c>
      <c r="J361" s="4">
        <v>34</v>
      </c>
      <c r="K361" s="7">
        <v>42496</v>
      </c>
    </row>
    <row r="362" spans="1:11" x14ac:dyDescent="0.25">
      <c r="A362" s="4">
        <v>23622</v>
      </c>
      <c r="B362" s="4" t="s">
        <v>528</v>
      </c>
      <c r="C362" s="4" t="s">
        <v>71</v>
      </c>
      <c r="D362" s="4" t="str">
        <f>VLOOKUP(C362,Países!$A$1:$B$186,2,TRUE)</f>
        <v>Australia and Oceania</v>
      </c>
      <c r="E362" s="4" t="s">
        <v>58</v>
      </c>
      <c r="F362" s="4" t="str">
        <f>VLOOKUP(E362,Productos!$A$2:$D$13,2,TRUE)</f>
        <v>garrafa 2l</v>
      </c>
      <c r="G362" s="4">
        <f>VLOOKUP(E362,Productos!$A$2:$D$13,3,TRUE)</f>
        <v>2.5</v>
      </c>
      <c r="H362" s="4">
        <f>VLOOKUP(E362,Productos!$A$2:$D$13,4,TRUE)</f>
        <v>4.5</v>
      </c>
      <c r="I362" s="4" t="s">
        <v>10</v>
      </c>
      <c r="J362" s="4">
        <v>37</v>
      </c>
      <c r="K362" s="7">
        <v>42496</v>
      </c>
    </row>
    <row r="363" spans="1:11" x14ac:dyDescent="0.25">
      <c r="A363" s="4">
        <v>23623</v>
      </c>
      <c r="B363" s="4" t="s">
        <v>529</v>
      </c>
      <c r="C363" s="4" t="s">
        <v>19</v>
      </c>
      <c r="D363" s="4" t="str">
        <f>VLOOKUP(C363,Países!$A$1:$B$186,2,TRUE)</f>
        <v>Sub-Saharan Africa</v>
      </c>
      <c r="E363" s="4" t="s">
        <v>23</v>
      </c>
      <c r="F363" s="4" t="str">
        <f>VLOOKUP(E363,Productos!$A$2:$D$13,2,TRUE)</f>
        <v>botellín 400cc</v>
      </c>
      <c r="G363" s="4">
        <f>VLOOKUP(E363,Productos!$A$2:$D$13,3,TRUE)</f>
        <v>2.2999999999999998</v>
      </c>
      <c r="H363" s="4">
        <f>VLOOKUP(E363,Productos!$A$2:$D$13,4,TRUE)</f>
        <v>4.5</v>
      </c>
      <c r="I363" s="4" t="s">
        <v>10</v>
      </c>
      <c r="J363" s="4">
        <v>181</v>
      </c>
      <c r="K363" s="7">
        <v>42464</v>
      </c>
    </row>
    <row r="364" spans="1:11" x14ac:dyDescent="0.25">
      <c r="A364" s="4">
        <v>23624</v>
      </c>
      <c r="B364" s="4" t="s">
        <v>530</v>
      </c>
      <c r="C364" s="4" t="s">
        <v>112</v>
      </c>
      <c r="D364" s="4" t="str">
        <f>VLOOKUP(C364,Países!$A$1:$B$186,2,TRUE)</f>
        <v>North America</v>
      </c>
      <c r="E364" s="4" t="s">
        <v>34</v>
      </c>
      <c r="F364" s="4" t="str">
        <f>VLOOKUP(E364,Productos!$A$2:$D$13,2,TRUE)</f>
        <v>garrafa 3l</v>
      </c>
      <c r="G364" s="4">
        <f>VLOOKUP(E364,Productos!$A$2:$D$13,3,TRUE)</f>
        <v>3.5</v>
      </c>
      <c r="H364" s="4">
        <f>VLOOKUP(E364,Productos!$A$2:$D$13,4,TRUE)</f>
        <v>6.99</v>
      </c>
      <c r="I364" s="4" t="s">
        <v>17</v>
      </c>
      <c r="J364" s="4">
        <v>1</v>
      </c>
      <c r="K364" s="7">
        <v>42500</v>
      </c>
    </row>
    <row r="365" spans="1:11" x14ac:dyDescent="0.25">
      <c r="A365" s="4">
        <v>23625</v>
      </c>
      <c r="B365" s="4" t="s">
        <v>531</v>
      </c>
      <c r="C365" s="4" t="s">
        <v>176</v>
      </c>
      <c r="D365" s="4" t="str">
        <f>VLOOKUP(C365,Países!$A$1:$B$186,2,TRUE)</f>
        <v>Europe</v>
      </c>
      <c r="E365" s="4" t="s">
        <v>29</v>
      </c>
      <c r="F365" s="4" t="str">
        <f>VLOOKUP(E365,Productos!$A$2:$D$13,2,TRUE)</f>
        <v>botella 0.5l</v>
      </c>
      <c r="G365" s="4">
        <f>VLOOKUP(E365,Productos!$A$2:$D$13,3,TRUE)</f>
        <v>3</v>
      </c>
      <c r="H365" s="4">
        <f>VLOOKUP(E365,Productos!$A$2:$D$13,4,TRUE)</f>
        <v>6</v>
      </c>
      <c r="I365" s="4" t="s">
        <v>10</v>
      </c>
      <c r="J365" s="4">
        <v>74</v>
      </c>
      <c r="K365" s="7">
        <v>42481</v>
      </c>
    </row>
    <row r="366" spans="1:11" x14ac:dyDescent="0.25">
      <c r="A366" s="4">
        <v>23626</v>
      </c>
      <c r="B366" s="4" t="s">
        <v>532</v>
      </c>
      <c r="C366" s="4" t="s">
        <v>119</v>
      </c>
      <c r="D366" s="4" t="str">
        <f>VLOOKUP(C366,Países!$A$1:$B$186,2,TRUE)</f>
        <v>Sub-Saharan Africa</v>
      </c>
      <c r="E366" s="4" t="s">
        <v>20</v>
      </c>
      <c r="F366" s="4" t="str">
        <f>VLOOKUP(E366,Productos!$A$2:$D$13,2,TRUE)</f>
        <v>garrafa 4l</v>
      </c>
      <c r="G366" s="4">
        <f>VLOOKUP(E366,Productos!$A$2:$D$13,3,TRUE)</f>
        <v>5</v>
      </c>
      <c r="H366" s="4">
        <f>VLOOKUP(E366,Productos!$A$2:$D$13,4,TRUE)</f>
        <v>9.99</v>
      </c>
      <c r="I366" s="4" t="s">
        <v>17</v>
      </c>
      <c r="J366" s="4">
        <v>17</v>
      </c>
      <c r="K366" s="7">
        <v>42468</v>
      </c>
    </row>
    <row r="367" spans="1:11" x14ac:dyDescent="0.25">
      <c r="A367" s="4">
        <v>23627</v>
      </c>
      <c r="B367" s="4" t="s">
        <v>533</v>
      </c>
      <c r="C367" s="4" t="s">
        <v>220</v>
      </c>
      <c r="D367" s="4" t="str">
        <f>VLOOKUP(C367,Países!$A$1:$B$186,2,TRUE)</f>
        <v>Australia and Oceania</v>
      </c>
      <c r="E367" s="4" t="s">
        <v>26</v>
      </c>
      <c r="F367" s="4" t="str">
        <f>VLOOKUP(E367,Productos!$A$2:$D$13,2,TRUE)</f>
        <v>botellín 200cc</v>
      </c>
      <c r="G367" s="4">
        <f>VLOOKUP(E367,Productos!$A$2:$D$13,3,TRUE)</f>
        <v>1.5</v>
      </c>
      <c r="H367" s="4">
        <f>VLOOKUP(E367,Productos!$A$2:$D$13,4,TRUE)</f>
        <v>3</v>
      </c>
      <c r="I367" s="4" t="s">
        <v>59</v>
      </c>
      <c r="J367" s="4">
        <v>141</v>
      </c>
      <c r="K367" s="7">
        <v>42466</v>
      </c>
    </row>
    <row r="368" spans="1:11" x14ac:dyDescent="0.25">
      <c r="A368" s="4">
        <v>23628</v>
      </c>
      <c r="B368" s="4" t="s">
        <v>78</v>
      </c>
      <c r="C368" s="4" t="s">
        <v>31</v>
      </c>
      <c r="D368" s="4" t="str">
        <f>VLOOKUP(C368,Países!$A$1:$B$186,2,TRUE)</f>
        <v>Europe</v>
      </c>
      <c r="E368" s="4" t="s">
        <v>46</v>
      </c>
      <c r="F368" s="4" t="str">
        <f>VLOOKUP(E368,Productos!$A$2:$D$13,2,TRUE)</f>
        <v>botellín 500cc</v>
      </c>
      <c r="G368" s="4">
        <f>VLOOKUP(E368,Productos!$A$2:$D$13,3,TRUE)</f>
        <v>3.5</v>
      </c>
      <c r="H368" s="4">
        <f>VLOOKUP(E368,Productos!$A$2:$D$13,4,TRUE)</f>
        <v>6.5</v>
      </c>
      <c r="I368" s="4" t="s">
        <v>17</v>
      </c>
      <c r="J368" s="4">
        <v>169</v>
      </c>
      <c r="K368" s="7">
        <v>42497</v>
      </c>
    </row>
    <row r="369" spans="1:11" x14ac:dyDescent="0.25">
      <c r="A369" s="4">
        <v>23629</v>
      </c>
      <c r="B369" s="4" t="s">
        <v>534</v>
      </c>
      <c r="C369" s="4" t="s">
        <v>535</v>
      </c>
      <c r="D369" s="4" t="str">
        <f>VLOOKUP(C369,Países!$A$1:$B$186,2,TRUE)</f>
        <v>Sub-Saharan Africa</v>
      </c>
      <c r="E369" s="4" t="s">
        <v>20</v>
      </c>
      <c r="F369" s="4" t="str">
        <f>VLOOKUP(E369,Productos!$A$2:$D$13,2,TRUE)</f>
        <v>garrafa 4l</v>
      </c>
      <c r="G369" s="4">
        <f>VLOOKUP(E369,Productos!$A$2:$D$13,3,TRUE)</f>
        <v>5</v>
      </c>
      <c r="H369" s="4">
        <f>VLOOKUP(E369,Productos!$A$2:$D$13,4,TRUE)</f>
        <v>9.99</v>
      </c>
      <c r="I369" s="4" t="s">
        <v>17</v>
      </c>
      <c r="J369" s="4">
        <v>79</v>
      </c>
      <c r="K369" s="7">
        <v>42505</v>
      </c>
    </row>
    <row r="370" spans="1:11" x14ac:dyDescent="0.25">
      <c r="A370" s="4">
        <v>23630</v>
      </c>
      <c r="B370" s="4" t="s">
        <v>536</v>
      </c>
      <c r="C370" s="4" t="s">
        <v>77</v>
      </c>
      <c r="D370" s="4" t="str">
        <f>VLOOKUP(C370,Países!$A$1:$B$186,2,TRUE)</f>
        <v>Middle East and North Africa</v>
      </c>
      <c r="E370" s="4" t="s">
        <v>23</v>
      </c>
      <c r="F370" s="4" t="str">
        <f>VLOOKUP(E370,Productos!$A$2:$D$13,2,TRUE)</f>
        <v>botellín 400cc</v>
      </c>
      <c r="G370" s="4">
        <f>VLOOKUP(E370,Productos!$A$2:$D$13,3,TRUE)</f>
        <v>2.2999999999999998</v>
      </c>
      <c r="H370" s="4">
        <f>VLOOKUP(E370,Productos!$A$2:$D$13,4,TRUE)</f>
        <v>4.5</v>
      </c>
      <c r="I370" s="4" t="s">
        <v>59</v>
      </c>
      <c r="J370" s="4">
        <v>55</v>
      </c>
      <c r="K370" s="7">
        <v>42504</v>
      </c>
    </row>
    <row r="371" spans="1:11" x14ac:dyDescent="0.25">
      <c r="A371" s="4">
        <v>23631</v>
      </c>
      <c r="B371" s="4" t="s">
        <v>537</v>
      </c>
      <c r="C371" s="4" t="s">
        <v>538</v>
      </c>
      <c r="D371" s="4" t="str">
        <f>VLOOKUP(C371,Países!$A$1:$B$186,2,TRUE)</f>
        <v>Australia and Oceania</v>
      </c>
      <c r="E371" s="4" t="s">
        <v>29</v>
      </c>
      <c r="F371" s="4" t="str">
        <f>VLOOKUP(E371,Productos!$A$2:$D$13,2,TRUE)</f>
        <v>botella 0.5l</v>
      </c>
      <c r="G371" s="4">
        <f>VLOOKUP(E371,Productos!$A$2:$D$13,3,TRUE)</f>
        <v>3</v>
      </c>
      <c r="H371" s="4">
        <f>VLOOKUP(E371,Productos!$A$2:$D$13,4,TRUE)</f>
        <v>6</v>
      </c>
      <c r="I371" s="4" t="s">
        <v>10</v>
      </c>
      <c r="J371" s="4">
        <v>65</v>
      </c>
      <c r="K371" s="7">
        <v>42462</v>
      </c>
    </row>
    <row r="372" spans="1:11" x14ac:dyDescent="0.25">
      <c r="A372" s="4">
        <v>23632</v>
      </c>
      <c r="B372" s="4" t="s">
        <v>539</v>
      </c>
      <c r="C372" s="4" t="s">
        <v>86</v>
      </c>
      <c r="D372" s="4" t="str">
        <f>VLOOKUP(C372,Países!$A$1:$B$186,2,TRUE)</f>
        <v>Australia and Oceania</v>
      </c>
      <c r="E372" s="4" t="s">
        <v>26</v>
      </c>
      <c r="F372" s="4" t="str">
        <f>VLOOKUP(E372,Productos!$A$2:$D$13,2,TRUE)</f>
        <v>botellín 200cc</v>
      </c>
      <c r="G372" s="4">
        <f>VLOOKUP(E372,Productos!$A$2:$D$13,3,TRUE)</f>
        <v>1.5</v>
      </c>
      <c r="H372" s="4">
        <f>VLOOKUP(E372,Productos!$A$2:$D$13,4,TRUE)</f>
        <v>3</v>
      </c>
      <c r="I372" s="4" t="s">
        <v>10</v>
      </c>
      <c r="J372" s="4">
        <v>75</v>
      </c>
      <c r="K372" s="7">
        <v>42480</v>
      </c>
    </row>
    <row r="373" spans="1:11" x14ac:dyDescent="0.25">
      <c r="A373" s="4">
        <v>23633</v>
      </c>
      <c r="B373" s="4" t="s">
        <v>540</v>
      </c>
      <c r="C373" s="4" t="s">
        <v>65</v>
      </c>
      <c r="D373" s="4" t="str">
        <f>VLOOKUP(C373,Países!$A$1:$B$186,2,TRUE)</f>
        <v>Australia and Oceania</v>
      </c>
      <c r="E373" s="4" t="s">
        <v>34</v>
      </c>
      <c r="F373" s="4" t="str">
        <f>VLOOKUP(E373,Productos!$A$2:$D$13,2,TRUE)</f>
        <v>garrafa 3l</v>
      </c>
      <c r="G373" s="4">
        <f>VLOOKUP(E373,Productos!$A$2:$D$13,3,TRUE)</f>
        <v>3.5</v>
      </c>
      <c r="H373" s="4">
        <f>VLOOKUP(E373,Productos!$A$2:$D$13,4,TRUE)</f>
        <v>6.99</v>
      </c>
      <c r="I373" s="4" t="s">
        <v>17</v>
      </c>
      <c r="J373" s="4">
        <v>58</v>
      </c>
      <c r="K373" s="7">
        <v>42501</v>
      </c>
    </row>
    <row r="374" spans="1:11" x14ac:dyDescent="0.25">
      <c r="A374" s="4">
        <v>23634</v>
      </c>
      <c r="B374" s="4" t="s">
        <v>541</v>
      </c>
      <c r="C374" s="4" t="s">
        <v>92</v>
      </c>
      <c r="D374" s="4" t="str">
        <f>VLOOKUP(C374,Países!$A$1:$B$186,2,TRUE)</f>
        <v>Asia</v>
      </c>
      <c r="E374" s="4" t="s">
        <v>58</v>
      </c>
      <c r="F374" s="4" t="str">
        <f>VLOOKUP(E374,Productos!$A$2:$D$13,2,TRUE)</f>
        <v>garrafa 2l</v>
      </c>
      <c r="G374" s="4">
        <f>VLOOKUP(E374,Productos!$A$2:$D$13,3,TRUE)</f>
        <v>2.5</v>
      </c>
      <c r="H374" s="4">
        <f>VLOOKUP(E374,Productos!$A$2:$D$13,4,TRUE)</f>
        <v>4.5</v>
      </c>
      <c r="I374" s="4" t="s">
        <v>17</v>
      </c>
      <c r="J374" s="4">
        <v>60</v>
      </c>
      <c r="K374" s="7">
        <v>42483</v>
      </c>
    </row>
    <row r="375" spans="1:11" x14ac:dyDescent="0.25">
      <c r="A375" s="4">
        <v>23635</v>
      </c>
      <c r="B375" s="4" t="s">
        <v>542</v>
      </c>
      <c r="C375" s="4" t="s">
        <v>83</v>
      </c>
      <c r="D375" s="4" t="str">
        <f>VLOOKUP(C375,Países!$A$1:$B$186,2,TRUE)</f>
        <v>Sub-Saharan Africa</v>
      </c>
      <c r="E375" s="4" t="s">
        <v>9</v>
      </c>
      <c r="F375" s="4" t="str">
        <f>VLOOKUP(E375,Productos!$A$2:$D$13,2,TRUE)</f>
        <v>garrafa 1l</v>
      </c>
      <c r="G375" s="4">
        <f>VLOOKUP(E375,Productos!$A$2:$D$13,3,TRUE)</f>
        <v>1</v>
      </c>
      <c r="H375" s="4">
        <f>VLOOKUP(E375,Productos!$A$2:$D$13,4,TRUE)</f>
        <v>2</v>
      </c>
      <c r="I375" s="4" t="s">
        <v>59</v>
      </c>
      <c r="J375" s="4">
        <v>115</v>
      </c>
      <c r="K375" s="7">
        <v>42503</v>
      </c>
    </row>
    <row r="376" spans="1:11" x14ac:dyDescent="0.25">
      <c r="A376" s="4">
        <v>23636</v>
      </c>
      <c r="B376" s="4" t="s">
        <v>543</v>
      </c>
      <c r="C376" s="4" t="s">
        <v>429</v>
      </c>
      <c r="D376" s="4" t="str">
        <f>VLOOKUP(C376,Países!$A$1:$B$186,2,TRUE)</f>
        <v>Europe</v>
      </c>
      <c r="E376" s="4" t="s">
        <v>26</v>
      </c>
      <c r="F376" s="4" t="str">
        <f>VLOOKUP(E376,Productos!$A$2:$D$13,2,TRUE)</f>
        <v>botellín 200cc</v>
      </c>
      <c r="G376" s="4">
        <f>VLOOKUP(E376,Productos!$A$2:$D$13,3,TRUE)</f>
        <v>1.5</v>
      </c>
      <c r="H376" s="4">
        <f>VLOOKUP(E376,Productos!$A$2:$D$13,4,TRUE)</f>
        <v>3</v>
      </c>
      <c r="I376" s="4" t="s">
        <v>17</v>
      </c>
      <c r="J376" s="4">
        <v>108</v>
      </c>
      <c r="K376" s="7">
        <v>42490</v>
      </c>
    </row>
    <row r="377" spans="1:11" x14ac:dyDescent="0.25">
      <c r="A377" s="4">
        <v>23637</v>
      </c>
      <c r="B377" s="4" t="s">
        <v>544</v>
      </c>
      <c r="C377" s="4" t="s">
        <v>86</v>
      </c>
      <c r="D377" s="4" t="str">
        <f>VLOOKUP(C377,Países!$A$1:$B$186,2,TRUE)</f>
        <v>Australia and Oceania</v>
      </c>
      <c r="E377" s="4" t="s">
        <v>9</v>
      </c>
      <c r="F377" s="4" t="str">
        <f>VLOOKUP(E377,Productos!$A$2:$D$13,2,TRUE)</f>
        <v>garrafa 1l</v>
      </c>
      <c r="G377" s="4">
        <f>VLOOKUP(E377,Productos!$A$2:$D$13,3,TRUE)</f>
        <v>1</v>
      </c>
      <c r="H377" s="4">
        <f>VLOOKUP(E377,Productos!$A$2:$D$13,4,TRUE)</f>
        <v>2</v>
      </c>
      <c r="I377" s="4" t="s">
        <v>10</v>
      </c>
      <c r="J377" s="4">
        <v>63</v>
      </c>
      <c r="K377" s="7">
        <v>42501</v>
      </c>
    </row>
    <row r="378" spans="1:11" x14ac:dyDescent="0.25">
      <c r="A378" s="4">
        <v>23638</v>
      </c>
      <c r="B378" s="4" t="s">
        <v>545</v>
      </c>
      <c r="C378" s="4" t="s">
        <v>220</v>
      </c>
      <c r="D378" s="4" t="str">
        <f>VLOOKUP(C378,Países!$A$1:$B$186,2,TRUE)</f>
        <v>Australia and Oceania</v>
      </c>
      <c r="E378" s="4" t="s">
        <v>13</v>
      </c>
      <c r="F378" s="4" t="str">
        <f>VLOOKUP(E378,Productos!$A$2:$D$13,2,TRUE)</f>
        <v>botella 1l</v>
      </c>
      <c r="G378" s="4">
        <f>VLOOKUP(E378,Productos!$A$2:$D$13,3,TRUE)</f>
        <v>3.5</v>
      </c>
      <c r="H378" s="4">
        <f>VLOOKUP(E378,Productos!$A$2:$D$13,4,TRUE)</f>
        <v>6.5</v>
      </c>
      <c r="I378" s="4" t="s">
        <v>59</v>
      </c>
      <c r="J378" s="4">
        <v>98</v>
      </c>
      <c r="K378" s="7">
        <v>42488</v>
      </c>
    </row>
    <row r="379" spans="1:11" x14ac:dyDescent="0.25">
      <c r="A379" s="4">
        <v>23639</v>
      </c>
      <c r="B379" s="4" t="s">
        <v>546</v>
      </c>
      <c r="C379" s="4" t="s">
        <v>547</v>
      </c>
      <c r="D379" s="4" t="str">
        <f>VLOOKUP(C379,Países!$A$1:$B$186,2,TRUE)</f>
        <v>Sub-Saharan Africa</v>
      </c>
      <c r="E379" s="4" t="s">
        <v>16</v>
      </c>
      <c r="F379" s="4" t="str">
        <f>VLOOKUP(E379,Productos!$A$2:$D$13,2,TRUE)</f>
        <v>botella 5l</v>
      </c>
      <c r="G379" s="4">
        <f>VLOOKUP(E379,Productos!$A$2:$D$13,3,TRUE)</f>
        <v>6</v>
      </c>
      <c r="H379" s="4">
        <f>VLOOKUP(E379,Productos!$A$2:$D$13,4,TRUE)</f>
        <v>9</v>
      </c>
      <c r="I379" s="4" t="s">
        <v>17</v>
      </c>
      <c r="J379" s="4">
        <v>119</v>
      </c>
      <c r="K379" s="7">
        <v>42512</v>
      </c>
    </row>
    <row r="380" spans="1:11" x14ac:dyDescent="0.25">
      <c r="A380" s="4">
        <v>23640</v>
      </c>
      <c r="B380" s="4" t="s">
        <v>548</v>
      </c>
      <c r="C380" s="4" t="s">
        <v>36</v>
      </c>
      <c r="D380" s="4" t="str">
        <f>VLOOKUP(C380,Países!$A$1:$B$186,2,TRUE)</f>
        <v>Sub-Saharan Africa</v>
      </c>
      <c r="E380" s="4" t="s">
        <v>29</v>
      </c>
      <c r="F380" s="4" t="str">
        <f>VLOOKUP(E380,Productos!$A$2:$D$13,2,TRUE)</f>
        <v>botella 0.5l</v>
      </c>
      <c r="G380" s="4">
        <f>VLOOKUP(E380,Productos!$A$2:$D$13,3,TRUE)</f>
        <v>3</v>
      </c>
      <c r="H380" s="4">
        <f>VLOOKUP(E380,Productos!$A$2:$D$13,4,TRUE)</f>
        <v>6</v>
      </c>
      <c r="I380" s="4" t="s">
        <v>17</v>
      </c>
      <c r="J380" s="4">
        <v>90</v>
      </c>
      <c r="K380" s="7">
        <v>42501</v>
      </c>
    </row>
    <row r="381" spans="1:11" x14ac:dyDescent="0.25">
      <c r="A381" s="4">
        <v>23641</v>
      </c>
      <c r="B381" s="4" t="s">
        <v>549</v>
      </c>
      <c r="C381" s="4" t="s">
        <v>384</v>
      </c>
      <c r="D381" s="4" t="str">
        <f>VLOOKUP(C381,Países!$A$1:$B$186,2,TRUE)</f>
        <v>North America</v>
      </c>
      <c r="E381" s="4" t="s">
        <v>16</v>
      </c>
      <c r="F381" s="4" t="str">
        <f>VLOOKUP(E381,Productos!$A$2:$D$13,2,TRUE)</f>
        <v>botella 5l</v>
      </c>
      <c r="G381" s="4">
        <f>VLOOKUP(E381,Productos!$A$2:$D$13,3,TRUE)</f>
        <v>6</v>
      </c>
      <c r="H381" s="4">
        <f>VLOOKUP(E381,Productos!$A$2:$D$13,4,TRUE)</f>
        <v>9</v>
      </c>
      <c r="I381" s="4" t="s">
        <v>10</v>
      </c>
      <c r="J381" s="4">
        <v>11</v>
      </c>
      <c r="K381" s="7">
        <v>42508</v>
      </c>
    </row>
    <row r="382" spans="1:11" x14ac:dyDescent="0.25">
      <c r="A382" s="4">
        <v>23642</v>
      </c>
      <c r="B382" s="4" t="s">
        <v>550</v>
      </c>
      <c r="C382" s="4" t="s">
        <v>551</v>
      </c>
      <c r="D382" s="4" t="str">
        <f>VLOOKUP(C382,Países!$A$1:$B$186,2,TRUE)</f>
        <v>Asia</v>
      </c>
      <c r="E382" s="4" t="s">
        <v>23</v>
      </c>
      <c r="F382" s="4" t="str">
        <f>VLOOKUP(E382,Productos!$A$2:$D$13,2,TRUE)</f>
        <v>botellín 400cc</v>
      </c>
      <c r="G382" s="4">
        <f>VLOOKUP(E382,Productos!$A$2:$D$13,3,TRUE)</f>
        <v>2.2999999999999998</v>
      </c>
      <c r="H382" s="4">
        <f>VLOOKUP(E382,Productos!$A$2:$D$13,4,TRUE)</f>
        <v>4.5</v>
      </c>
      <c r="I382" s="4" t="s">
        <v>17</v>
      </c>
      <c r="J382" s="4">
        <v>152</v>
      </c>
      <c r="K382" s="7">
        <v>42492</v>
      </c>
    </row>
    <row r="383" spans="1:11" x14ac:dyDescent="0.25">
      <c r="A383" s="4">
        <v>23643</v>
      </c>
      <c r="B383" s="4" t="s">
        <v>552</v>
      </c>
      <c r="C383" s="4" t="s">
        <v>31</v>
      </c>
      <c r="D383" s="4" t="str">
        <f>VLOOKUP(C383,Países!$A$1:$B$186,2,TRUE)</f>
        <v>Europe</v>
      </c>
      <c r="E383" s="4" t="s">
        <v>26</v>
      </c>
      <c r="F383" s="4" t="str">
        <f>VLOOKUP(E383,Productos!$A$2:$D$13,2,TRUE)</f>
        <v>botellín 200cc</v>
      </c>
      <c r="G383" s="4">
        <f>VLOOKUP(E383,Productos!$A$2:$D$13,3,TRUE)</f>
        <v>1.5</v>
      </c>
      <c r="H383" s="4">
        <f>VLOOKUP(E383,Productos!$A$2:$D$13,4,TRUE)</f>
        <v>3</v>
      </c>
      <c r="I383" s="4" t="s">
        <v>59</v>
      </c>
      <c r="J383" s="4">
        <v>11</v>
      </c>
      <c r="K383" s="7">
        <v>42479</v>
      </c>
    </row>
    <row r="384" spans="1:11" x14ac:dyDescent="0.25">
      <c r="A384" s="4">
        <v>23644</v>
      </c>
      <c r="B384" s="4" t="s">
        <v>553</v>
      </c>
      <c r="C384" s="4" t="s">
        <v>164</v>
      </c>
      <c r="D384" s="4" t="str">
        <f>VLOOKUP(C384,Países!$A$1:$B$186,2,TRUE)</f>
        <v>Europe</v>
      </c>
      <c r="E384" s="4" t="s">
        <v>26</v>
      </c>
      <c r="F384" s="4" t="str">
        <f>VLOOKUP(E384,Productos!$A$2:$D$13,2,TRUE)</f>
        <v>botellín 200cc</v>
      </c>
      <c r="G384" s="4">
        <f>VLOOKUP(E384,Productos!$A$2:$D$13,3,TRUE)</f>
        <v>1.5</v>
      </c>
      <c r="H384" s="4">
        <f>VLOOKUP(E384,Productos!$A$2:$D$13,4,TRUE)</f>
        <v>3</v>
      </c>
      <c r="I384" s="4" t="s">
        <v>59</v>
      </c>
      <c r="J384" s="4">
        <v>158</v>
      </c>
      <c r="K384" s="7">
        <v>42474</v>
      </c>
    </row>
    <row r="385" spans="1:11" x14ac:dyDescent="0.25">
      <c r="A385" s="4">
        <v>23645</v>
      </c>
      <c r="B385" s="4" t="s">
        <v>554</v>
      </c>
      <c r="C385" s="4" t="s">
        <v>164</v>
      </c>
      <c r="D385" s="4" t="str">
        <f>VLOOKUP(C385,Países!$A$1:$B$186,2,TRUE)</f>
        <v>Europe</v>
      </c>
      <c r="E385" s="4" t="s">
        <v>20</v>
      </c>
      <c r="F385" s="4" t="str">
        <f>VLOOKUP(E385,Productos!$A$2:$D$13,2,TRUE)</f>
        <v>garrafa 4l</v>
      </c>
      <c r="G385" s="4">
        <f>VLOOKUP(E385,Productos!$A$2:$D$13,3,TRUE)</f>
        <v>5</v>
      </c>
      <c r="H385" s="4">
        <f>VLOOKUP(E385,Productos!$A$2:$D$13,4,TRUE)</f>
        <v>9.99</v>
      </c>
      <c r="I385" s="4" t="s">
        <v>17</v>
      </c>
      <c r="J385" s="4">
        <v>1</v>
      </c>
      <c r="K385" s="7">
        <v>42514</v>
      </c>
    </row>
    <row r="386" spans="1:11" x14ac:dyDescent="0.25">
      <c r="A386" s="4">
        <v>23646</v>
      </c>
      <c r="B386" s="4" t="s">
        <v>555</v>
      </c>
      <c r="C386" s="4" t="s">
        <v>196</v>
      </c>
      <c r="D386" s="4" t="str">
        <f>VLOOKUP(C386,Países!$A$1:$B$186,2,TRUE)</f>
        <v>Europe</v>
      </c>
      <c r="E386" s="4" t="s">
        <v>29</v>
      </c>
      <c r="F386" s="4" t="str">
        <f>VLOOKUP(E386,Productos!$A$2:$D$13,2,TRUE)</f>
        <v>botella 0.5l</v>
      </c>
      <c r="G386" s="4">
        <f>VLOOKUP(E386,Productos!$A$2:$D$13,3,TRUE)</f>
        <v>3</v>
      </c>
      <c r="H386" s="4">
        <f>VLOOKUP(E386,Productos!$A$2:$D$13,4,TRUE)</f>
        <v>6</v>
      </c>
      <c r="I386" s="4" t="s">
        <v>10</v>
      </c>
      <c r="J386" s="4">
        <v>131</v>
      </c>
      <c r="K386" s="7">
        <v>42499</v>
      </c>
    </row>
    <row r="387" spans="1:11" x14ac:dyDescent="0.25">
      <c r="A387" s="4">
        <v>23647</v>
      </c>
      <c r="B387" s="4" t="s">
        <v>556</v>
      </c>
      <c r="C387" s="4" t="s">
        <v>557</v>
      </c>
      <c r="D387" s="4" t="str">
        <f>VLOOKUP(C387,Países!$A$1:$B$186,2,TRUE)</f>
        <v>Europe</v>
      </c>
      <c r="E387" s="4" t="s">
        <v>23</v>
      </c>
      <c r="F387" s="4" t="str">
        <f>VLOOKUP(E387,Productos!$A$2:$D$13,2,TRUE)</f>
        <v>botellín 400cc</v>
      </c>
      <c r="G387" s="4">
        <f>VLOOKUP(E387,Productos!$A$2:$D$13,3,TRUE)</f>
        <v>2.2999999999999998</v>
      </c>
      <c r="H387" s="4">
        <f>VLOOKUP(E387,Productos!$A$2:$D$13,4,TRUE)</f>
        <v>4.5</v>
      </c>
      <c r="I387" s="4" t="s">
        <v>17</v>
      </c>
      <c r="J387" s="4">
        <v>148</v>
      </c>
      <c r="K387" s="7">
        <v>42490</v>
      </c>
    </row>
    <row r="388" spans="1:11" x14ac:dyDescent="0.25">
      <c r="A388" s="4">
        <v>23648</v>
      </c>
      <c r="B388" s="4" t="s">
        <v>558</v>
      </c>
      <c r="C388" s="4" t="s">
        <v>352</v>
      </c>
      <c r="D388" s="4" t="str">
        <f>VLOOKUP(C388,Países!$A$1:$B$186,2,TRUE)</f>
        <v>Europe</v>
      </c>
      <c r="E388" s="4" t="s">
        <v>20</v>
      </c>
      <c r="F388" s="4" t="str">
        <f>VLOOKUP(E388,Productos!$A$2:$D$13,2,TRUE)</f>
        <v>garrafa 4l</v>
      </c>
      <c r="G388" s="4">
        <f>VLOOKUP(E388,Productos!$A$2:$D$13,3,TRUE)</f>
        <v>5</v>
      </c>
      <c r="H388" s="4">
        <f>VLOOKUP(E388,Productos!$A$2:$D$13,4,TRUE)</f>
        <v>9.99</v>
      </c>
      <c r="I388" s="4" t="s">
        <v>17</v>
      </c>
      <c r="J388" s="4">
        <v>153</v>
      </c>
      <c r="K388" s="7">
        <v>42501</v>
      </c>
    </row>
    <row r="389" spans="1:11" x14ac:dyDescent="0.25">
      <c r="A389" s="4">
        <v>23649</v>
      </c>
      <c r="B389" s="4" t="s">
        <v>559</v>
      </c>
      <c r="C389" s="4" t="s">
        <v>560</v>
      </c>
      <c r="D389" s="4" t="str">
        <f>VLOOKUP(C389,Países!$A$1:$B$186,2,TRUE)</f>
        <v>Sub-Saharan Africa</v>
      </c>
      <c r="E389" s="4" t="s">
        <v>34</v>
      </c>
      <c r="F389" s="4" t="str">
        <f>VLOOKUP(E389,Productos!$A$2:$D$13,2,TRUE)</f>
        <v>garrafa 3l</v>
      </c>
      <c r="G389" s="4">
        <f>VLOOKUP(E389,Productos!$A$2:$D$13,3,TRUE)</f>
        <v>3.5</v>
      </c>
      <c r="H389" s="4">
        <f>VLOOKUP(E389,Productos!$A$2:$D$13,4,TRUE)</f>
        <v>6.99</v>
      </c>
      <c r="I389" s="4" t="s">
        <v>17</v>
      </c>
      <c r="J389" s="4">
        <v>125</v>
      </c>
      <c r="K389" s="7">
        <v>42483</v>
      </c>
    </row>
    <row r="390" spans="1:11" x14ac:dyDescent="0.25">
      <c r="A390" s="4">
        <v>23650</v>
      </c>
      <c r="B390" s="4" t="s">
        <v>561</v>
      </c>
      <c r="C390" s="4" t="s">
        <v>196</v>
      </c>
      <c r="D390" s="4" t="str">
        <f>VLOOKUP(C390,Países!$A$1:$B$186,2,TRUE)</f>
        <v>Europe</v>
      </c>
      <c r="E390" s="4" t="s">
        <v>9</v>
      </c>
      <c r="F390" s="4" t="str">
        <f>VLOOKUP(E390,Productos!$A$2:$D$13,2,TRUE)</f>
        <v>garrafa 1l</v>
      </c>
      <c r="G390" s="4">
        <f>VLOOKUP(E390,Productos!$A$2:$D$13,3,TRUE)</f>
        <v>1</v>
      </c>
      <c r="H390" s="4">
        <f>VLOOKUP(E390,Productos!$A$2:$D$13,4,TRUE)</f>
        <v>2</v>
      </c>
      <c r="I390" s="4" t="s">
        <v>17</v>
      </c>
      <c r="J390" s="4">
        <v>162</v>
      </c>
      <c r="K390" s="7">
        <v>42483</v>
      </c>
    </row>
    <row r="391" spans="1:11" x14ac:dyDescent="0.25">
      <c r="A391" s="4">
        <v>23651</v>
      </c>
      <c r="B391" s="4" t="s">
        <v>562</v>
      </c>
      <c r="C391" s="4" t="s">
        <v>57</v>
      </c>
      <c r="D391" s="4" t="str">
        <f>VLOOKUP(C391,Países!$A$1:$B$186,2,TRUE)</f>
        <v>Sub-Saharan Africa</v>
      </c>
      <c r="E391" s="4" t="s">
        <v>13</v>
      </c>
      <c r="F391" s="4" t="str">
        <f>VLOOKUP(E391,Productos!$A$2:$D$13,2,TRUE)</f>
        <v>botella 1l</v>
      </c>
      <c r="G391" s="4">
        <f>VLOOKUP(E391,Productos!$A$2:$D$13,3,TRUE)</f>
        <v>3.5</v>
      </c>
      <c r="H391" s="4">
        <f>VLOOKUP(E391,Productos!$A$2:$D$13,4,TRUE)</f>
        <v>6.5</v>
      </c>
      <c r="I391" s="4" t="s">
        <v>17</v>
      </c>
      <c r="J391" s="4">
        <v>108</v>
      </c>
      <c r="K391" s="7">
        <v>42486</v>
      </c>
    </row>
    <row r="392" spans="1:11" x14ac:dyDescent="0.25">
      <c r="A392" s="4">
        <v>23652</v>
      </c>
      <c r="B392" s="4" t="s">
        <v>563</v>
      </c>
      <c r="C392" s="4" t="s">
        <v>129</v>
      </c>
      <c r="D392" s="4" t="str">
        <f>VLOOKUP(C392,Países!$A$1:$B$186,2,TRUE)</f>
        <v>Central America and the Caribbean</v>
      </c>
      <c r="E392" s="4" t="s">
        <v>9</v>
      </c>
      <c r="F392" s="4" t="str">
        <f>VLOOKUP(E392,Productos!$A$2:$D$13,2,TRUE)</f>
        <v>garrafa 1l</v>
      </c>
      <c r="G392" s="4">
        <f>VLOOKUP(E392,Productos!$A$2:$D$13,3,TRUE)</f>
        <v>1</v>
      </c>
      <c r="H392" s="4">
        <f>VLOOKUP(E392,Productos!$A$2:$D$13,4,TRUE)</f>
        <v>2</v>
      </c>
      <c r="I392" s="4" t="s">
        <v>10</v>
      </c>
      <c r="J392" s="4">
        <v>191</v>
      </c>
      <c r="K392" s="7">
        <v>42462</v>
      </c>
    </row>
    <row r="393" spans="1:11" x14ac:dyDescent="0.25">
      <c r="A393" s="4">
        <v>23653</v>
      </c>
      <c r="B393" s="4" t="s">
        <v>564</v>
      </c>
      <c r="C393" s="4" t="s">
        <v>12</v>
      </c>
      <c r="D393" s="4" t="str">
        <f>VLOOKUP(C393,Países!$A$1:$B$186,2,TRUE)</f>
        <v>Central America and the Caribbean</v>
      </c>
      <c r="E393" s="4" t="s">
        <v>23</v>
      </c>
      <c r="F393" s="4" t="str">
        <f>VLOOKUP(E393,Productos!$A$2:$D$13,2,TRUE)</f>
        <v>botellín 400cc</v>
      </c>
      <c r="G393" s="4">
        <f>VLOOKUP(E393,Productos!$A$2:$D$13,3,TRUE)</f>
        <v>2.2999999999999998</v>
      </c>
      <c r="H393" s="4">
        <f>VLOOKUP(E393,Productos!$A$2:$D$13,4,TRUE)</f>
        <v>4.5</v>
      </c>
      <c r="I393" s="4" t="s">
        <v>17</v>
      </c>
      <c r="J393" s="4">
        <v>165</v>
      </c>
      <c r="K393" s="7">
        <v>42507</v>
      </c>
    </row>
    <row r="394" spans="1:11" x14ac:dyDescent="0.25">
      <c r="A394" s="4">
        <v>23654</v>
      </c>
      <c r="B394" s="4" t="s">
        <v>565</v>
      </c>
      <c r="C394" s="4" t="s">
        <v>566</v>
      </c>
      <c r="D394" s="4" t="str">
        <f>VLOOKUP(C394,Países!$A$1:$B$186,2,TRUE)</f>
        <v>Asia</v>
      </c>
      <c r="E394" s="4" t="s">
        <v>26</v>
      </c>
      <c r="F394" s="4" t="str">
        <f>VLOOKUP(E394,Productos!$A$2:$D$13,2,TRUE)</f>
        <v>botellín 200cc</v>
      </c>
      <c r="G394" s="4">
        <f>VLOOKUP(E394,Productos!$A$2:$D$13,3,TRUE)</f>
        <v>1.5</v>
      </c>
      <c r="H394" s="4">
        <f>VLOOKUP(E394,Productos!$A$2:$D$13,4,TRUE)</f>
        <v>3</v>
      </c>
      <c r="I394" s="4" t="s">
        <v>17</v>
      </c>
      <c r="J394" s="4">
        <v>128</v>
      </c>
      <c r="K394" s="7">
        <v>42471</v>
      </c>
    </row>
    <row r="395" spans="1:11" x14ac:dyDescent="0.25">
      <c r="A395" s="4">
        <v>23655</v>
      </c>
      <c r="B395" s="4" t="s">
        <v>567</v>
      </c>
      <c r="C395" s="4" t="s">
        <v>129</v>
      </c>
      <c r="D395" s="4" t="str">
        <f>VLOOKUP(C395,Países!$A$1:$B$186,2,TRUE)</f>
        <v>Central America and the Caribbean</v>
      </c>
      <c r="E395" s="4" t="s">
        <v>23</v>
      </c>
      <c r="F395" s="4" t="str">
        <f>VLOOKUP(E395,Productos!$A$2:$D$13,2,TRUE)</f>
        <v>botellín 400cc</v>
      </c>
      <c r="G395" s="4">
        <f>VLOOKUP(E395,Productos!$A$2:$D$13,3,TRUE)</f>
        <v>2.2999999999999998</v>
      </c>
      <c r="H395" s="4">
        <f>VLOOKUP(E395,Productos!$A$2:$D$13,4,TRUE)</f>
        <v>4.5</v>
      </c>
      <c r="I395" s="4" t="s">
        <v>10</v>
      </c>
      <c r="J395" s="4">
        <v>146</v>
      </c>
      <c r="K395" s="7">
        <v>42513</v>
      </c>
    </row>
    <row r="396" spans="1:11" x14ac:dyDescent="0.25">
      <c r="A396" s="4">
        <v>23656</v>
      </c>
      <c r="B396" s="4" t="s">
        <v>568</v>
      </c>
      <c r="C396" s="4" t="s">
        <v>248</v>
      </c>
      <c r="D396" s="4" t="str">
        <f>VLOOKUP(C396,Países!$A$1:$B$186,2,TRUE)</f>
        <v>Europe</v>
      </c>
      <c r="E396" s="4" t="s">
        <v>51</v>
      </c>
      <c r="F396" s="4" t="str">
        <f>VLOOKUP(E396,Productos!$A$2:$D$13,2,TRUE)</f>
        <v>garrafa 8l</v>
      </c>
      <c r="G396" s="4">
        <f>VLOOKUP(E396,Productos!$A$2:$D$13,3,TRUE)</f>
        <v>8</v>
      </c>
      <c r="H396" s="4">
        <f>VLOOKUP(E396,Productos!$A$2:$D$13,4,TRUE)</f>
        <v>14.5</v>
      </c>
      <c r="I396" s="4" t="s">
        <v>17</v>
      </c>
      <c r="J396" s="4">
        <v>206</v>
      </c>
      <c r="K396" s="7">
        <v>42508</v>
      </c>
    </row>
    <row r="397" spans="1:11" x14ac:dyDescent="0.25">
      <c r="A397" s="4">
        <v>23657</v>
      </c>
      <c r="B397" s="4" t="s">
        <v>569</v>
      </c>
      <c r="C397" s="4" t="s">
        <v>352</v>
      </c>
      <c r="D397" s="4" t="str">
        <f>VLOOKUP(C397,Países!$A$1:$B$186,2,TRUE)</f>
        <v>Europe</v>
      </c>
      <c r="E397" s="4" t="s">
        <v>23</v>
      </c>
      <c r="F397" s="4" t="str">
        <f>VLOOKUP(E397,Productos!$A$2:$D$13,2,TRUE)</f>
        <v>botellín 400cc</v>
      </c>
      <c r="G397" s="4">
        <f>VLOOKUP(E397,Productos!$A$2:$D$13,3,TRUE)</f>
        <v>2.2999999999999998</v>
      </c>
      <c r="H397" s="4">
        <f>VLOOKUP(E397,Productos!$A$2:$D$13,4,TRUE)</f>
        <v>4.5</v>
      </c>
      <c r="I397" s="4" t="s">
        <v>59</v>
      </c>
      <c r="J397" s="4">
        <v>196</v>
      </c>
      <c r="K397" s="7">
        <v>42462</v>
      </c>
    </row>
    <row r="398" spans="1:11" x14ac:dyDescent="0.25">
      <c r="A398" s="4">
        <v>23658</v>
      </c>
      <c r="B398" s="4" t="s">
        <v>570</v>
      </c>
      <c r="C398" s="4" t="s">
        <v>403</v>
      </c>
      <c r="D398" s="4" t="str">
        <f>VLOOKUP(C398,Países!$A$1:$B$186,2,TRUE)</f>
        <v>Central America and the Caribbean</v>
      </c>
      <c r="E398" s="4" t="s">
        <v>58</v>
      </c>
      <c r="F398" s="4" t="str">
        <f>VLOOKUP(E398,Productos!$A$2:$D$13,2,TRUE)</f>
        <v>garrafa 2l</v>
      </c>
      <c r="G398" s="4">
        <f>VLOOKUP(E398,Productos!$A$2:$D$13,3,TRUE)</f>
        <v>2.5</v>
      </c>
      <c r="H398" s="4">
        <f>VLOOKUP(E398,Productos!$A$2:$D$13,4,TRUE)</f>
        <v>4.5</v>
      </c>
      <c r="I398" s="4" t="s">
        <v>17</v>
      </c>
      <c r="J398" s="4">
        <v>88</v>
      </c>
      <c r="K398" s="7">
        <v>42505</v>
      </c>
    </row>
    <row r="399" spans="1:11" x14ac:dyDescent="0.25">
      <c r="A399" s="4">
        <v>23659</v>
      </c>
      <c r="B399" s="4" t="s">
        <v>571</v>
      </c>
      <c r="C399" s="4" t="s">
        <v>472</v>
      </c>
      <c r="D399" s="4" t="str">
        <f>VLOOKUP(C399,Países!$A$1:$B$186,2,TRUE)</f>
        <v>Sub-Saharan Africa</v>
      </c>
      <c r="E399" s="4" t="s">
        <v>46</v>
      </c>
      <c r="F399" s="4" t="str">
        <f>VLOOKUP(E399,Productos!$A$2:$D$13,2,TRUE)</f>
        <v>botellín 500cc</v>
      </c>
      <c r="G399" s="4">
        <f>VLOOKUP(E399,Productos!$A$2:$D$13,3,TRUE)</f>
        <v>3.5</v>
      </c>
      <c r="H399" s="4">
        <f>VLOOKUP(E399,Productos!$A$2:$D$13,4,TRUE)</f>
        <v>6.5</v>
      </c>
      <c r="I399" s="4" t="s">
        <v>10</v>
      </c>
      <c r="J399" s="4">
        <v>209</v>
      </c>
      <c r="K399" s="7">
        <v>42466</v>
      </c>
    </row>
    <row r="400" spans="1:11" x14ac:dyDescent="0.25">
      <c r="A400" s="4">
        <v>23660</v>
      </c>
      <c r="B400" s="4" t="s">
        <v>572</v>
      </c>
      <c r="C400" s="4" t="s">
        <v>566</v>
      </c>
      <c r="D400" s="4" t="str">
        <f>VLOOKUP(C400,Países!$A$1:$B$186,2,TRUE)</f>
        <v>Asia</v>
      </c>
      <c r="E400" s="4" t="s">
        <v>46</v>
      </c>
      <c r="F400" s="4" t="str">
        <f>VLOOKUP(E400,Productos!$A$2:$D$13,2,TRUE)</f>
        <v>botellín 500cc</v>
      </c>
      <c r="G400" s="4">
        <f>VLOOKUP(E400,Productos!$A$2:$D$13,3,TRUE)</f>
        <v>3.5</v>
      </c>
      <c r="H400" s="4">
        <f>VLOOKUP(E400,Productos!$A$2:$D$13,4,TRUE)</f>
        <v>6.5</v>
      </c>
      <c r="I400" s="4" t="s">
        <v>17</v>
      </c>
      <c r="J400" s="4">
        <v>189</v>
      </c>
      <c r="K400" s="7">
        <v>42498</v>
      </c>
    </row>
    <row r="401" spans="1:11" x14ac:dyDescent="0.25">
      <c r="A401" s="4">
        <v>23661</v>
      </c>
      <c r="B401" s="4" t="s">
        <v>573</v>
      </c>
      <c r="C401" s="4" t="s">
        <v>108</v>
      </c>
      <c r="D401" s="4" t="str">
        <f>VLOOKUP(C401,Países!$A$1:$B$186,2,TRUE)</f>
        <v>Sub-Saharan Africa</v>
      </c>
      <c r="E401" s="4" t="s">
        <v>26</v>
      </c>
      <c r="F401" s="4" t="str">
        <f>VLOOKUP(E401,Productos!$A$2:$D$13,2,TRUE)</f>
        <v>botellín 200cc</v>
      </c>
      <c r="G401" s="4">
        <f>VLOOKUP(E401,Productos!$A$2:$D$13,3,TRUE)</f>
        <v>1.5</v>
      </c>
      <c r="H401" s="4">
        <f>VLOOKUP(E401,Productos!$A$2:$D$13,4,TRUE)</f>
        <v>3</v>
      </c>
      <c r="I401" s="4" t="s">
        <v>10</v>
      </c>
      <c r="J401" s="4">
        <v>77</v>
      </c>
      <c r="K401" s="7">
        <v>42453</v>
      </c>
    </row>
    <row r="402" spans="1:11" x14ac:dyDescent="0.25">
      <c r="A402" s="4">
        <v>23662</v>
      </c>
      <c r="B402" s="4" t="s">
        <v>574</v>
      </c>
      <c r="C402" s="4" t="s">
        <v>341</v>
      </c>
      <c r="D402" s="4" t="str">
        <f>VLOOKUP(C402,Países!$A$1:$B$186,2,TRUE)</f>
        <v>Sub-Saharan Africa</v>
      </c>
      <c r="E402" s="4" t="s">
        <v>20</v>
      </c>
      <c r="F402" s="4" t="str">
        <f>VLOOKUP(E402,Productos!$A$2:$D$13,2,TRUE)</f>
        <v>garrafa 4l</v>
      </c>
      <c r="G402" s="4">
        <f>VLOOKUP(E402,Productos!$A$2:$D$13,3,TRUE)</f>
        <v>5</v>
      </c>
      <c r="H402" s="4">
        <f>VLOOKUP(E402,Productos!$A$2:$D$13,4,TRUE)</f>
        <v>9.99</v>
      </c>
      <c r="I402" s="4" t="s">
        <v>59</v>
      </c>
      <c r="J402" s="4">
        <v>163</v>
      </c>
      <c r="K402" s="7">
        <v>42392</v>
      </c>
    </row>
    <row r="403" spans="1:11" x14ac:dyDescent="0.25">
      <c r="A403" s="4">
        <v>23663</v>
      </c>
      <c r="B403" s="4" t="s">
        <v>575</v>
      </c>
      <c r="C403" s="4" t="s">
        <v>97</v>
      </c>
      <c r="D403" s="4" t="str">
        <f>VLOOKUP(C403,Países!$A$1:$B$186,2,TRUE)</f>
        <v>Sub-Saharan Africa</v>
      </c>
      <c r="E403" s="4" t="s">
        <v>26</v>
      </c>
      <c r="F403" s="4" t="str">
        <f>VLOOKUP(E403,Productos!$A$2:$D$13,2,TRUE)</f>
        <v>botellín 200cc</v>
      </c>
      <c r="G403" s="4">
        <f>VLOOKUP(E403,Productos!$A$2:$D$13,3,TRUE)</f>
        <v>1.5</v>
      </c>
      <c r="H403" s="4">
        <f>VLOOKUP(E403,Productos!$A$2:$D$13,4,TRUE)</f>
        <v>3</v>
      </c>
      <c r="I403" s="4" t="s">
        <v>10</v>
      </c>
      <c r="J403" s="4">
        <v>99</v>
      </c>
      <c r="K403" s="7">
        <v>42447</v>
      </c>
    </row>
    <row r="404" spans="1:11" x14ac:dyDescent="0.25">
      <c r="A404" s="4">
        <v>23664</v>
      </c>
      <c r="B404" s="4" t="s">
        <v>576</v>
      </c>
      <c r="C404" s="4" t="s">
        <v>316</v>
      </c>
      <c r="D404" s="4" t="str">
        <f>VLOOKUP(C404,Países!$A$1:$B$186,2,TRUE)</f>
        <v>Australia and Oceania</v>
      </c>
      <c r="E404" s="4" t="s">
        <v>9</v>
      </c>
      <c r="F404" s="4" t="str">
        <f>VLOOKUP(E404,Productos!$A$2:$D$13,2,TRUE)</f>
        <v>garrafa 1l</v>
      </c>
      <c r="G404" s="4">
        <f>VLOOKUP(E404,Productos!$A$2:$D$13,3,TRUE)</f>
        <v>1</v>
      </c>
      <c r="H404" s="4">
        <f>VLOOKUP(E404,Productos!$A$2:$D$13,4,TRUE)</f>
        <v>2</v>
      </c>
      <c r="I404" s="4" t="s">
        <v>10</v>
      </c>
      <c r="J404" s="4">
        <v>180</v>
      </c>
      <c r="K404" s="7">
        <v>42385</v>
      </c>
    </row>
    <row r="405" spans="1:11" x14ac:dyDescent="0.25">
      <c r="A405" s="4">
        <v>23665</v>
      </c>
      <c r="B405" s="4" t="s">
        <v>577</v>
      </c>
      <c r="C405" s="4" t="s">
        <v>12</v>
      </c>
      <c r="D405" s="4" t="str">
        <f>VLOOKUP(C405,Países!$A$1:$B$186,2,TRUE)</f>
        <v>Central America and the Caribbean</v>
      </c>
      <c r="E405" s="4" t="s">
        <v>9</v>
      </c>
      <c r="F405" s="4" t="str">
        <f>VLOOKUP(E405,Productos!$A$2:$D$13,2,TRUE)</f>
        <v>garrafa 1l</v>
      </c>
      <c r="G405" s="4">
        <f>VLOOKUP(E405,Productos!$A$2:$D$13,3,TRUE)</f>
        <v>1</v>
      </c>
      <c r="H405" s="4">
        <f>VLOOKUP(E405,Productos!$A$2:$D$13,4,TRUE)</f>
        <v>2</v>
      </c>
      <c r="I405" s="4" t="s">
        <v>17</v>
      </c>
      <c r="J405" s="4">
        <v>106</v>
      </c>
      <c r="K405" s="7">
        <v>42437</v>
      </c>
    </row>
    <row r="406" spans="1:11" x14ac:dyDescent="0.25">
      <c r="A406" s="4">
        <v>23666</v>
      </c>
      <c r="B406" s="4" t="s">
        <v>578</v>
      </c>
      <c r="C406" s="4" t="s">
        <v>579</v>
      </c>
      <c r="D406" s="4" t="str">
        <f>VLOOKUP(C406,Países!$A$1:$B$186,2,TRUE)</f>
        <v>Asia</v>
      </c>
      <c r="E406" s="4" t="s">
        <v>51</v>
      </c>
      <c r="F406" s="4" t="str">
        <f>VLOOKUP(E406,Productos!$A$2:$D$13,2,TRUE)</f>
        <v>garrafa 8l</v>
      </c>
      <c r="G406" s="4">
        <f>VLOOKUP(E406,Productos!$A$2:$D$13,3,TRUE)</f>
        <v>8</v>
      </c>
      <c r="H406" s="4">
        <f>VLOOKUP(E406,Productos!$A$2:$D$13,4,TRUE)</f>
        <v>14.5</v>
      </c>
      <c r="I406" s="4" t="s">
        <v>10</v>
      </c>
      <c r="J406" s="4">
        <v>165</v>
      </c>
      <c r="K406" s="7">
        <v>42424</v>
      </c>
    </row>
    <row r="407" spans="1:11" x14ac:dyDescent="0.25">
      <c r="A407" s="4">
        <v>23667</v>
      </c>
      <c r="B407" s="4" t="s">
        <v>580</v>
      </c>
      <c r="C407" s="4" t="s">
        <v>244</v>
      </c>
      <c r="D407" s="4" t="str">
        <f>VLOOKUP(C407,Países!$A$1:$B$186,2,TRUE)</f>
        <v>Europe</v>
      </c>
      <c r="E407" s="4" t="s">
        <v>26</v>
      </c>
      <c r="F407" s="4" t="str">
        <f>VLOOKUP(E407,Productos!$A$2:$D$13,2,TRUE)</f>
        <v>botellín 200cc</v>
      </c>
      <c r="G407" s="4">
        <f>VLOOKUP(E407,Productos!$A$2:$D$13,3,TRUE)</f>
        <v>1.5</v>
      </c>
      <c r="H407" s="4">
        <f>VLOOKUP(E407,Productos!$A$2:$D$13,4,TRUE)</f>
        <v>3</v>
      </c>
      <c r="I407" s="4" t="s">
        <v>59</v>
      </c>
      <c r="J407" s="4">
        <v>12</v>
      </c>
      <c r="K407" s="7">
        <v>42452</v>
      </c>
    </row>
    <row r="408" spans="1:11" x14ac:dyDescent="0.25">
      <c r="A408" s="4">
        <v>23668</v>
      </c>
      <c r="B408" s="4" t="s">
        <v>581</v>
      </c>
      <c r="C408" s="4" t="s">
        <v>507</v>
      </c>
      <c r="D408" s="4" t="str">
        <f>VLOOKUP(C408,Países!$A$1:$B$186,2,TRUE)</f>
        <v>Middle East and North Africa</v>
      </c>
      <c r="E408" s="4" t="s">
        <v>23</v>
      </c>
      <c r="F408" s="4" t="str">
        <f>VLOOKUP(E408,Productos!$A$2:$D$13,2,TRUE)</f>
        <v>botellín 400cc</v>
      </c>
      <c r="G408" s="4">
        <f>VLOOKUP(E408,Productos!$A$2:$D$13,3,TRUE)</f>
        <v>2.2999999999999998</v>
      </c>
      <c r="H408" s="4">
        <f>VLOOKUP(E408,Productos!$A$2:$D$13,4,TRUE)</f>
        <v>4.5</v>
      </c>
      <c r="I408" s="4" t="s">
        <v>10</v>
      </c>
      <c r="J408" s="4">
        <v>37</v>
      </c>
      <c r="K408" s="7">
        <v>42371</v>
      </c>
    </row>
    <row r="409" spans="1:11" x14ac:dyDescent="0.25">
      <c r="A409" s="4">
        <v>23669</v>
      </c>
      <c r="B409" s="4" t="s">
        <v>582</v>
      </c>
      <c r="C409" s="4" t="s">
        <v>583</v>
      </c>
      <c r="D409" s="4" t="str">
        <f>VLOOKUP(C409,Países!$A$1:$B$186,2,TRUE)</f>
        <v>North America</v>
      </c>
      <c r="E409" s="4" t="s">
        <v>23</v>
      </c>
      <c r="F409" s="4" t="str">
        <f>VLOOKUP(E409,Productos!$A$2:$D$13,2,TRUE)</f>
        <v>botellín 400cc</v>
      </c>
      <c r="G409" s="4">
        <f>VLOOKUP(E409,Productos!$A$2:$D$13,3,TRUE)</f>
        <v>2.2999999999999998</v>
      </c>
      <c r="H409" s="4">
        <f>VLOOKUP(E409,Productos!$A$2:$D$13,4,TRUE)</f>
        <v>4.5</v>
      </c>
      <c r="I409" s="4" t="s">
        <v>17</v>
      </c>
      <c r="J409" s="4">
        <v>28</v>
      </c>
      <c r="K409" s="7">
        <v>42455</v>
      </c>
    </row>
    <row r="410" spans="1:11" x14ac:dyDescent="0.25">
      <c r="A410" s="4">
        <v>23670</v>
      </c>
      <c r="B410" s="4" t="s">
        <v>584</v>
      </c>
      <c r="C410" s="4" t="s">
        <v>108</v>
      </c>
      <c r="D410" s="4" t="str">
        <f>VLOOKUP(C410,Países!$A$1:$B$186,2,TRUE)</f>
        <v>Sub-Saharan Africa</v>
      </c>
      <c r="E410" s="4" t="s">
        <v>46</v>
      </c>
      <c r="F410" s="4" t="str">
        <f>VLOOKUP(E410,Productos!$A$2:$D$13,2,TRUE)</f>
        <v>botellín 500cc</v>
      </c>
      <c r="G410" s="4">
        <f>VLOOKUP(E410,Productos!$A$2:$D$13,3,TRUE)</f>
        <v>3.5</v>
      </c>
      <c r="H410" s="4">
        <f>VLOOKUP(E410,Productos!$A$2:$D$13,4,TRUE)</f>
        <v>6.5</v>
      </c>
      <c r="I410" s="4" t="s">
        <v>59</v>
      </c>
      <c r="J410" s="4">
        <v>18</v>
      </c>
      <c r="K410" s="7">
        <v>42418</v>
      </c>
    </row>
    <row r="411" spans="1:11" x14ac:dyDescent="0.25">
      <c r="A411" s="4">
        <v>23671</v>
      </c>
      <c r="B411" s="4" t="s">
        <v>585</v>
      </c>
      <c r="C411" s="4" t="s">
        <v>25</v>
      </c>
      <c r="D411" s="4" t="str">
        <f>VLOOKUP(C411,Países!$A$1:$B$186,2,TRUE)</f>
        <v>Middle East and North Africa</v>
      </c>
      <c r="E411" s="4" t="s">
        <v>20</v>
      </c>
      <c r="F411" s="4" t="str">
        <f>VLOOKUP(E411,Productos!$A$2:$D$13,2,TRUE)</f>
        <v>garrafa 4l</v>
      </c>
      <c r="G411" s="4">
        <f>VLOOKUP(E411,Productos!$A$2:$D$13,3,TRUE)</f>
        <v>5</v>
      </c>
      <c r="H411" s="4">
        <f>VLOOKUP(E411,Productos!$A$2:$D$13,4,TRUE)</f>
        <v>9.99</v>
      </c>
      <c r="I411" s="4" t="s">
        <v>17</v>
      </c>
      <c r="J411" s="4">
        <v>99</v>
      </c>
      <c r="K411" s="7">
        <v>42447</v>
      </c>
    </row>
    <row r="412" spans="1:11" x14ac:dyDescent="0.25">
      <c r="A412" s="4">
        <v>23672</v>
      </c>
      <c r="B412" s="4" t="s">
        <v>586</v>
      </c>
      <c r="C412" s="4" t="s">
        <v>63</v>
      </c>
      <c r="D412" s="4" t="str">
        <f>VLOOKUP(C412,Países!$A$1:$B$186,2,TRUE)</f>
        <v>Australia and Oceania</v>
      </c>
      <c r="E412" s="4" t="s">
        <v>58</v>
      </c>
      <c r="F412" s="4" t="str">
        <f>VLOOKUP(E412,Productos!$A$2:$D$13,2,TRUE)</f>
        <v>garrafa 2l</v>
      </c>
      <c r="G412" s="4">
        <f>VLOOKUP(E412,Productos!$A$2:$D$13,3,TRUE)</f>
        <v>2.5</v>
      </c>
      <c r="H412" s="4">
        <f>VLOOKUP(E412,Productos!$A$2:$D$13,4,TRUE)</f>
        <v>4.5</v>
      </c>
      <c r="I412" s="4" t="s">
        <v>17</v>
      </c>
      <c r="J412" s="4">
        <v>132</v>
      </c>
      <c r="K412" s="7">
        <v>42378</v>
      </c>
    </row>
    <row r="413" spans="1:11" x14ac:dyDescent="0.25">
      <c r="A413" s="4">
        <v>23673</v>
      </c>
      <c r="B413" s="4" t="s">
        <v>587</v>
      </c>
      <c r="C413" s="4" t="s">
        <v>252</v>
      </c>
      <c r="D413" s="4" t="str">
        <f>VLOOKUP(C413,Países!$A$1:$B$186,2,TRUE)</f>
        <v>Europe</v>
      </c>
      <c r="E413" s="4" t="s">
        <v>26</v>
      </c>
      <c r="F413" s="4" t="str">
        <f>VLOOKUP(E413,Productos!$A$2:$D$13,2,TRUE)</f>
        <v>botellín 200cc</v>
      </c>
      <c r="G413" s="4">
        <f>VLOOKUP(E413,Productos!$A$2:$D$13,3,TRUE)</f>
        <v>1.5</v>
      </c>
      <c r="H413" s="4">
        <f>VLOOKUP(E413,Productos!$A$2:$D$13,4,TRUE)</f>
        <v>3</v>
      </c>
      <c r="I413" s="4" t="s">
        <v>10</v>
      </c>
      <c r="J413" s="4">
        <v>95</v>
      </c>
      <c r="K413" s="7">
        <v>42407</v>
      </c>
    </row>
    <row r="414" spans="1:11" x14ac:dyDescent="0.25">
      <c r="A414" s="4">
        <v>23674</v>
      </c>
      <c r="B414" s="4" t="s">
        <v>588</v>
      </c>
      <c r="C414" s="4" t="s">
        <v>560</v>
      </c>
      <c r="D414" s="4" t="str">
        <f>VLOOKUP(C414,Países!$A$1:$B$186,2,TRUE)</f>
        <v>Sub-Saharan Africa</v>
      </c>
      <c r="E414" s="4" t="s">
        <v>58</v>
      </c>
      <c r="F414" s="4" t="str">
        <f>VLOOKUP(E414,Productos!$A$2:$D$13,2,TRUE)</f>
        <v>garrafa 2l</v>
      </c>
      <c r="G414" s="4">
        <f>VLOOKUP(E414,Productos!$A$2:$D$13,3,TRUE)</f>
        <v>2.5</v>
      </c>
      <c r="H414" s="4">
        <f>VLOOKUP(E414,Productos!$A$2:$D$13,4,TRUE)</f>
        <v>4.5</v>
      </c>
      <c r="I414" s="4" t="s">
        <v>17</v>
      </c>
      <c r="J414" s="4">
        <v>120</v>
      </c>
      <c r="K414" s="7">
        <v>42435</v>
      </c>
    </row>
    <row r="415" spans="1:11" x14ac:dyDescent="0.25">
      <c r="A415" s="4">
        <v>23675</v>
      </c>
      <c r="B415" s="4" t="s">
        <v>589</v>
      </c>
      <c r="C415" s="4" t="s">
        <v>397</v>
      </c>
      <c r="D415" s="4" t="str">
        <f>VLOOKUP(C415,Países!$A$1:$B$186,2,TRUE)</f>
        <v>Sub-Saharan Africa</v>
      </c>
      <c r="E415" s="4" t="s">
        <v>51</v>
      </c>
      <c r="F415" s="4" t="str">
        <f>VLOOKUP(E415,Productos!$A$2:$D$13,2,TRUE)</f>
        <v>garrafa 8l</v>
      </c>
      <c r="G415" s="4">
        <f>VLOOKUP(E415,Productos!$A$2:$D$13,3,TRUE)</f>
        <v>8</v>
      </c>
      <c r="H415" s="4">
        <f>VLOOKUP(E415,Productos!$A$2:$D$13,4,TRUE)</f>
        <v>14.5</v>
      </c>
      <c r="I415" s="4" t="s">
        <v>17</v>
      </c>
      <c r="J415" s="4">
        <v>36</v>
      </c>
      <c r="K415" s="7">
        <v>42419</v>
      </c>
    </row>
    <row r="416" spans="1:11" x14ac:dyDescent="0.25">
      <c r="A416" s="4">
        <v>23676</v>
      </c>
      <c r="B416" s="4" t="s">
        <v>590</v>
      </c>
      <c r="C416" s="4" t="s">
        <v>97</v>
      </c>
      <c r="D416" s="4" t="str">
        <f>VLOOKUP(C416,Países!$A$1:$B$186,2,TRUE)</f>
        <v>Sub-Saharan Africa</v>
      </c>
      <c r="E416" s="4" t="s">
        <v>23</v>
      </c>
      <c r="F416" s="4" t="str">
        <f>VLOOKUP(E416,Productos!$A$2:$D$13,2,TRUE)</f>
        <v>botellín 400cc</v>
      </c>
      <c r="G416" s="4">
        <f>VLOOKUP(E416,Productos!$A$2:$D$13,3,TRUE)</f>
        <v>2.2999999999999998</v>
      </c>
      <c r="H416" s="4">
        <f>VLOOKUP(E416,Productos!$A$2:$D$13,4,TRUE)</f>
        <v>4.5</v>
      </c>
      <c r="I416" s="4" t="s">
        <v>10</v>
      </c>
      <c r="J416" s="4">
        <v>86</v>
      </c>
      <c r="K416" s="7">
        <v>42386</v>
      </c>
    </row>
    <row r="417" spans="1:11" x14ac:dyDescent="0.25">
      <c r="A417" s="4">
        <v>23677</v>
      </c>
      <c r="B417" s="4" t="s">
        <v>591</v>
      </c>
      <c r="C417" s="4" t="s">
        <v>272</v>
      </c>
      <c r="D417" s="4" t="str">
        <f>VLOOKUP(C417,Países!$A$1:$B$186,2,TRUE)</f>
        <v>Sub-Saharan Africa</v>
      </c>
      <c r="E417" s="4" t="s">
        <v>23</v>
      </c>
      <c r="F417" s="4" t="str">
        <f>VLOOKUP(E417,Productos!$A$2:$D$13,2,TRUE)</f>
        <v>botellín 400cc</v>
      </c>
      <c r="G417" s="4">
        <f>VLOOKUP(E417,Productos!$A$2:$D$13,3,TRUE)</f>
        <v>2.2999999999999998</v>
      </c>
      <c r="H417" s="4">
        <f>VLOOKUP(E417,Productos!$A$2:$D$13,4,TRUE)</f>
        <v>4.5</v>
      </c>
      <c r="I417" s="4" t="s">
        <v>10</v>
      </c>
      <c r="J417" s="4">
        <v>149</v>
      </c>
      <c r="K417" s="7">
        <v>42376</v>
      </c>
    </row>
    <row r="418" spans="1:11" x14ac:dyDescent="0.25">
      <c r="A418" s="4">
        <v>23678</v>
      </c>
      <c r="B418" s="4" t="s">
        <v>592</v>
      </c>
      <c r="C418" s="4" t="s">
        <v>521</v>
      </c>
      <c r="D418" s="4" t="str">
        <f>VLOOKUP(C418,Países!$A$1:$B$186,2,TRUE)</f>
        <v>Sub-Saharan Africa</v>
      </c>
      <c r="E418" s="4" t="s">
        <v>23</v>
      </c>
      <c r="F418" s="4" t="str">
        <f>VLOOKUP(E418,Productos!$A$2:$D$13,2,TRUE)</f>
        <v>botellín 400cc</v>
      </c>
      <c r="G418" s="4">
        <f>VLOOKUP(E418,Productos!$A$2:$D$13,3,TRUE)</f>
        <v>2.2999999999999998</v>
      </c>
      <c r="H418" s="4">
        <f>VLOOKUP(E418,Productos!$A$2:$D$13,4,TRUE)</f>
        <v>4.5</v>
      </c>
      <c r="I418" s="4" t="s">
        <v>10</v>
      </c>
      <c r="J418" s="4">
        <v>7</v>
      </c>
      <c r="K418" s="7">
        <v>42382</v>
      </c>
    </row>
    <row r="419" spans="1:11" x14ac:dyDescent="0.25">
      <c r="A419" s="4">
        <v>23679</v>
      </c>
      <c r="B419" s="4" t="s">
        <v>593</v>
      </c>
      <c r="C419" s="4" t="s">
        <v>22</v>
      </c>
      <c r="D419" s="4" t="str">
        <f>VLOOKUP(C419,Países!$A$1:$B$186,2,TRUE)</f>
        <v>Sub-Saharan Africa</v>
      </c>
      <c r="E419" s="4" t="s">
        <v>13</v>
      </c>
      <c r="F419" s="4" t="str">
        <f>VLOOKUP(E419,Productos!$A$2:$D$13,2,TRUE)</f>
        <v>botella 1l</v>
      </c>
      <c r="G419" s="4">
        <f>VLOOKUP(E419,Productos!$A$2:$D$13,3,TRUE)</f>
        <v>3.5</v>
      </c>
      <c r="H419" s="4">
        <f>VLOOKUP(E419,Productos!$A$2:$D$13,4,TRUE)</f>
        <v>6.5</v>
      </c>
      <c r="I419" s="4" t="s">
        <v>17</v>
      </c>
      <c r="J419" s="4">
        <v>9</v>
      </c>
      <c r="K419" s="7">
        <v>42428</v>
      </c>
    </row>
    <row r="420" spans="1:11" x14ac:dyDescent="0.25">
      <c r="A420" s="4">
        <v>23680</v>
      </c>
      <c r="B420" s="4" t="s">
        <v>594</v>
      </c>
      <c r="C420" s="4" t="s">
        <v>263</v>
      </c>
      <c r="D420" s="4" t="str">
        <f>VLOOKUP(C420,Países!$A$1:$B$186,2,TRUE)</f>
        <v>Central America and the Caribbean</v>
      </c>
      <c r="E420" s="4" t="s">
        <v>29</v>
      </c>
      <c r="F420" s="4" t="str">
        <f>VLOOKUP(E420,Productos!$A$2:$D$13,2,TRUE)</f>
        <v>botella 0.5l</v>
      </c>
      <c r="G420" s="4">
        <f>VLOOKUP(E420,Productos!$A$2:$D$13,3,TRUE)</f>
        <v>3</v>
      </c>
      <c r="H420" s="4">
        <f>VLOOKUP(E420,Productos!$A$2:$D$13,4,TRUE)</f>
        <v>6</v>
      </c>
      <c r="I420" s="4" t="s">
        <v>10</v>
      </c>
      <c r="J420" s="4">
        <v>151</v>
      </c>
      <c r="K420" s="7">
        <v>42447</v>
      </c>
    </row>
    <row r="421" spans="1:11" x14ac:dyDescent="0.25">
      <c r="A421" s="4">
        <v>23681</v>
      </c>
      <c r="B421" s="4" t="s">
        <v>595</v>
      </c>
      <c r="C421" s="4" t="s">
        <v>81</v>
      </c>
      <c r="D421" s="4" t="str">
        <f>VLOOKUP(C421,Países!$A$1:$B$186,2,TRUE)</f>
        <v>Australia and Oceania</v>
      </c>
      <c r="E421" s="4" t="s">
        <v>9</v>
      </c>
      <c r="F421" s="4" t="str">
        <f>VLOOKUP(E421,Productos!$A$2:$D$13,2,TRUE)</f>
        <v>garrafa 1l</v>
      </c>
      <c r="G421" s="4">
        <f>VLOOKUP(E421,Productos!$A$2:$D$13,3,TRUE)</f>
        <v>1</v>
      </c>
      <c r="H421" s="4">
        <f>VLOOKUP(E421,Productos!$A$2:$D$13,4,TRUE)</f>
        <v>2</v>
      </c>
      <c r="I421" s="4" t="s">
        <v>10</v>
      </c>
      <c r="J421" s="4">
        <v>24</v>
      </c>
      <c r="K421" s="7">
        <v>42416</v>
      </c>
    </row>
    <row r="422" spans="1:11" x14ac:dyDescent="0.25">
      <c r="A422" s="4">
        <v>23682</v>
      </c>
      <c r="B422" s="4" t="s">
        <v>596</v>
      </c>
      <c r="C422" s="4" t="s">
        <v>92</v>
      </c>
      <c r="D422" s="4" t="str">
        <f>VLOOKUP(C422,Países!$A$1:$B$186,2,TRUE)</f>
        <v>Asia</v>
      </c>
      <c r="E422" s="4" t="s">
        <v>26</v>
      </c>
      <c r="F422" s="4" t="str">
        <f>VLOOKUP(E422,Productos!$A$2:$D$13,2,TRUE)</f>
        <v>botellín 200cc</v>
      </c>
      <c r="G422" s="4">
        <f>VLOOKUP(E422,Productos!$A$2:$D$13,3,TRUE)</f>
        <v>1.5</v>
      </c>
      <c r="H422" s="4">
        <f>VLOOKUP(E422,Productos!$A$2:$D$13,4,TRUE)</f>
        <v>3</v>
      </c>
      <c r="I422" s="4" t="s">
        <v>10</v>
      </c>
      <c r="J422" s="4">
        <v>200</v>
      </c>
      <c r="K422" s="7">
        <v>42384</v>
      </c>
    </row>
    <row r="423" spans="1:11" x14ac:dyDescent="0.25">
      <c r="A423" s="4">
        <v>23683</v>
      </c>
      <c r="B423" s="4" t="s">
        <v>597</v>
      </c>
      <c r="C423" s="4" t="s">
        <v>8</v>
      </c>
      <c r="D423" s="4" t="str">
        <f>VLOOKUP(C423,Países!$A$1:$B$186,2,TRUE)</f>
        <v>Sub-Saharan Africa</v>
      </c>
      <c r="E423" s="4" t="s">
        <v>23</v>
      </c>
      <c r="F423" s="4" t="str">
        <f>VLOOKUP(E423,Productos!$A$2:$D$13,2,TRUE)</f>
        <v>botellín 400cc</v>
      </c>
      <c r="G423" s="4">
        <f>VLOOKUP(E423,Productos!$A$2:$D$13,3,TRUE)</f>
        <v>2.2999999999999998</v>
      </c>
      <c r="H423" s="4">
        <f>VLOOKUP(E423,Productos!$A$2:$D$13,4,TRUE)</f>
        <v>4.5</v>
      </c>
      <c r="I423" s="4" t="s">
        <v>10</v>
      </c>
      <c r="J423" s="4">
        <v>160</v>
      </c>
      <c r="K423" s="7">
        <v>42379</v>
      </c>
    </row>
    <row r="424" spans="1:11" x14ac:dyDescent="0.25">
      <c r="A424" s="4">
        <v>23684</v>
      </c>
      <c r="B424" s="4" t="s">
        <v>598</v>
      </c>
      <c r="C424" s="4" t="s">
        <v>228</v>
      </c>
      <c r="D424" s="4" t="str">
        <f>VLOOKUP(C424,Países!$A$1:$B$186,2,TRUE)</f>
        <v>Europe</v>
      </c>
      <c r="E424" s="4" t="s">
        <v>46</v>
      </c>
      <c r="F424" s="4" t="str">
        <f>VLOOKUP(E424,Productos!$A$2:$D$13,2,TRUE)</f>
        <v>botellín 500cc</v>
      </c>
      <c r="G424" s="4">
        <f>VLOOKUP(E424,Productos!$A$2:$D$13,3,TRUE)</f>
        <v>3.5</v>
      </c>
      <c r="H424" s="4">
        <f>VLOOKUP(E424,Productos!$A$2:$D$13,4,TRUE)</f>
        <v>6.5</v>
      </c>
      <c r="I424" s="4" t="s">
        <v>59</v>
      </c>
      <c r="J424" s="4">
        <v>103</v>
      </c>
      <c r="K424" s="7">
        <v>42458</v>
      </c>
    </row>
    <row r="425" spans="1:11" x14ac:dyDescent="0.25">
      <c r="A425" s="4">
        <v>23685</v>
      </c>
      <c r="B425" s="4" t="s">
        <v>599</v>
      </c>
      <c r="C425" s="4" t="s">
        <v>193</v>
      </c>
      <c r="D425" s="4" t="str">
        <f>VLOOKUP(C425,Países!$A$1:$B$186,2,TRUE)</f>
        <v>Sub-Saharan Africa</v>
      </c>
      <c r="E425" s="4" t="s">
        <v>9</v>
      </c>
      <c r="F425" s="4" t="str">
        <f>VLOOKUP(E425,Productos!$A$2:$D$13,2,TRUE)</f>
        <v>garrafa 1l</v>
      </c>
      <c r="G425" s="4">
        <f>VLOOKUP(E425,Productos!$A$2:$D$13,3,TRUE)</f>
        <v>1</v>
      </c>
      <c r="H425" s="4">
        <f>VLOOKUP(E425,Productos!$A$2:$D$13,4,TRUE)</f>
        <v>2</v>
      </c>
      <c r="I425" s="4" t="s">
        <v>17</v>
      </c>
      <c r="J425" s="4">
        <v>61</v>
      </c>
      <c r="K425" s="7">
        <v>42399</v>
      </c>
    </row>
    <row r="426" spans="1:11" x14ac:dyDescent="0.25">
      <c r="A426" s="4">
        <v>23686</v>
      </c>
      <c r="B426" s="4" t="s">
        <v>600</v>
      </c>
      <c r="C426" s="4" t="s">
        <v>168</v>
      </c>
      <c r="D426" s="4" t="str">
        <f>VLOOKUP(C426,Países!$A$1:$B$186,2,TRUE)</f>
        <v>Asia</v>
      </c>
      <c r="E426" s="4" t="s">
        <v>13</v>
      </c>
      <c r="F426" s="4" t="str">
        <f>VLOOKUP(E426,Productos!$A$2:$D$13,2,TRUE)</f>
        <v>botella 1l</v>
      </c>
      <c r="G426" s="4">
        <f>VLOOKUP(E426,Productos!$A$2:$D$13,3,TRUE)</f>
        <v>3.5</v>
      </c>
      <c r="H426" s="4">
        <f>VLOOKUP(E426,Productos!$A$2:$D$13,4,TRUE)</f>
        <v>6.5</v>
      </c>
      <c r="I426" s="4" t="s">
        <v>10</v>
      </c>
      <c r="J426" s="4">
        <v>84</v>
      </c>
      <c r="K426" s="7">
        <v>42459</v>
      </c>
    </row>
    <row r="427" spans="1:11" x14ac:dyDescent="0.25">
      <c r="A427" s="4">
        <v>23687</v>
      </c>
      <c r="B427" s="4" t="s">
        <v>601</v>
      </c>
      <c r="C427" s="4" t="s">
        <v>434</v>
      </c>
      <c r="D427" s="4" t="str">
        <f>VLOOKUP(C427,Países!$A$1:$B$186,2,TRUE)</f>
        <v>Europe</v>
      </c>
      <c r="E427" s="4" t="s">
        <v>34</v>
      </c>
      <c r="F427" s="4" t="str">
        <f>VLOOKUP(E427,Productos!$A$2:$D$13,2,TRUE)</f>
        <v>garrafa 3l</v>
      </c>
      <c r="G427" s="4">
        <f>VLOOKUP(E427,Productos!$A$2:$D$13,3,TRUE)</f>
        <v>3.5</v>
      </c>
      <c r="H427" s="4">
        <f>VLOOKUP(E427,Productos!$A$2:$D$13,4,TRUE)</f>
        <v>6.99</v>
      </c>
      <c r="I427" s="4" t="s">
        <v>59</v>
      </c>
      <c r="J427" s="4">
        <v>197</v>
      </c>
      <c r="K427" s="7">
        <v>42395</v>
      </c>
    </row>
    <row r="428" spans="1:11" x14ac:dyDescent="0.25">
      <c r="A428" s="4">
        <v>23688</v>
      </c>
      <c r="B428" s="4" t="s">
        <v>602</v>
      </c>
      <c r="C428" s="4" t="s">
        <v>174</v>
      </c>
      <c r="D428" s="4" t="str">
        <f>VLOOKUP(C428,Países!$A$1:$B$186,2,TRUE)</f>
        <v>Europe</v>
      </c>
      <c r="E428" s="4" t="s">
        <v>16</v>
      </c>
      <c r="F428" s="4" t="str">
        <f>VLOOKUP(E428,Productos!$A$2:$D$13,2,TRUE)</f>
        <v>botella 5l</v>
      </c>
      <c r="G428" s="4">
        <f>VLOOKUP(E428,Productos!$A$2:$D$13,3,TRUE)</f>
        <v>6</v>
      </c>
      <c r="H428" s="4">
        <f>VLOOKUP(E428,Productos!$A$2:$D$13,4,TRUE)</f>
        <v>9</v>
      </c>
      <c r="I428" s="4" t="s">
        <v>10</v>
      </c>
      <c r="J428" s="4">
        <v>161</v>
      </c>
      <c r="K428" s="7">
        <v>42408</v>
      </c>
    </row>
    <row r="429" spans="1:11" x14ac:dyDescent="0.25">
      <c r="A429" s="4">
        <v>23689</v>
      </c>
      <c r="B429" s="4" t="s">
        <v>603</v>
      </c>
      <c r="C429" s="4" t="s">
        <v>48</v>
      </c>
      <c r="D429" s="4" t="str">
        <f>VLOOKUP(C429,Países!$A$1:$B$186,2,TRUE)</f>
        <v>Middle East and North Africa</v>
      </c>
      <c r="E429" s="4" t="s">
        <v>58</v>
      </c>
      <c r="F429" s="4" t="str">
        <f>VLOOKUP(E429,Productos!$A$2:$D$13,2,TRUE)</f>
        <v>garrafa 2l</v>
      </c>
      <c r="G429" s="4">
        <f>VLOOKUP(E429,Productos!$A$2:$D$13,3,TRUE)</f>
        <v>2.5</v>
      </c>
      <c r="H429" s="4">
        <f>VLOOKUP(E429,Productos!$A$2:$D$13,4,TRUE)</f>
        <v>4.5</v>
      </c>
      <c r="I429" s="4" t="s">
        <v>10</v>
      </c>
      <c r="J429" s="4">
        <v>181</v>
      </c>
      <c r="K429" s="7">
        <v>42419</v>
      </c>
    </row>
    <row r="430" spans="1:11" x14ac:dyDescent="0.25">
      <c r="A430" s="4">
        <v>23690</v>
      </c>
      <c r="B430" s="4" t="s">
        <v>604</v>
      </c>
      <c r="C430" s="4" t="s">
        <v>270</v>
      </c>
      <c r="D430" s="4" t="str">
        <f>VLOOKUP(C430,Países!$A$1:$B$186,2,TRUE)</f>
        <v>Asia</v>
      </c>
      <c r="E430" s="4" t="s">
        <v>51</v>
      </c>
      <c r="F430" s="4" t="str">
        <f>VLOOKUP(E430,Productos!$A$2:$D$13,2,TRUE)</f>
        <v>garrafa 8l</v>
      </c>
      <c r="G430" s="4">
        <f>VLOOKUP(E430,Productos!$A$2:$D$13,3,TRUE)</f>
        <v>8</v>
      </c>
      <c r="H430" s="4">
        <f>VLOOKUP(E430,Productos!$A$2:$D$13,4,TRUE)</f>
        <v>14.5</v>
      </c>
      <c r="I430" s="4" t="s">
        <v>17</v>
      </c>
      <c r="J430" s="4">
        <v>91</v>
      </c>
      <c r="K430" s="7">
        <v>42394</v>
      </c>
    </row>
    <row r="431" spans="1:11" x14ac:dyDescent="0.25">
      <c r="A431" s="4">
        <v>23691</v>
      </c>
      <c r="B431" s="4" t="s">
        <v>605</v>
      </c>
      <c r="C431" s="4" t="s">
        <v>606</v>
      </c>
      <c r="D431" s="4" t="str">
        <f>VLOOKUP(C431,Países!$A$1:$B$186,2,TRUE)</f>
        <v>Australia and Oceania</v>
      </c>
      <c r="E431" s="4" t="s">
        <v>29</v>
      </c>
      <c r="F431" s="4" t="str">
        <f>VLOOKUP(E431,Productos!$A$2:$D$13,2,TRUE)</f>
        <v>botella 0.5l</v>
      </c>
      <c r="G431" s="4">
        <f>VLOOKUP(E431,Productos!$A$2:$D$13,3,TRUE)</f>
        <v>3</v>
      </c>
      <c r="H431" s="4">
        <f>VLOOKUP(E431,Productos!$A$2:$D$13,4,TRUE)</f>
        <v>6</v>
      </c>
      <c r="I431" s="4" t="s">
        <v>17</v>
      </c>
      <c r="J431" s="4">
        <v>52</v>
      </c>
      <c r="K431" s="7">
        <v>42436</v>
      </c>
    </row>
    <row r="432" spans="1:11" x14ac:dyDescent="0.25">
      <c r="A432" s="4">
        <v>23692</v>
      </c>
      <c r="B432" s="4" t="s">
        <v>607</v>
      </c>
      <c r="C432" s="4" t="s">
        <v>608</v>
      </c>
      <c r="D432" s="4" t="str">
        <f>VLOOKUP(C432,Países!$A$1:$B$186,2,TRUE)</f>
        <v>Europe</v>
      </c>
      <c r="E432" s="4" t="s">
        <v>26</v>
      </c>
      <c r="F432" s="4" t="str">
        <f>VLOOKUP(E432,Productos!$A$2:$D$13,2,TRUE)</f>
        <v>botellín 200cc</v>
      </c>
      <c r="G432" s="4">
        <f>VLOOKUP(E432,Productos!$A$2:$D$13,3,TRUE)</f>
        <v>1.5</v>
      </c>
      <c r="H432" s="4">
        <f>VLOOKUP(E432,Productos!$A$2:$D$13,4,TRUE)</f>
        <v>3</v>
      </c>
      <c r="I432" s="4" t="s">
        <v>10</v>
      </c>
      <c r="J432" s="4">
        <v>207</v>
      </c>
      <c r="K432" s="7">
        <v>42387</v>
      </c>
    </row>
    <row r="433" spans="1:11" x14ac:dyDescent="0.25">
      <c r="A433" s="4">
        <v>23693</v>
      </c>
      <c r="B433" s="4" t="s">
        <v>609</v>
      </c>
      <c r="C433" s="4" t="s">
        <v>208</v>
      </c>
      <c r="D433" s="4" t="str">
        <f>VLOOKUP(C433,Países!$A$1:$B$186,2,TRUE)</f>
        <v>Central America and the Caribbean</v>
      </c>
      <c r="E433" s="4" t="s">
        <v>26</v>
      </c>
      <c r="F433" s="4" t="str">
        <f>VLOOKUP(E433,Productos!$A$2:$D$13,2,TRUE)</f>
        <v>botellín 200cc</v>
      </c>
      <c r="G433" s="4">
        <f>VLOOKUP(E433,Productos!$A$2:$D$13,3,TRUE)</f>
        <v>1.5</v>
      </c>
      <c r="H433" s="4">
        <f>VLOOKUP(E433,Productos!$A$2:$D$13,4,TRUE)</f>
        <v>3</v>
      </c>
      <c r="I433" s="4" t="s">
        <v>17</v>
      </c>
      <c r="J433" s="4">
        <v>132</v>
      </c>
      <c r="K433" s="7">
        <v>42383</v>
      </c>
    </row>
    <row r="434" spans="1:11" x14ac:dyDescent="0.25">
      <c r="A434" s="4">
        <v>23694</v>
      </c>
      <c r="B434" s="4" t="s">
        <v>610</v>
      </c>
      <c r="C434" s="4" t="s">
        <v>611</v>
      </c>
      <c r="D434" s="4" t="str">
        <f>VLOOKUP(C434,Países!$A$1:$B$186,2,TRUE)</f>
        <v>Middle East and North Africa</v>
      </c>
      <c r="E434" s="4" t="s">
        <v>58</v>
      </c>
      <c r="F434" s="4" t="str">
        <f>VLOOKUP(E434,Productos!$A$2:$D$13,2,TRUE)</f>
        <v>garrafa 2l</v>
      </c>
      <c r="G434" s="4">
        <f>VLOOKUP(E434,Productos!$A$2:$D$13,3,TRUE)</f>
        <v>2.5</v>
      </c>
      <c r="H434" s="4">
        <f>VLOOKUP(E434,Productos!$A$2:$D$13,4,TRUE)</f>
        <v>4.5</v>
      </c>
      <c r="I434" s="4" t="s">
        <v>10</v>
      </c>
      <c r="J434" s="4">
        <v>25</v>
      </c>
      <c r="K434" s="7">
        <v>42412</v>
      </c>
    </row>
    <row r="435" spans="1:11" x14ac:dyDescent="0.25">
      <c r="A435" s="4">
        <v>23695</v>
      </c>
      <c r="B435" s="4" t="s">
        <v>612</v>
      </c>
      <c r="C435" s="4" t="s">
        <v>321</v>
      </c>
      <c r="D435" s="4" t="str">
        <f>VLOOKUP(C435,Países!$A$1:$B$186,2,TRUE)</f>
        <v>Asia</v>
      </c>
      <c r="E435" s="4" t="s">
        <v>26</v>
      </c>
      <c r="F435" s="4" t="str">
        <f>VLOOKUP(E435,Productos!$A$2:$D$13,2,TRUE)</f>
        <v>botellín 200cc</v>
      </c>
      <c r="G435" s="4">
        <f>VLOOKUP(E435,Productos!$A$2:$D$13,3,TRUE)</f>
        <v>1.5</v>
      </c>
      <c r="H435" s="4">
        <f>VLOOKUP(E435,Productos!$A$2:$D$13,4,TRUE)</f>
        <v>3</v>
      </c>
      <c r="I435" s="4" t="s">
        <v>10</v>
      </c>
      <c r="J435" s="4">
        <v>152</v>
      </c>
      <c r="K435" s="7">
        <v>42392</v>
      </c>
    </row>
    <row r="436" spans="1:11" x14ac:dyDescent="0.25">
      <c r="A436" s="4">
        <v>23696</v>
      </c>
      <c r="B436" s="4" t="s">
        <v>613</v>
      </c>
      <c r="C436" s="4" t="s">
        <v>547</v>
      </c>
      <c r="D436" s="4" t="str">
        <f>VLOOKUP(C436,Países!$A$1:$B$186,2,TRUE)</f>
        <v>Sub-Saharan Africa</v>
      </c>
      <c r="E436" s="4" t="s">
        <v>29</v>
      </c>
      <c r="F436" s="4" t="str">
        <f>VLOOKUP(E436,Productos!$A$2:$D$13,2,TRUE)</f>
        <v>botella 0.5l</v>
      </c>
      <c r="G436" s="4">
        <f>VLOOKUP(E436,Productos!$A$2:$D$13,3,TRUE)</f>
        <v>3</v>
      </c>
      <c r="H436" s="4">
        <f>VLOOKUP(E436,Productos!$A$2:$D$13,4,TRUE)</f>
        <v>6</v>
      </c>
      <c r="I436" s="4" t="s">
        <v>10</v>
      </c>
      <c r="J436" s="4">
        <v>187</v>
      </c>
      <c r="K436" s="7">
        <v>42384</v>
      </c>
    </row>
    <row r="437" spans="1:11" x14ac:dyDescent="0.25">
      <c r="A437" s="4">
        <v>23697</v>
      </c>
      <c r="B437" s="4" t="s">
        <v>614</v>
      </c>
      <c r="C437" s="4" t="s">
        <v>538</v>
      </c>
      <c r="D437" s="4" t="str">
        <f>VLOOKUP(C437,Países!$A$1:$B$186,2,TRUE)</f>
        <v>Australia and Oceania</v>
      </c>
      <c r="E437" s="4" t="s">
        <v>23</v>
      </c>
      <c r="F437" s="4" t="str">
        <f>VLOOKUP(E437,Productos!$A$2:$D$13,2,TRUE)</f>
        <v>botellín 400cc</v>
      </c>
      <c r="G437" s="4">
        <f>VLOOKUP(E437,Productos!$A$2:$D$13,3,TRUE)</f>
        <v>2.2999999999999998</v>
      </c>
      <c r="H437" s="4">
        <f>VLOOKUP(E437,Productos!$A$2:$D$13,4,TRUE)</f>
        <v>4.5</v>
      </c>
      <c r="I437" s="4" t="s">
        <v>10</v>
      </c>
      <c r="J437" s="4">
        <v>84</v>
      </c>
      <c r="K437" s="7">
        <v>42387</v>
      </c>
    </row>
    <row r="438" spans="1:11" x14ac:dyDescent="0.25">
      <c r="A438" s="4">
        <v>23698</v>
      </c>
      <c r="B438" s="4" t="s">
        <v>615</v>
      </c>
      <c r="C438" s="4" t="s">
        <v>335</v>
      </c>
      <c r="D438" s="4" t="str">
        <f>VLOOKUP(C438,Países!$A$1:$B$186,2,TRUE)</f>
        <v>Middle East and North Africa</v>
      </c>
      <c r="E438" s="4" t="s">
        <v>51</v>
      </c>
      <c r="F438" s="4" t="str">
        <f>VLOOKUP(E438,Productos!$A$2:$D$13,2,TRUE)</f>
        <v>garrafa 8l</v>
      </c>
      <c r="G438" s="4">
        <f>VLOOKUP(E438,Productos!$A$2:$D$13,3,TRUE)</f>
        <v>8</v>
      </c>
      <c r="H438" s="4">
        <f>VLOOKUP(E438,Productos!$A$2:$D$13,4,TRUE)</f>
        <v>14.5</v>
      </c>
      <c r="I438" s="4" t="s">
        <v>17</v>
      </c>
      <c r="J438" s="4">
        <v>86</v>
      </c>
      <c r="K438" s="7">
        <v>42424</v>
      </c>
    </row>
    <row r="439" spans="1:11" x14ac:dyDescent="0.25">
      <c r="A439" s="4">
        <v>23699</v>
      </c>
      <c r="B439" s="4" t="s">
        <v>616</v>
      </c>
      <c r="C439" s="4" t="s">
        <v>208</v>
      </c>
      <c r="D439" s="4" t="str">
        <f>VLOOKUP(C439,Países!$A$1:$B$186,2,TRUE)</f>
        <v>Central America and the Caribbean</v>
      </c>
      <c r="E439" s="4" t="s">
        <v>58</v>
      </c>
      <c r="F439" s="4" t="str">
        <f>VLOOKUP(E439,Productos!$A$2:$D$13,2,TRUE)</f>
        <v>garrafa 2l</v>
      </c>
      <c r="G439" s="4">
        <f>VLOOKUP(E439,Productos!$A$2:$D$13,3,TRUE)</f>
        <v>2.5</v>
      </c>
      <c r="H439" s="4">
        <f>VLOOKUP(E439,Productos!$A$2:$D$13,4,TRUE)</f>
        <v>4.5</v>
      </c>
      <c r="I439" s="4" t="s">
        <v>10</v>
      </c>
      <c r="J439" s="4">
        <v>183</v>
      </c>
      <c r="K439" s="7">
        <v>42379</v>
      </c>
    </row>
    <row r="440" spans="1:11" x14ac:dyDescent="0.25">
      <c r="A440" s="4">
        <v>23700</v>
      </c>
      <c r="B440" s="4" t="s">
        <v>617</v>
      </c>
      <c r="C440" s="4" t="s">
        <v>152</v>
      </c>
      <c r="D440" s="4" t="str">
        <f>VLOOKUP(C440,Países!$A$1:$B$186,2,TRUE)</f>
        <v>Sub-Saharan Africa</v>
      </c>
      <c r="E440" s="4" t="s">
        <v>13</v>
      </c>
      <c r="F440" s="4" t="str">
        <f>VLOOKUP(E440,Productos!$A$2:$D$13,2,TRUE)</f>
        <v>botella 1l</v>
      </c>
      <c r="G440" s="4">
        <f>VLOOKUP(E440,Productos!$A$2:$D$13,3,TRUE)</f>
        <v>3.5</v>
      </c>
      <c r="H440" s="4">
        <f>VLOOKUP(E440,Productos!$A$2:$D$13,4,TRUE)</f>
        <v>6.5</v>
      </c>
      <c r="I440" s="4" t="s">
        <v>10</v>
      </c>
      <c r="J440" s="4">
        <v>121</v>
      </c>
      <c r="K440" s="7">
        <v>42405</v>
      </c>
    </row>
    <row r="441" spans="1:11" x14ac:dyDescent="0.25">
      <c r="A441" s="4">
        <v>23701</v>
      </c>
      <c r="B441" s="4" t="s">
        <v>618</v>
      </c>
      <c r="C441" s="4" t="s">
        <v>97</v>
      </c>
      <c r="D441" s="4" t="str">
        <f>VLOOKUP(C441,Países!$A$1:$B$186,2,TRUE)</f>
        <v>Sub-Saharan Africa</v>
      </c>
      <c r="E441" s="4" t="s">
        <v>23</v>
      </c>
      <c r="F441" s="4" t="str">
        <f>VLOOKUP(E441,Productos!$A$2:$D$13,2,TRUE)</f>
        <v>botellín 400cc</v>
      </c>
      <c r="G441" s="4">
        <f>VLOOKUP(E441,Productos!$A$2:$D$13,3,TRUE)</f>
        <v>2.2999999999999998</v>
      </c>
      <c r="H441" s="4">
        <f>VLOOKUP(E441,Productos!$A$2:$D$13,4,TRUE)</f>
        <v>4.5</v>
      </c>
      <c r="I441" s="4" t="s">
        <v>10</v>
      </c>
      <c r="J441" s="4">
        <v>165</v>
      </c>
      <c r="K441" s="7">
        <v>42414</v>
      </c>
    </row>
    <row r="442" spans="1:11" x14ac:dyDescent="0.25">
      <c r="A442" s="4">
        <v>23702</v>
      </c>
      <c r="B442" s="4" t="s">
        <v>619</v>
      </c>
      <c r="C442" s="4" t="s">
        <v>129</v>
      </c>
      <c r="D442" s="4" t="str">
        <f>VLOOKUP(C442,Países!$A$1:$B$186,2,TRUE)</f>
        <v>Central America and the Caribbean</v>
      </c>
      <c r="E442" s="4" t="s">
        <v>23</v>
      </c>
      <c r="F442" s="4" t="str">
        <f>VLOOKUP(E442,Productos!$A$2:$D$13,2,TRUE)</f>
        <v>botellín 400cc</v>
      </c>
      <c r="G442" s="4">
        <f>VLOOKUP(E442,Productos!$A$2:$D$13,3,TRUE)</f>
        <v>2.2999999999999998</v>
      </c>
      <c r="H442" s="4">
        <f>VLOOKUP(E442,Productos!$A$2:$D$13,4,TRUE)</f>
        <v>4.5</v>
      </c>
      <c r="I442" s="4" t="s">
        <v>10</v>
      </c>
      <c r="J442" s="4">
        <v>27</v>
      </c>
      <c r="K442" s="7">
        <v>42405</v>
      </c>
    </row>
    <row r="443" spans="1:11" x14ac:dyDescent="0.25">
      <c r="A443" s="4">
        <v>23703</v>
      </c>
      <c r="B443" s="4" t="s">
        <v>620</v>
      </c>
      <c r="C443" s="4" t="s">
        <v>119</v>
      </c>
      <c r="D443" s="4" t="str">
        <f>VLOOKUP(C443,Países!$A$1:$B$186,2,TRUE)</f>
        <v>Sub-Saharan Africa</v>
      </c>
      <c r="E443" s="4" t="s">
        <v>29</v>
      </c>
      <c r="F443" s="4" t="str">
        <f>VLOOKUP(E443,Productos!$A$2:$D$13,2,TRUE)</f>
        <v>botella 0.5l</v>
      </c>
      <c r="G443" s="4">
        <f>VLOOKUP(E443,Productos!$A$2:$D$13,3,TRUE)</f>
        <v>3</v>
      </c>
      <c r="H443" s="4">
        <f>VLOOKUP(E443,Productos!$A$2:$D$13,4,TRUE)</f>
        <v>6</v>
      </c>
      <c r="I443" s="4" t="s">
        <v>17</v>
      </c>
      <c r="J443" s="4">
        <v>205</v>
      </c>
      <c r="K443" s="7">
        <v>42449</v>
      </c>
    </row>
    <row r="444" spans="1:11" x14ac:dyDescent="0.25">
      <c r="A444" s="4">
        <v>23704</v>
      </c>
      <c r="B444" s="4" t="s">
        <v>621</v>
      </c>
      <c r="C444" s="4" t="s">
        <v>114</v>
      </c>
      <c r="D444" s="4" t="str">
        <f>VLOOKUP(C444,Países!$A$1:$B$186,2,TRUE)</f>
        <v>Sub-Saharan Africa</v>
      </c>
      <c r="E444" s="4" t="s">
        <v>9</v>
      </c>
      <c r="F444" s="4" t="str">
        <f>VLOOKUP(E444,Productos!$A$2:$D$13,2,TRUE)</f>
        <v>garrafa 1l</v>
      </c>
      <c r="G444" s="4">
        <f>VLOOKUP(E444,Productos!$A$2:$D$13,3,TRUE)</f>
        <v>1</v>
      </c>
      <c r="H444" s="4">
        <f>VLOOKUP(E444,Productos!$A$2:$D$13,4,TRUE)</f>
        <v>2</v>
      </c>
      <c r="I444" s="4" t="s">
        <v>10</v>
      </c>
      <c r="J444" s="4">
        <v>22</v>
      </c>
      <c r="K444" s="7">
        <v>42451</v>
      </c>
    </row>
    <row r="445" spans="1:11" x14ac:dyDescent="0.25">
      <c r="A445" s="4">
        <v>23705</v>
      </c>
      <c r="B445" s="4" t="s">
        <v>622</v>
      </c>
      <c r="C445" s="4" t="s">
        <v>146</v>
      </c>
      <c r="D445" s="4" t="str">
        <f>VLOOKUP(C445,Países!$A$1:$B$186,2,TRUE)</f>
        <v>Europe</v>
      </c>
      <c r="E445" s="4" t="s">
        <v>23</v>
      </c>
      <c r="F445" s="4" t="str">
        <f>VLOOKUP(E445,Productos!$A$2:$D$13,2,TRUE)</f>
        <v>botellín 400cc</v>
      </c>
      <c r="G445" s="4">
        <f>VLOOKUP(E445,Productos!$A$2:$D$13,3,TRUE)</f>
        <v>2.2999999999999998</v>
      </c>
      <c r="H445" s="4">
        <f>VLOOKUP(E445,Productos!$A$2:$D$13,4,TRUE)</f>
        <v>4.5</v>
      </c>
      <c r="I445" s="4" t="s">
        <v>10</v>
      </c>
      <c r="J445" s="4">
        <v>155</v>
      </c>
      <c r="K445" s="7">
        <v>42411</v>
      </c>
    </row>
    <row r="446" spans="1:11" x14ac:dyDescent="0.25">
      <c r="A446" s="4">
        <v>23706</v>
      </c>
      <c r="B446" s="4" t="s">
        <v>623</v>
      </c>
      <c r="C446" s="4" t="s">
        <v>8</v>
      </c>
      <c r="D446" s="4" t="str">
        <f>VLOOKUP(C446,Países!$A$1:$B$186,2,TRUE)</f>
        <v>Sub-Saharan Africa</v>
      </c>
      <c r="E446" s="4" t="s">
        <v>16</v>
      </c>
      <c r="F446" s="4" t="str">
        <f>VLOOKUP(E446,Productos!$A$2:$D$13,2,TRUE)</f>
        <v>botella 5l</v>
      </c>
      <c r="G446" s="4">
        <f>VLOOKUP(E446,Productos!$A$2:$D$13,3,TRUE)</f>
        <v>6</v>
      </c>
      <c r="H446" s="4">
        <f>VLOOKUP(E446,Productos!$A$2:$D$13,4,TRUE)</f>
        <v>9</v>
      </c>
      <c r="I446" s="4" t="s">
        <v>10</v>
      </c>
      <c r="J446" s="4">
        <v>197</v>
      </c>
      <c r="K446" s="7">
        <v>42402</v>
      </c>
    </row>
    <row r="447" spans="1:11" x14ac:dyDescent="0.25">
      <c r="A447" s="4">
        <v>23707</v>
      </c>
      <c r="B447" s="4" t="s">
        <v>624</v>
      </c>
      <c r="C447" s="4" t="s">
        <v>257</v>
      </c>
      <c r="D447" s="4" t="str">
        <f>VLOOKUP(C447,Países!$A$1:$B$186,2,TRUE)</f>
        <v>Central America and the Caribbean</v>
      </c>
      <c r="E447" s="4" t="s">
        <v>58</v>
      </c>
      <c r="F447" s="4" t="str">
        <f>VLOOKUP(E447,Productos!$A$2:$D$13,2,TRUE)</f>
        <v>garrafa 2l</v>
      </c>
      <c r="G447" s="4">
        <f>VLOOKUP(E447,Productos!$A$2:$D$13,3,TRUE)</f>
        <v>2.5</v>
      </c>
      <c r="H447" s="4">
        <f>VLOOKUP(E447,Productos!$A$2:$D$13,4,TRUE)</f>
        <v>4.5</v>
      </c>
      <c r="I447" s="4" t="s">
        <v>17</v>
      </c>
      <c r="J447" s="4">
        <v>202</v>
      </c>
      <c r="K447" s="7">
        <v>42382</v>
      </c>
    </row>
    <row r="448" spans="1:11" x14ac:dyDescent="0.25">
      <c r="A448" s="4">
        <v>23708</v>
      </c>
      <c r="B448" s="4" t="s">
        <v>625</v>
      </c>
      <c r="C448" s="4" t="s">
        <v>148</v>
      </c>
      <c r="D448" s="4" t="str">
        <f>VLOOKUP(C448,Países!$A$1:$B$186,2,TRUE)</f>
        <v>Middle East and North Africa</v>
      </c>
      <c r="E448" s="4" t="s">
        <v>58</v>
      </c>
      <c r="F448" s="4" t="str">
        <f>VLOOKUP(E448,Productos!$A$2:$D$13,2,TRUE)</f>
        <v>garrafa 2l</v>
      </c>
      <c r="G448" s="4">
        <f>VLOOKUP(E448,Productos!$A$2:$D$13,3,TRUE)</f>
        <v>2.5</v>
      </c>
      <c r="H448" s="4">
        <f>VLOOKUP(E448,Productos!$A$2:$D$13,4,TRUE)</f>
        <v>4.5</v>
      </c>
      <c r="I448" s="4" t="s">
        <v>17</v>
      </c>
      <c r="J448" s="4">
        <v>126</v>
      </c>
      <c r="K448" s="7">
        <v>42407</v>
      </c>
    </row>
    <row r="449" spans="1:11" x14ac:dyDescent="0.25">
      <c r="A449" s="4">
        <v>23709</v>
      </c>
      <c r="B449" s="4" t="s">
        <v>626</v>
      </c>
      <c r="C449" s="4" t="s">
        <v>267</v>
      </c>
      <c r="D449" s="4" t="str">
        <f>VLOOKUP(C449,Países!$A$1:$B$186,2,TRUE)</f>
        <v>Sub-Saharan Africa</v>
      </c>
      <c r="E449" s="4" t="s">
        <v>51</v>
      </c>
      <c r="F449" s="4" t="str">
        <f>VLOOKUP(E449,Productos!$A$2:$D$13,2,TRUE)</f>
        <v>garrafa 8l</v>
      </c>
      <c r="G449" s="4">
        <f>VLOOKUP(E449,Productos!$A$2:$D$13,3,TRUE)</f>
        <v>8</v>
      </c>
      <c r="H449" s="4">
        <f>VLOOKUP(E449,Productos!$A$2:$D$13,4,TRUE)</f>
        <v>14.5</v>
      </c>
      <c r="I449" s="4" t="s">
        <v>10</v>
      </c>
      <c r="J449" s="4">
        <v>164</v>
      </c>
      <c r="K449" s="7">
        <v>42435</v>
      </c>
    </row>
    <row r="450" spans="1:11" x14ac:dyDescent="0.25">
      <c r="A450" s="4">
        <v>23710</v>
      </c>
      <c r="B450" s="4" t="s">
        <v>627</v>
      </c>
      <c r="C450" s="4" t="s">
        <v>79</v>
      </c>
      <c r="D450" s="4" t="str">
        <f>VLOOKUP(C450,Países!$A$1:$B$186,2,TRUE)</f>
        <v>Europe</v>
      </c>
      <c r="E450" s="4" t="s">
        <v>23</v>
      </c>
      <c r="F450" s="4" t="str">
        <f>VLOOKUP(E450,Productos!$A$2:$D$13,2,TRUE)</f>
        <v>botellín 400cc</v>
      </c>
      <c r="G450" s="4">
        <f>VLOOKUP(E450,Productos!$A$2:$D$13,3,TRUE)</f>
        <v>2.2999999999999998</v>
      </c>
      <c r="H450" s="4">
        <f>VLOOKUP(E450,Productos!$A$2:$D$13,4,TRUE)</f>
        <v>4.5</v>
      </c>
      <c r="I450" s="4" t="s">
        <v>10</v>
      </c>
      <c r="J450" s="4">
        <v>9</v>
      </c>
      <c r="K450" s="7">
        <v>42427</v>
      </c>
    </row>
    <row r="451" spans="1:11" x14ac:dyDescent="0.25">
      <c r="A451" s="4">
        <v>23711</v>
      </c>
      <c r="B451" s="4" t="s">
        <v>628</v>
      </c>
      <c r="C451" s="4" t="s">
        <v>8</v>
      </c>
      <c r="D451" s="4" t="str">
        <f>VLOOKUP(C451,Países!$A$1:$B$186,2,TRUE)</f>
        <v>Sub-Saharan Africa</v>
      </c>
      <c r="E451" s="4" t="s">
        <v>9</v>
      </c>
      <c r="F451" s="4" t="str">
        <f>VLOOKUP(E451,Productos!$A$2:$D$13,2,TRUE)</f>
        <v>garrafa 1l</v>
      </c>
      <c r="G451" s="4">
        <f>VLOOKUP(E451,Productos!$A$2:$D$13,3,TRUE)</f>
        <v>1</v>
      </c>
      <c r="H451" s="4">
        <f>VLOOKUP(E451,Productos!$A$2:$D$13,4,TRUE)</f>
        <v>2</v>
      </c>
      <c r="I451" s="4" t="s">
        <v>17</v>
      </c>
      <c r="J451" s="4">
        <v>42</v>
      </c>
      <c r="K451" s="7">
        <v>42381</v>
      </c>
    </row>
    <row r="452" spans="1:11" x14ac:dyDescent="0.25">
      <c r="A452" s="4">
        <v>23712</v>
      </c>
      <c r="B452" s="4" t="s">
        <v>629</v>
      </c>
      <c r="C452" s="4" t="s">
        <v>176</v>
      </c>
      <c r="D452" s="4" t="str">
        <f>VLOOKUP(C452,Países!$A$1:$B$186,2,TRUE)</f>
        <v>Europe</v>
      </c>
      <c r="E452" s="4" t="s">
        <v>16</v>
      </c>
      <c r="F452" s="4" t="str">
        <f>VLOOKUP(E452,Productos!$A$2:$D$13,2,TRUE)</f>
        <v>botella 5l</v>
      </c>
      <c r="G452" s="4">
        <f>VLOOKUP(E452,Productos!$A$2:$D$13,3,TRUE)</f>
        <v>6</v>
      </c>
      <c r="H452" s="4">
        <f>VLOOKUP(E452,Productos!$A$2:$D$13,4,TRUE)</f>
        <v>9</v>
      </c>
      <c r="I452" s="4" t="s">
        <v>17</v>
      </c>
      <c r="J452" s="4">
        <v>9</v>
      </c>
      <c r="K452" s="7">
        <v>42420</v>
      </c>
    </row>
    <row r="453" spans="1:11" x14ac:dyDescent="0.25">
      <c r="A453" s="4">
        <v>23713</v>
      </c>
      <c r="B453" s="4" t="s">
        <v>630</v>
      </c>
      <c r="C453" s="4" t="s">
        <v>48</v>
      </c>
      <c r="D453" s="4" t="str">
        <f>VLOOKUP(C453,Países!$A$1:$B$186,2,TRUE)</f>
        <v>Middle East and North Africa</v>
      </c>
      <c r="E453" s="4" t="s">
        <v>13</v>
      </c>
      <c r="F453" s="4" t="str">
        <f>VLOOKUP(E453,Productos!$A$2:$D$13,2,TRUE)</f>
        <v>botella 1l</v>
      </c>
      <c r="G453" s="4">
        <f>VLOOKUP(E453,Productos!$A$2:$D$13,3,TRUE)</f>
        <v>3.5</v>
      </c>
      <c r="H453" s="4">
        <f>VLOOKUP(E453,Productos!$A$2:$D$13,4,TRUE)</f>
        <v>6.5</v>
      </c>
      <c r="I453" s="4" t="s">
        <v>10</v>
      </c>
      <c r="J453" s="4">
        <v>141</v>
      </c>
      <c r="K453" s="7">
        <v>42432</v>
      </c>
    </row>
    <row r="454" spans="1:11" x14ac:dyDescent="0.25">
      <c r="A454" s="4">
        <v>23714</v>
      </c>
      <c r="B454" s="4" t="s">
        <v>631</v>
      </c>
      <c r="C454" s="4" t="s">
        <v>384</v>
      </c>
      <c r="D454" s="4" t="str">
        <f>VLOOKUP(C454,Países!$A$1:$B$186,2,TRUE)</f>
        <v>North America</v>
      </c>
      <c r="E454" s="4" t="s">
        <v>20</v>
      </c>
      <c r="F454" s="4" t="str">
        <f>VLOOKUP(E454,Productos!$A$2:$D$13,2,TRUE)</f>
        <v>garrafa 4l</v>
      </c>
      <c r="G454" s="4">
        <f>VLOOKUP(E454,Productos!$A$2:$D$13,3,TRUE)</f>
        <v>5</v>
      </c>
      <c r="H454" s="4">
        <f>VLOOKUP(E454,Productos!$A$2:$D$13,4,TRUE)</f>
        <v>9.99</v>
      </c>
      <c r="I454" s="4" t="s">
        <v>10</v>
      </c>
      <c r="J454" s="4">
        <v>184</v>
      </c>
      <c r="K454" s="7">
        <v>42424</v>
      </c>
    </row>
    <row r="455" spans="1:11" x14ac:dyDescent="0.25">
      <c r="A455" s="4">
        <v>23715</v>
      </c>
      <c r="B455" s="4" t="s">
        <v>632</v>
      </c>
      <c r="C455" s="4" t="s">
        <v>274</v>
      </c>
      <c r="D455" s="4" t="str">
        <f>VLOOKUP(C455,Países!$A$1:$B$186,2,TRUE)</f>
        <v>Sub-Saharan Africa</v>
      </c>
      <c r="E455" s="4" t="s">
        <v>58</v>
      </c>
      <c r="F455" s="4" t="str">
        <f>VLOOKUP(E455,Productos!$A$2:$D$13,2,TRUE)</f>
        <v>garrafa 2l</v>
      </c>
      <c r="G455" s="4">
        <f>VLOOKUP(E455,Productos!$A$2:$D$13,3,TRUE)</f>
        <v>2.5</v>
      </c>
      <c r="H455" s="4">
        <f>VLOOKUP(E455,Productos!$A$2:$D$13,4,TRUE)</f>
        <v>4.5</v>
      </c>
      <c r="I455" s="4" t="s">
        <v>10</v>
      </c>
      <c r="J455" s="4">
        <v>119</v>
      </c>
      <c r="K455" s="7">
        <v>42434</v>
      </c>
    </row>
    <row r="456" spans="1:11" x14ac:dyDescent="0.25">
      <c r="A456" s="4">
        <v>23716</v>
      </c>
      <c r="B456" s="4" t="s">
        <v>633</v>
      </c>
      <c r="C456" s="4" t="s">
        <v>369</v>
      </c>
      <c r="D456" s="4" t="str">
        <f>VLOOKUP(C456,Países!$A$1:$B$186,2,TRUE)</f>
        <v>Middle East and North Africa</v>
      </c>
      <c r="E456" s="4" t="s">
        <v>58</v>
      </c>
      <c r="F456" s="4" t="str">
        <f>VLOOKUP(E456,Productos!$A$2:$D$13,2,TRUE)</f>
        <v>garrafa 2l</v>
      </c>
      <c r="G456" s="4">
        <f>VLOOKUP(E456,Productos!$A$2:$D$13,3,TRUE)</f>
        <v>2.5</v>
      </c>
      <c r="H456" s="4">
        <f>VLOOKUP(E456,Productos!$A$2:$D$13,4,TRUE)</f>
        <v>4.5</v>
      </c>
      <c r="I456" s="4" t="s">
        <v>10</v>
      </c>
      <c r="J456" s="4">
        <v>49</v>
      </c>
      <c r="K456" s="7">
        <v>42419</v>
      </c>
    </row>
    <row r="457" spans="1:11" x14ac:dyDescent="0.25">
      <c r="A457" s="4">
        <v>23717</v>
      </c>
      <c r="B457" s="4" t="s">
        <v>634</v>
      </c>
      <c r="C457" s="4" t="s">
        <v>406</v>
      </c>
      <c r="D457" s="4" t="str">
        <f>VLOOKUP(C457,Países!$A$1:$B$186,2,TRUE)</f>
        <v>Sub-Saharan Africa</v>
      </c>
      <c r="E457" s="4" t="s">
        <v>20</v>
      </c>
      <c r="F457" s="4" t="str">
        <f>VLOOKUP(E457,Productos!$A$2:$D$13,2,TRUE)</f>
        <v>garrafa 4l</v>
      </c>
      <c r="G457" s="4">
        <f>VLOOKUP(E457,Productos!$A$2:$D$13,3,TRUE)</f>
        <v>5</v>
      </c>
      <c r="H457" s="4">
        <f>VLOOKUP(E457,Productos!$A$2:$D$13,4,TRUE)</f>
        <v>9.99</v>
      </c>
      <c r="I457" s="4" t="s">
        <v>17</v>
      </c>
      <c r="J457" s="4">
        <v>93</v>
      </c>
      <c r="K457" s="7">
        <v>42397</v>
      </c>
    </row>
    <row r="458" spans="1:11" x14ac:dyDescent="0.25">
      <c r="A458" s="4">
        <v>23718</v>
      </c>
      <c r="B458" s="4" t="s">
        <v>635</v>
      </c>
      <c r="C458" s="4" t="s">
        <v>422</v>
      </c>
      <c r="D458" s="4" t="str">
        <f>VLOOKUP(C458,Países!$A$1:$B$186,2,TRUE)</f>
        <v>Asia</v>
      </c>
      <c r="E458" s="4" t="s">
        <v>58</v>
      </c>
      <c r="F458" s="4" t="str">
        <f>VLOOKUP(E458,Productos!$A$2:$D$13,2,TRUE)</f>
        <v>garrafa 2l</v>
      </c>
      <c r="G458" s="4">
        <f>VLOOKUP(E458,Productos!$A$2:$D$13,3,TRUE)</f>
        <v>2.5</v>
      </c>
      <c r="H458" s="4">
        <f>VLOOKUP(E458,Productos!$A$2:$D$13,4,TRUE)</f>
        <v>4.5</v>
      </c>
      <c r="I458" s="4" t="s">
        <v>17</v>
      </c>
      <c r="J458" s="4">
        <v>187</v>
      </c>
      <c r="K458" s="7">
        <v>42389</v>
      </c>
    </row>
    <row r="459" spans="1:11" x14ac:dyDescent="0.25">
      <c r="A459" s="4">
        <v>23719</v>
      </c>
      <c r="B459" s="4" t="s">
        <v>636</v>
      </c>
      <c r="C459" s="4" t="s">
        <v>100</v>
      </c>
      <c r="D459" s="4" t="str">
        <f>VLOOKUP(C459,Países!$A$1:$B$186,2,TRUE)</f>
        <v>Asia</v>
      </c>
      <c r="E459" s="4" t="s">
        <v>51</v>
      </c>
      <c r="F459" s="4" t="str">
        <f>VLOOKUP(E459,Productos!$A$2:$D$13,2,TRUE)</f>
        <v>garrafa 8l</v>
      </c>
      <c r="G459" s="4">
        <f>VLOOKUP(E459,Productos!$A$2:$D$13,3,TRUE)</f>
        <v>8</v>
      </c>
      <c r="H459" s="4">
        <f>VLOOKUP(E459,Productos!$A$2:$D$13,4,TRUE)</f>
        <v>14.5</v>
      </c>
      <c r="I459" s="4" t="s">
        <v>59</v>
      </c>
      <c r="J459" s="4">
        <v>183</v>
      </c>
      <c r="K459" s="7">
        <v>42446</v>
      </c>
    </row>
    <row r="460" spans="1:11" x14ac:dyDescent="0.25">
      <c r="A460" s="4">
        <v>23720</v>
      </c>
      <c r="B460" s="4" t="s">
        <v>637</v>
      </c>
      <c r="C460" s="4" t="s">
        <v>40</v>
      </c>
      <c r="D460" s="4" t="str">
        <f>VLOOKUP(C460,Países!$A$1:$B$186,2,TRUE)</f>
        <v>Europe</v>
      </c>
      <c r="E460" s="4" t="s">
        <v>26</v>
      </c>
      <c r="F460" s="4" t="str">
        <f>VLOOKUP(E460,Productos!$A$2:$D$13,2,TRUE)</f>
        <v>botellín 200cc</v>
      </c>
      <c r="G460" s="4">
        <f>VLOOKUP(E460,Productos!$A$2:$D$13,3,TRUE)</f>
        <v>1.5</v>
      </c>
      <c r="H460" s="4">
        <f>VLOOKUP(E460,Productos!$A$2:$D$13,4,TRUE)</f>
        <v>3</v>
      </c>
      <c r="I460" s="4" t="s">
        <v>17</v>
      </c>
      <c r="J460" s="4">
        <v>58</v>
      </c>
      <c r="K460" s="7">
        <v>42450</v>
      </c>
    </row>
    <row r="461" spans="1:11" x14ac:dyDescent="0.25">
      <c r="A461" s="4">
        <v>23721</v>
      </c>
      <c r="B461" s="4" t="s">
        <v>638</v>
      </c>
      <c r="C461" s="4" t="s">
        <v>174</v>
      </c>
      <c r="D461" s="4" t="str">
        <f>VLOOKUP(C461,Países!$A$1:$B$186,2,TRUE)</f>
        <v>Europe</v>
      </c>
      <c r="E461" s="4" t="s">
        <v>23</v>
      </c>
      <c r="F461" s="4" t="str">
        <f>VLOOKUP(E461,Productos!$A$2:$D$13,2,TRUE)</f>
        <v>botellín 400cc</v>
      </c>
      <c r="G461" s="4">
        <f>VLOOKUP(E461,Productos!$A$2:$D$13,3,TRUE)</f>
        <v>2.2999999999999998</v>
      </c>
      <c r="H461" s="4">
        <f>VLOOKUP(E461,Productos!$A$2:$D$13,4,TRUE)</f>
        <v>4.5</v>
      </c>
      <c r="I461" s="4" t="s">
        <v>17</v>
      </c>
      <c r="J461" s="4">
        <v>194</v>
      </c>
      <c r="K461" s="7">
        <v>42420</v>
      </c>
    </row>
    <row r="462" spans="1:11" x14ac:dyDescent="0.25">
      <c r="A462" s="4">
        <v>23722</v>
      </c>
      <c r="B462" s="4" t="s">
        <v>639</v>
      </c>
      <c r="C462" s="4" t="s">
        <v>71</v>
      </c>
      <c r="D462" s="4" t="str">
        <f>VLOOKUP(C462,Países!$A$1:$B$186,2,TRUE)</f>
        <v>Australia and Oceania</v>
      </c>
      <c r="E462" s="4" t="s">
        <v>16</v>
      </c>
      <c r="F462" s="4" t="str">
        <f>VLOOKUP(E462,Productos!$A$2:$D$13,2,TRUE)</f>
        <v>botella 5l</v>
      </c>
      <c r="G462" s="4">
        <f>VLOOKUP(E462,Productos!$A$2:$D$13,3,TRUE)</f>
        <v>6</v>
      </c>
      <c r="H462" s="4">
        <f>VLOOKUP(E462,Productos!$A$2:$D$13,4,TRUE)</f>
        <v>9</v>
      </c>
      <c r="I462" s="4" t="s">
        <v>59</v>
      </c>
      <c r="J462" s="4">
        <v>211</v>
      </c>
      <c r="K462" s="7">
        <v>42410</v>
      </c>
    </row>
    <row r="463" spans="1:11" x14ac:dyDescent="0.25">
      <c r="A463" s="4">
        <v>23723</v>
      </c>
      <c r="B463" s="4" t="s">
        <v>640</v>
      </c>
      <c r="C463" s="4" t="s">
        <v>43</v>
      </c>
      <c r="D463" s="4" t="str">
        <f>VLOOKUP(C463,Países!$A$1:$B$186,2,TRUE)</f>
        <v>Australia and Oceania</v>
      </c>
      <c r="E463" s="4" t="s">
        <v>16</v>
      </c>
      <c r="F463" s="4" t="str">
        <f>VLOOKUP(E463,Productos!$A$2:$D$13,2,TRUE)</f>
        <v>botella 5l</v>
      </c>
      <c r="G463" s="4">
        <f>VLOOKUP(E463,Productos!$A$2:$D$13,3,TRUE)</f>
        <v>6</v>
      </c>
      <c r="H463" s="4">
        <f>VLOOKUP(E463,Productos!$A$2:$D$13,4,TRUE)</f>
        <v>9</v>
      </c>
      <c r="I463" s="4" t="s">
        <v>17</v>
      </c>
      <c r="J463" s="4">
        <v>11</v>
      </c>
      <c r="K463" s="7">
        <v>42434</v>
      </c>
    </row>
    <row r="464" spans="1:11" x14ac:dyDescent="0.25">
      <c r="A464" s="4">
        <v>23724</v>
      </c>
      <c r="B464" s="4" t="s">
        <v>641</v>
      </c>
      <c r="C464" s="4" t="s">
        <v>521</v>
      </c>
      <c r="D464" s="4" t="str">
        <f>VLOOKUP(C464,Países!$A$1:$B$186,2,TRUE)</f>
        <v>Sub-Saharan Africa</v>
      </c>
      <c r="E464" s="4" t="s">
        <v>46</v>
      </c>
      <c r="F464" s="4" t="str">
        <f>VLOOKUP(E464,Productos!$A$2:$D$13,2,TRUE)</f>
        <v>botellín 500cc</v>
      </c>
      <c r="G464" s="4">
        <f>VLOOKUP(E464,Productos!$A$2:$D$13,3,TRUE)</f>
        <v>3.5</v>
      </c>
      <c r="H464" s="4">
        <f>VLOOKUP(E464,Productos!$A$2:$D$13,4,TRUE)</f>
        <v>6.5</v>
      </c>
      <c r="I464" s="4" t="s">
        <v>10</v>
      </c>
      <c r="J464" s="4">
        <v>33</v>
      </c>
      <c r="K464" s="7">
        <v>42424</v>
      </c>
    </row>
    <row r="465" spans="1:11" x14ac:dyDescent="0.25">
      <c r="A465" s="4">
        <v>23725</v>
      </c>
      <c r="B465" s="4" t="s">
        <v>642</v>
      </c>
      <c r="C465" s="4" t="s">
        <v>228</v>
      </c>
      <c r="D465" s="4" t="str">
        <f>VLOOKUP(C465,Países!$A$1:$B$186,2,TRUE)</f>
        <v>Europe</v>
      </c>
      <c r="E465" s="4" t="s">
        <v>23</v>
      </c>
      <c r="F465" s="4" t="str">
        <f>VLOOKUP(E465,Productos!$A$2:$D$13,2,TRUE)</f>
        <v>botellín 400cc</v>
      </c>
      <c r="G465" s="4">
        <f>VLOOKUP(E465,Productos!$A$2:$D$13,3,TRUE)</f>
        <v>2.2999999999999998</v>
      </c>
      <c r="H465" s="4">
        <f>VLOOKUP(E465,Productos!$A$2:$D$13,4,TRUE)</f>
        <v>4.5</v>
      </c>
      <c r="I465" s="4" t="s">
        <v>10</v>
      </c>
      <c r="J465" s="4">
        <v>36</v>
      </c>
      <c r="K465" s="7">
        <v>42407</v>
      </c>
    </row>
    <row r="466" spans="1:11" x14ac:dyDescent="0.25">
      <c r="A466" s="4">
        <v>23726</v>
      </c>
      <c r="B466" s="4" t="s">
        <v>643</v>
      </c>
      <c r="C466" s="4" t="s">
        <v>252</v>
      </c>
      <c r="D466" s="4" t="str">
        <f>VLOOKUP(C466,Países!$A$1:$B$186,2,TRUE)</f>
        <v>Europe</v>
      </c>
      <c r="E466" s="4" t="s">
        <v>23</v>
      </c>
      <c r="F466" s="4" t="str">
        <f>VLOOKUP(E466,Productos!$A$2:$D$13,2,TRUE)</f>
        <v>botellín 400cc</v>
      </c>
      <c r="G466" s="4">
        <f>VLOOKUP(E466,Productos!$A$2:$D$13,3,TRUE)</f>
        <v>2.2999999999999998</v>
      </c>
      <c r="H466" s="4">
        <f>VLOOKUP(E466,Productos!$A$2:$D$13,4,TRUE)</f>
        <v>4.5</v>
      </c>
      <c r="I466" s="4" t="s">
        <v>10</v>
      </c>
      <c r="J466" s="4">
        <v>141</v>
      </c>
      <c r="K466" s="7">
        <v>42422</v>
      </c>
    </row>
    <row r="467" spans="1:11" x14ac:dyDescent="0.25">
      <c r="A467" s="4">
        <v>23727</v>
      </c>
      <c r="B467" s="4" t="s">
        <v>644</v>
      </c>
      <c r="C467" s="4" t="s">
        <v>131</v>
      </c>
      <c r="D467" s="4" t="str">
        <f>VLOOKUP(C467,Países!$A$1:$B$186,2,TRUE)</f>
        <v>Asia</v>
      </c>
      <c r="E467" s="4" t="s">
        <v>26</v>
      </c>
      <c r="F467" s="4" t="str">
        <f>VLOOKUP(E467,Productos!$A$2:$D$13,2,TRUE)</f>
        <v>botellín 200cc</v>
      </c>
      <c r="G467" s="4">
        <f>VLOOKUP(E467,Productos!$A$2:$D$13,3,TRUE)</f>
        <v>1.5</v>
      </c>
      <c r="H467" s="4">
        <f>VLOOKUP(E467,Productos!$A$2:$D$13,4,TRUE)</f>
        <v>3</v>
      </c>
      <c r="I467" s="4" t="s">
        <v>17</v>
      </c>
      <c r="J467" s="4">
        <v>111</v>
      </c>
      <c r="K467" s="7">
        <v>42447</v>
      </c>
    </row>
    <row r="468" spans="1:11" x14ac:dyDescent="0.25">
      <c r="A468" s="4">
        <v>23728</v>
      </c>
      <c r="B468" s="4" t="s">
        <v>645</v>
      </c>
      <c r="C468" s="4" t="s">
        <v>92</v>
      </c>
      <c r="D468" s="4" t="str">
        <f>VLOOKUP(C468,Países!$A$1:$B$186,2,TRUE)</f>
        <v>Asia</v>
      </c>
      <c r="E468" s="4" t="s">
        <v>26</v>
      </c>
      <c r="F468" s="4" t="str">
        <f>VLOOKUP(E468,Productos!$A$2:$D$13,2,TRUE)</f>
        <v>botellín 200cc</v>
      </c>
      <c r="G468" s="4">
        <f>VLOOKUP(E468,Productos!$A$2:$D$13,3,TRUE)</f>
        <v>1.5</v>
      </c>
      <c r="H468" s="4">
        <f>VLOOKUP(E468,Productos!$A$2:$D$13,4,TRUE)</f>
        <v>3</v>
      </c>
      <c r="I468" s="4" t="s">
        <v>10</v>
      </c>
      <c r="J468" s="4">
        <v>171</v>
      </c>
      <c r="K468" s="7">
        <v>42425</v>
      </c>
    </row>
    <row r="469" spans="1:11" x14ac:dyDescent="0.25">
      <c r="A469" s="4">
        <v>23729</v>
      </c>
      <c r="B469" s="4" t="s">
        <v>646</v>
      </c>
      <c r="C469" s="4" t="s">
        <v>142</v>
      </c>
      <c r="D469" s="4" t="str">
        <f>VLOOKUP(C469,Países!$A$1:$B$186,2,TRUE)</f>
        <v>Europe</v>
      </c>
      <c r="E469" s="4" t="s">
        <v>51</v>
      </c>
      <c r="F469" s="4" t="str">
        <f>VLOOKUP(E469,Productos!$A$2:$D$13,2,TRUE)</f>
        <v>garrafa 8l</v>
      </c>
      <c r="G469" s="4">
        <f>VLOOKUP(E469,Productos!$A$2:$D$13,3,TRUE)</f>
        <v>8</v>
      </c>
      <c r="H469" s="4">
        <f>VLOOKUP(E469,Productos!$A$2:$D$13,4,TRUE)</f>
        <v>14.5</v>
      </c>
      <c r="I469" s="4" t="s">
        <v>17</v>
      </c>
      <c r="J469" s="4">
        <v>16</v>
      </c>
      <c r="K469" s="7">
        <v>42401</v>
      </c>
    </row>
    <row r="470" spans="1:11" x14ac:dyDescent="0.25">
      <c r="A470" s="4">
        <v>23730</v>
      </c>
      <c r="B470" s="4" t="s">
        <v>647</v>
      </c>
      <c r="C470" s="4" t="s">
        <v>341</v>
      </c>
      <c r="D470" s="4" t="str">
        <f>VLOOKUP(C470,Países!$A$1:$B$186,2,TRUE)</f>
        <v>Sub-Saharan Africa</v>
      </c>
      <c r="E470" s="4" t="s">
        <v>23</v>
      </c>
      <c r="F470" s="4" t="str">
        <f>VLOOKUP(E470,Productos!$A$2:$D$13,2,TRUE)</f>
        <v>botellín 400cc</v>
      </c>
      <c r="G470" s="4">
        <f>VLOOKUP(E470,Productos!$A$2:$D$13,3,TRUE)</f>
        <v>2.2999999999999998</v>
      </c>
      <c r="H470" s="4">
        <f>VLOOKUP(E470,Productos!$A$2:$D$13,4,TRUE)</f>
        <v>4.5</v>
      </c>
      <c r="I470" s="4" t="s">
        <v>17</v>
      </c>
      <c r="J470" s="4">
        <v>144</v>
      </c>
      <c r="K470" s="7">
        <v>42390</v>
      </c>
    </row>
    <row r="471" spans="1:11" x14ac:dyDescent="0.25">
      <c r="A471" s="4">
        <v>23731</v>
      </c>
      <c r="B471" s="4" t="s">
        <v>648</v>
      </c>
      <c r="C471" s="4" t="s">
        <v>88</v>
      </c>
      <c r="D471" s="4" t="str">
        <f>VLOOKUP(C471,Países!$A$1:$B$186,2,TRUE)</f>
        <v>Europe</v>
      </c>
      <c r="E471" s="4" t="s">
        <v>26</v>
      </c>
      <c r="F471" s="4" t="str">
        <f>VLOOKUP(E471,Productos!$A$2:$D$13,2,TRUE)</f>
        <v>botellín 200cc</v>
      </c>
      <c r="G471" s="4">
        <f>VLOOKUP(E471,Productos!$A$2:$D$13,3,TRUE)</f>
        <v>1.5</v>
      </c>
      <c r="H471" s="4">
        <f>VLOOKUP(E471,Productos!$A$2:$D$13,4,TRUE)</f>
        <v>3</v>
      </c>
      <c r="I471" s="4" t="s">
        <v>17</v>
      </c>
      <c r="J471" s="4">
        <v>104</v>
      </c>
      <c r="K471" s="7">
        <v>42376</v>
      </c>
    </row>
    <row r="472" spans="1:11" x14ac:dyDescent="0.25">
      <c r="A472" s="4">
        <v>23732</v>
      </c>
      <c r="B472" s="4" t="s">
        <v>649</v>
      </c>
      <c r="C472" s="4" t="s">
        <v>352</v>
      </c>
      <c r="D472" s="4" t="str">
        <f>VLOOKUP(C472,Países!$A$1:$B$186,2,TRUE)</f>
        <v>Europe</v>
      </c>
      <c r="E472" s="4" t="s">
        <v>23</v>
      </c>
      <c r="F472" s="4" t="str">
        <f>VLOOKUP(E472,Productos!$A$2:$D$13,2,TRUE)</f>
        <v>botellín 400cc</v>
      </c>
      <c r="G472" s="4">
        <f>VLOOKUP(E472,Productos!$A$2:$D$13,3,TRUE)</f>
        <v>2.2999999999999998</v>
      </c>
      <c r="H472" s="4">
        <f>VLOOKUP(E472,Productos!$A$2:$D$13,4,TRUE)</f>
        <v>4.5</v>
      </c>
      <c r="I472" s="4" t="s">
        <v>10</v>
      </c>
      <c r="J472" s="4">
        <v>196</v>
      </c>
      <c r="K472" s="7">
        <v>42421</v>
      </c>
    </row>
    <row r="473" spans="1:11" x14ac:dyDescent="0.25">
      <c r="A473" s="4">
        <v>23733</v>
      </c>
      <c r="B473" s="4" t="s">
        <v>650</v>
      </c>
      <c r="C473" s="4" t="s">
        <v>263</v>
      </c>
      <c r="D473" s="4" t="str">
        <f>VLOOKUP(C473,Países!$A$1:$B$186,2,TRUE)</f>
        <v>Central America and the Caribbean</v>
      </c>
      <c r="E473" s="4" t="s">
        <v>13</v>
      </c>
      <c r="F473" s="4" t="str">
        <f>VLOOKUP(E473,Productos!$A$2:$D$13,2,TRUE)</f>
        <v>botella 1l</v>
      </c>
      <c r="G473" s="4">
        <f>VLOOKUP(E473,Productos!$A$2:$D$13,3,TRUE)</f>
        <v>3.5</v>
      </c>
      <c r="H473" s="4">
        <f>VLOOKUP(E473,Productos!$A$2:$D$13,4,TRUE)</f>
        <v>6.5</v>
      </c>
      <c r="I473" s="4" t="s">
        <v>10</v>
      </c>
      <c r="J473" s="4">
        <v>14</v>
      </c>
      <c r="K473" s="7">
        <v>42419</v>
      </c>
    </row>
    <row r="474" spans="1:11" x14ac:dyDescent="0.25">
      <c r="A474" s="4">
        <v>23734</v>
      </c>
      <c r="B474" s="4" t="s">
        <v>651</v>
      </c>
      <c r="C474" s="4" t="s">
        <v>257</v>
      </c>
      <c r="D474" s="4" t="str">
        <f>VLOOKUP(C474,Países!$A$1:$B$186,2,TRUE)</f>
        <v>Central America and the Caribbean</v>
      </c>
      <c r="E474" s="4" t="s">
        <v>29</v>
      </c>
      <c r="F474" s="4" t="str">
        <f>VLOOKUP(E474,Productos!$A$2:$D$13,2,TRUE)</f>
        <v>botella 0.5l</v>
      </c>
      <c r="G474" s="4">
        <f>VLOOKUP(E474,Productos!$A$2:$D$13,3,TRUE)</f>
        <v>3</v>
      </c>
      <c r="H474" s="4">
        <f>VLOOKUP(E474,Productos!$A$2:$D$13,4,TRUE)</f>
        <v>6</v>
      </c>
      <c r="I474" s="4" t="s">
        <v>17</v>
      </c>
      <c r="J474" s="4">
        <v>87</v>
      </c>
      <c r="K474" s="7">
        <v>42371</v>
      </c>
    </row>
    <row r="475" spans="1:11" x14ac:dyDescent="0.25">
      <c r="A475" s="4">
        <v>23735</v>
      </c>
      <c r="B475" s="4" t="s">
        <v>652</v>
      </c>
      <c r="C475" s="4" t="s">
        <v>566</v>
      </c>
      <c r="D475" s="4" t="str">
        <f>VLOOKUP(C475,Países!$A$1:$B$186,2,TRUE)</f>
        <v>Asia</v>
      </c>
      <c r="E475" s="4" t="s">
        <v>46</v>
      </c>
      <c r="F475" s="4" t="str">
        <f>VLOOKUP(E475,Productos!$A$2:$D$13,2,TRUE)</f>
        <v>botellín 500cc</v>
      </c>
      <c r="G475" s="4">
        <f>VLOOKUP(E475,Productos!$A$2:$D$13,3,TRUE)</f>
        <v>3.5</v>
      </c>
      <c r="H475" s="4">
        <f>VLOOKUP(E475,Productos!$A$2:$D$13,4,TRUE)</f>
        <v>6.5</v>
      </c>
      <c r="I475" s="4" t="s">
        <v>10</v>
      </c>
      <c r="J475" s="4">
        <v>66</v>
      </c>
      <c r="K475" s="7">
        <v>42423</v>
      </c>
    </row>
    <row r="476" spans="1:11" x14ac:dyDescent="0.25">
      <c r="A476" s="4">
        <v>23736</v>
      </c>
      <c r="B476" s="4" t="s">
        <v>653</v>
      </c>
      <c r="C476" s="4" t="s">
        <v>133</v>
      </c>
      <c r="D476" s="4" t="str">
        <f>VLOOKUP(C476,Países!$A$1:$B$186,2,TRUE)</f>
        <v>Middle East and North Africa</v>
      </c>
      <c r="E476" s="4" t="s">
        <v>13</v>
      </c>
      <c r="F476" s="4" t="str">
        <f>VLOOKUP(E476,Productos!$A$2:$D$13,2,TRUE)</f>
        <v>botella 1l</v>
      </c>
      <c r="G476" s="4">
        <f>VLOOKUP(E476,Productos!$A$2:$D$13,3,TRUE)</f>
        <v>3.5</v>
      </c>
      <c r="H476" s="4">
        <f>VLOOKUP(E476,Productos!$A$2:$D$13,4,TRUE)</f>
        <v>6.5</v>
      </c>
      <c r="I476" s="4" t="s">
        <v>10</v>
      </c>
      <c r="J476" s="4">
        <v>154</v>
      </c>
      <c r="K476" s="7">
        <v>42385</v>
      </c>
    </row>
    <row r="477" spans="1:11" x14ac:dyDescent="0.25">
      <c r="A477" s="4">
        <v>23737</v>
      </c>
      <c r="B477" s="4" t="s">
        <v>654</v>
      </c>
      <c r="C477" s="4" t="s">
        <v>366</v>
      </c>
      <c r="D477" s="4" t="str">
        <f>VLOOKUP(C477,Países!$A$1:$B$186,2,TRUE)</f>
        <v>Middle East and North Africa</v>
      </c>
      <c r="E477" s="4" t="s">
        <v>13</v>
      </c>
      <c r="F477" s="4" t="str">
        <f>VLOOKUP(E477,Productos!$A$2:$D$13,2,TRUE)</f>
        <v>botella 1l</v>
      </c>
      <c r="G477" s="4">
        <f>VLOOKUP(E477,Productos!$A$2:$D$13,3,TRUE)</f>
        <v>3.5</v>
      </c>
      <c r="H477" s="4">
        <f>VLOOKUP(E477,Productos!$A$2:$D$13,4,TRUE)</f>
        <v>6.5</v>
      </c>
      <c r="I477" s="4" t="s">
        <v>10</v>
      </c>
      <c r="J477" s="4">
        <v>16</v>
      </c>
      <c r="K477" s="7">
        <v>42398</v>
      </c>
    </row>
    <row r="478" spans="1:11" x14ac:dyDescent="0.25">
      <c r="A478" s="4">
        <v>23738</v>
      </c>
      <c r="B478" s="4" t="s">
        <v>655</v>
      </c>
      <c r="C478" s="4" t="s">
        <v>155</v>
      </c>
      <c r="D478" s="4" t="str">
        <f>VLOOKUP(C478,Países!$A$1:$B$186,2,TRUE)</f>
        <v>Middle East and North Africa</v>
      </c>
      <c r="E478" s="4" t="s">
        <v>51</v>
      </c>
      <c r="F478" s="4" t="str">
        <f>VLOOKUP(E478,Productos!$A$2:$D$13,2,TRUE)</f>
        <v>garrafa 8l</v>
      </c>
      <c r="G478" s="4">
        <f>VLOOKUP(E478,Productos!$A$2:$D$13,3,TRUE)</f>
        <v>8</v>
      </c>
      <c r="H478" s="4">
        <f>VLOOKUP(E478,Productos!$A$2:$D$13,4,TRUE)</f>
        <v>14.5</v>
      </c>
      <c r="I478" s="4" t="s">
        <v>10</v>
      </c>
      <c r="J478" s="4">
        <v>89</v>
      </c>
      <c r="K478" s="7">
        <v>42402</v>
      </c>
    </row>
    <row r="479" spans="1:11" x14ac:dyDescent="0.25">
      <c r="A479" s="4">
        <v>23739</v>
      </c>
      <c r="B479" s="4" t="s">
        <v>656</v>
      </c>
      <c r="C479" s="4" t="s">
        <v>193</v>
      </c>
      <c r="D479" s="4" t="str">
        <f>VLOOKUP(C479,Países!$A$1:$B$186,2,TRUE)</f>
        <v>Sub-Saharan Africa</v>
      </c>
      <c r="E479" s="4" t="s">
        <v>34</v>
      </c>
      <c r="F479" s="4" t="str">
        <f>VLOOKUP(E479,Productos!$A$2:$D$13,2,TRUE)</f>
        <v>garrafa 3l</v>
      </c>
      <c r="G479" s="4">
        <f>VLOOKUP(E479,Productos!$A$2:$D$13,3,TRUE)</f>
        <v>3.5</v>
      </c>
      <c r="H479" s="4">
        <f>VLOOKUP(E479,Productos!$A$2:$D$13,4,TRUE)</f>
        <v>6.99</v>
      </c>
      <c r="I479" s="4" t="s">
        <v>10</v>
      </c>
      <c r="J479" s="4">
        <v>150</v>
      </c>
      <c r="K479" s="7">
        <v>42452</v>
      </c>
    </row>
    <row r="480" spans="1:11" x14ac:dyDescent="0.25">
      <c r="A480" s="4">
        <v>23740</v>
      </c>
      <c r="B480" s="4" t="s">
        <v>657</v>
      </c>
      <c r="C480" s="4" t="s">
        <v>148</v>
      </c>
      <c r="D480" s="4" t="str">
        <f>VLOOKUP(C480,Países!$A$1:$B$186,2,TRUE)</f>
        <v>Middle East and North Africa</v>
      </c>
      <c r="E480" s="4" t="s">
        <v>16</v>
      </c>
      <c r="F480" s="4" t="str">
        <f>VLOOKUP(E480,Productos!$A$2:$D$13,2,TRUE)</f>
        <v>botella 5l</v>
      </c>
      <c r="G480" s="4">
        <f>VLOOKUP(E480,Productos!$A$2:$D$13,3,TRUE)</f>
        <v>6</v>
      </c>
      <c r="H480" s="4">
        <f>VLOOKUP(E480,Productos!$A$2:$D$13,4,TRUE)</f>
        <v>9</v>
      </c>
      <c r="I480" s="4" t="s">
        <v>59</v>
      </c>
      <c r="J480" s="4">
        <v>76</v>
      </c>
      <c r="K480" s="7">
        <v>42394</v>
      </c>
    </row>
    <row r="481" spans="1:11" x14ac:dyDescent="0.25">
      <c r="A481" s="4">
        <v>23741</v>
      </c>
      <c r="B481" s="4" t="s">
        <v>658</v>
      </c>
      <c r="C481" s="4" t="s">
        <v>288</v>
      </c>
      <c r="D481" s="4" t="str">
        <f>VLOOKUP(C481,Países!$A$1:$B$186,2,TRUE)</f>
        <v>Europe</v>
      </c>
      <c r="E481" s="4" t="s">
        <v>26</v>
      </c>
      <c r="F481" s="4" t="str">
        <f>VLOOKUP(E481,Productos!$A$2:$D$13,2,TRUE)</f>
        <v>botellín 200cc</v>
      </c>
      <c r="G481" s="4">
        <f>VLOOKUP(E481,Productos!$A$2:$D$13,3,TRUE)</f>
        <v>1.5</v>
      </c>
      <c r="H481" s="4">
        <f>VLOOKUP(E481,Productos!$A$2:$D$13,4,TRUE)</f>
        <v>3</v>
      </c>
      <c r="I481" s="4" t="s">
        <v>17</v>
      </c>
      <c r="J481" s="4">
        <v>178</v>
      </c>
      <c r="K481" s="7">
        <v>42406</v>
      </c>
    </row>
    <row r="482" spans="1:11" x14ac:dyDescent="0.25">
      <c r="A482" s="4">
        <v>23742</v>
      </c>
      <c r="B482" s="4" t="s">
        <v>659</v>
      </c>
      <c r="C482" s="4" t="s">
        <v>146</v>
      </c>
      <c r="D482" s="4" t="str">
        <f>VLOOKUP(C482,Países!$A$1:$B$186,2,TRUE)</f>
        <v>Europe</v>
      </c>
      <c r="E482" s="4" t="s">
        <v>20</v>
      </c>
      <c r="F482" s="4" t="str">
        <f>VLOOKUP(E482,Productos!$A$2:$D$13,2,TRUE)</f>
        <v>garrafa 4l</v>
      </c>
      <c r="G482" s="4">
        <f>VLOOKUP(E482,Productos!$A$2:$D$13,3,TRUE)</f>
        <v>5</v>
      </c>
      <c r="H482" s="4">
        <f>VLOOKUP(E482,Productos!$A$2:$D$13,4,TRUE)</f>
        <v>9.99</v>
      </c>
      <c r="I482" s="4" t="s">
        <v>10</v>
      </c>
      <c r="J482" s="4">
        <v>193</v>
      </c>
      <c r="K482" s="7">
        <v>42398</v>
      </c>
    </row>
    <row r="483" spans="1:11" x14ac:dyDescent="0.25">
      <c r="A483" s="4">
        <v>23743</v>
      </c>
      <c r="B483" s="4" t="s">
        <v>660</v>
      </c>
      <c r="C483" s="4" t="s">
        <v>79</v>
      </c>
      <c r="D483" s="4" t="str">
        <f>VLOOKUP(C483,Países!$A$1:$B$186,2,TRUE)</f>
        <v>Europe</v>
      </c>
      <c r="E483" s="4" t="s">
        <v>34</v>
      </c>
      <c r="F483" s="4" t="str">
        <f>VLOOKUP(E483,Productos!$A$2:$D$13,2,TRUE)</f>
        <v>garrafa 3l</v>
      </c>
      <c r="G483" s="4">
        <f>VLOOKUP(E483,Productos!$A$2:$D$13,3,TRUE)</f>
        <v>3.5</v>
      </c>
      <c r="H483" s="4">
        <f>VLOOKUP(E483,Productos!$A$2:$D$13,4,TRUE)</f>
        <v>6.99</v>
      </c>
      <c r="I483" s="4" t="s">
        <v>17</v>
      </c>
      <c r="J483" s="4">
        <v>174</v>
      </c>
      <c r="K483" s="7">
        <v>42436</v>
      </c>
    </row>
    <row r="484" spans="1:11" x14ac:dyDescent="0.25">
      <c r="A484" s="4">
        <v>23744</v>
      </c>
      <c r="B484" s="4" t="s">
        <v>661</v>
      </c>
      <c r="C484" s="4" t="s">
        <v>662</v>
      </c>
      <c r="D484" s="4" t="str">
        <f>VLOOKUP(C484,Países!$A$1:$B$186,2,TRUE)</f>
        <v>Europe</v>
      </c>
      <c r="E484" s="4" t="s">
        <v>16</v>
      </c>
      <c r="F484" s="4" t="str">
        <f>VLOOKUP(E484,Productos!$A$2:$D$13,2,TRUE)</f>
        <v>botella 5l</v>
      </c>
      <c r="G484" s="4">
        <f>VLOOKUP(E484,Productos!$A$2:$D$13,3,TRUE)</f>
        <v>6</v>
      </c>
      <c r="H484" s="4">
        <f>VLOOKUP(E484,Productos!$A$2:$D$13,4,TRUE)</f>
        <v>9</v>
      </c>
      <c r="I484" s="4" t="s">
        <v>17</v>
      </c>
      <c r="J484" s="4">
        <v>127</v>
      </c>
      <c r="K484" s="7">
        <v>42407</v>
      </c>
    </row>
    <row r="485" spans="1:11" x14ac:dyDescent="0.25">
      <c r="A485" s="4">
        <v>23745</v>
      </c>
      <c r="B485" s="4" t="s">
        <v>663</v>
      </c>
      <c r="C485" s="4" t="s">
        <v>297</v>
      </c>
      <c r="D485" s="4" t="str">
        <f>VLOOKUP(C485,Países!$A$1:$B$186,2,TRUE)</f>
        <v>Central America and the Caribbean</v>
      </c>
      <c r="E485" s="4" t="s">
        <v>16</v>
      </c>
      <c r="F485" s="4" t="str">
        <f>VLOOKUP(E485,Productos!$A$2:$D$13,2,TRUE)</f>
        <v>botella 5l</v>
      </c>
      <c r="G485" s="4">
        <f>VLOOKUP(E485,Productos!$A$2:$D$13,3,TRUE)</f>
        <v>6</v>
      </c>
      <c r="H485" s="4">
        <f>VLOOKUP(E485,Productos!$A$2:$D$13,4,TRUE)</f>
        <v>9</v>
      </c>
      <c r="I485" s="4" t="s">
        <v>10</v>
      </c>
      <c r="J485" s="4">
        <v>180</v>
      </c>
      <c r="K485" s="7">
        <v>42448</v>
      </c>
    </row>
    <row r="486" spans="1:11" x14ac:dyDescent="0.25">
      <c r="A486" s="4">
        <v>23746</v>
      </c>
      <c r="B486" s="4" t="s">
        <v>664</v>
      </c>
      <c r="C486" s="4" t="s">
        <v>114</v>
      </c>
      <c r="D486" s="4" t="str">
        <f>VLOOKUP(C486,Países!$A$1:$B$186,2,TRUE)</f>
        <v>Sub-Saharan Africa</v>
      </c>
      <c r="E486" s="4" t="s">
        <v>23</v>
      </c>
      <c r="F486" s="4" t="str">
        <f>VLOOKUP(E486,Productos!$A$2:$D$13,2,TRUE)</f>
        <v>botellín 400cc</v>
      </c>
      <c r="G486" s="4">
        <f>VLOOKUP(E486,Productos!$A$2:$D$13,3,TRUE)</f>
        <v>2.2999999999999998</v>
      </c>
      <c r="H486" s="4">
        <f>VLOOKUP(E486,Productos!$A$2:$D$13,4,TRUE)</f>
        <v>4.5</v>
      </c>
      <c r="I486" s="4" t="s">
        <v>17</v>
      </c>
      <c r="J486" s="4">
        <v>10</v>
      </c>
      <c r="K486" s="7">
        <v>42409</v>
      </c>
    </row>
    <row r="487" spans="1:11" x14ac:dyDescent="0.25">
      <c r="A487" s="4">
        <v>23747</v>
      </c>
      <c r="B487" s="4" t="s">
        <v>665</v>
      </c>
      <c r="C487" s="4" t="s">
        <v>140</v>
      </c>
      <c r="D487" s="4" t="str">
        <f>VLOOKUP(C487,Países!$A$1:$B$186,2,TRUE)</f>
        <v>Sub-Saharan Africa</v>
      </c>
      <c r="E487" s="4" t="s">
        <v>29</v>
      </c>
      <c r="F487" s="4" t="str">
        <f>VLOOKUP(E487,Productos!$A$2:$D$13,2,TRUE)</f>
        <v>botella 0.5l</v>
      </c>
      <c r="G487" s="4">
        <f>VLOOKUP(E487,Productos!$A$2:$D$13,3,TRUE)</f>
        <v>3</v>
      </c>
      <c r="H487" s="4">
        <f>VLOOKUP(E487,Productos!$A$2:$D$13,4,TRUE)</f>
        <v>6</v>
      </c>
      <c r="I487" s="4" t="s">
        <v>10</v>
      </c>
      <c r="J487" s="4">
        <v>97</v>
      </c>
      <c r="K487" s="7">
        <v>42385</v>
      </c>
    </row>
    <row r="488" spans="1:11" x14ac:dyDescent="0.25">
      <c r="A488" s="4">
        <v>23748</v>
      </c>
      <c r="B488" s="4" t="s">
        <v>666</v>
      </c>
      <c r="C488" s="4" t="s">
        <v>152</v>
      </c>
      <c r="D488" s="4" t="str">
        <f>VLOOKUP(C488,Países!$A$1:$B$186,2,TRUE)</f>
        <v>Sub-Saharan Africa</v>
      </c>
      <c r="E488" s="4" t="s">
        <v>34</v>
      </c>
      <c r="F488" s="4" t="str">
        <f>VLOOKUP(E488,Productos!$A$2:$D$13,2,TRUE)</f>
        <v>garrafa 3l</v>
      </c>
      <c r="G488" s="4">
        <f>VLOOKUP(E488,Productos!$A$2:$D$13,3,TRUE)</f>
        <v>3.5</v>
      </c>
      <c r="H488" s="4">
        <f>VLOOKUP(E488,Productos!$A$2:$D$13,4,TRUE)</f>
        <v>6.99</v>
      </c>
      <c r="I488" s="4" t="s">
        <v>17</v>
      </c>
      <c r="J488" s="4">
        <v>23</v>
      </c>
      <c r="K488" s="7">
        <v>42409</v>
      </c>
    </row>
    <row r="489" spans="1:11" x14ac:dyDescent="0.25">
      <c r="A489" s="4">
        <v>23749</v>
      </c>
      <c r="B489" s="4" t="s">
        <v>667</v>
      </c>
      <c r="C489" s="4" t="s">
        <v>538</v>
      </c>
      <c r="D489" s="4" t="str">
        <f>VLOOKUP(C489,Países!$A$1:$B$186,2,TRUE)</f>
        <v>Australia and Oceania</v>
      </c>
      <c r="E489" s="4" t="s">
        <v>23</v>
      </c>
      <c r="F489" s="4" t="str">
        <f>VLOOKUP(E489,Productos!$A$2:$D$13,2,TRUE)</f>
        <v>botellín 400cc</v>
      </c>
      <c r="G489" s="4">
        <f>VLOOKUP(E489,Productos!$A$2:$D$13,3,TRUE)</f>
        <v>2.2999999999999998</v>
      </c>
      <c r="H489" s="4">
        <f>VLOOKUP(E489,Productos!$A$2:$D$13,4,TRUE)</f>
        <v>4.5</v>
      </c>
      <c r="I489" s="4" t="s">
        <v>17</v>
      </c>
      <c r="J489" s="4">
        <v>139</v>
      </c>
      <c r="K489" s="7">
        <v>42455</v>
      </c>
    </row>
    <row r="490" spans="1:11" x14ac:dyDescent="0.25">
      <c r="A490" s="4">
        <v>23750</v>
      </c>
      <c r="B490" s="4" t="s">
        <v>668</v>
      </c>
      <c r="C490" s="4" t="s">
        <v>136</v>
      </c>
      <c r="D490" s="4" t="str">
        <f>VLOOKUP(C490,Países!$A$1:$B$186,2,TRUE)</f>
        <v>Asia</v>
      </c>
      <c r="E490" s="4" t="s">
        <v>34</v>
      </c>
      <c r="F490" s="4" t="str">
        <f>VLOOKUP(E490,Productos!$A$2:$D$13,2,TRUE)</f>
        <v>garrafa 3l</v>
      </c>
      <c r="G490" s="4">
        <f>VLOOKUP(E490,Productos!$A$2:$D$13,3,TRUE)</f>
        <v>3.5</v>
      </c>
      <c r="H490" s="4">
        <f>VLOOKUP(E490,Productos!$A$2:$D$13,4,TRUE)</f>
        <v>6.99</v>
      </c>
      <c r="I490" s="4" t="s">
        <v>10</v>
      </c>
      <c r="J490" s="4">
        <v>75</v>
      </c>
      <c r="K490" s="7">
        <v>42411</v>
      </c>
    </row>
    <row r="491" spans="1:11" x14ac:dyDescent="0.25">
      <c r="A491" s="4">
        <v>23751</v>
      </c>
      <c r="B491" s="4" t="s">
        <v>669</v>
      </c>
      <c r="C491" s="4" t="s">
        <v>71</v>
      </c>
      <c r="D491" s="4" t="str">
        <f>VLOOKUP(C491,Países!$A$1:$B$186,2,TRUE)</f>
        <v>Australia and Oceania</v>
      </c>
      <c r="E491" s="4" t="s">
        <v>58</v>
      </c>
      <c r="F491" s="4" t="str">
        <f>VLOOKUP(E491,Productos!$A$2:$D$13,2,TRUE)</f>
        <v>garrafa 2l</v>
      </c>
      <c r="G491" s="4">
        <f>VLOOKUP(E491,Productos!$A$2:$D$13,3,TRUE)</f>
        <v>2.5</v>
      </c>
      <c r="H491" s="4">
        <f>VLOOKUP(E491,Productos!$A$2:$D$13,4,TRUE)</f>
        <v>4.5</v>
      </c>
      <c r="I491" s="4" t="s">
        <v>17</v>
      </c>
      <c r="J491" s="4">
        <v>166</v>
      </c>
      <c r="K491" s="7">
        <v>42421</v>
      </c>
    </row>
    <row r="492" spans="1:11" x14ac:dyDescent="0.25">
      <c r="A492" s="4">
        <v>23752</v>
      </c>
      <c r="B492" s="4" t="s">
        <v>670</v>
      </c>
      <c r="C492" s="4" t="s">
        <v>79</v>
      </c>
      <c r="D492" s="4" t="str">
        <f>VLOOKUP(C492,Países!$A$1:$B$186,2,TRUE)</f>
        <v>Europe</v>
      </c>
      <c r="E492" s="4" t="s">
        <v>26</v>
      </c>
      <c r="F492" s="4" t="str">
        <f>VLOOKUP(E492,Productos!$A$2:$D$13,2,TRUE)</f>
        <v>botellín 200cc</v>
      </c>
      <c r="G492" s="4">
        <f>VLOOKUP(E492,Productos!$A$2:$D$13,3,TRUE)</f>
        <v>1.5</v>
      </c>
      <c r="H492" s="4">
        <f>VLOOKUP(E492,Productos!$A$2:$D$13,4,TRUE)</f>
        <v>3</v>
      </c>
      <c r="I492" s="4" t="s">
        <v>10</v>
      </c>
      <c r="J492" s="4">
        <v>115</v>
      </c>
      <c r="K492" s="7">
        <v>42376</v>
      </c>
    </row>
    <row r="493" spans="1:11" x14ac:dyDescent="0.25">
      <c r="A493" s="4">
        <v>23753</v>
      </c>
      <c r="B493" s="4" t="s">
        <v>671</v>
      </c>
      <c r="C493" s="4" t="s">
        <v>31</v>
      </c>
      <c r="D493" s="4" t="str">
        <f>VLOOKUP(C493,Países!$A$1:$B$186,2,TRUE)</f>
        <v>Europe</v>
      </c>
      <c r="E493" s="4" t="s">
        <v>29</v>
      </c>
      <c r="F493" s="4" t="str">
        <f>VLOOKUP(E493,Productos!$A$2:$D$13,2,TRUE)</f>
        <v>botella 0.5l</v>
      </c>
      <c r="G493" s="4">
        <f>VLOOKUP(E493,Productos!$A$2:$D$13,3,TRUE)</f>
        <v>3</v>
      </c>
      <c r="H493" s="4">
        <f>VLOOKUP(E493,Productos!$A$2:$D$13,4,TRUE)</f>
        <v>6</v>
      </c>
      <c r="I493" s="4" t="s">
        <v>17</v>
      </c>
      <c r="J493" s="4">
        <v>206</v>
      </c>
      <c r="K493" s="7">
        <v>42412</v>
      </c>
    </row>
    <row r="494" spans="1:11" x14ac:dyDescent="0.25">
      <c r="A494" s="4">
        <v>23754</v>
      </c>
      <c r="B494" s="4" t="s">
        <v>672</v>
      </c>
      <c r="C494" s="4" t="s">
        <v>178</v>
      </c>
      <c r="D494" s="4" t="str">
        <f>VLOOKUP(C494,Países!$A$1:$B$186,2,TRUE)</f>
        <v>Sub-Saharan Africa</v>
      </c>
      <c r="E494" s="4" t="s">
        <v>23</v>
      </c>
      <c r="F494" s="4" t="str">
        <f>VLOOKUP(E494,Productos!$A$2:$D$13,2,TRUE)</f>
        <v>botellín 400cc</v>
      </c>
      <c r="G494" s="4">
        <f>VLOOKUP(E494,Productos!$A$2:$D$13,3,TRUE)</f>
        <v>2.2999999999999998</v>
      </c>
      <c r="H494" s="4">
        <f>VLOOKUP(E494,Productos!$A$2:$D$13,4,TRUE)</f>
        <v>4.5</v>
      </c>
      <c r="I494" s="4" t="s">
        <v>17</v>
      </c>
      <c r="J494" s="4">
        <v>66</v>
      </c>
      <c r="K494" s="7">
        <v>42452</v>
      </c>
    </row>
    <row r="495" spans="1:11" x14ac:dyDescent="0.25">
      <c r="A495" s="4">
        <v>23755</v>
      </c>
      <c r="B495" s="4" t="s">
        <v>673</v>
      </c>
      <c r="C495" s="4" t="s">
        <v>442</v>
      </c>
      <c r="D495" s="4" t="str">
        <f>VLOOKUP(C495,Países!$A$1:$B$186,2,TRUE)</f>
        <v>Asia</v>
      </c>
      <c r="E495" s="4" t="s">
        <v>13</v>
      </c>
      <c r="F495" s="4" t="str">
        <f>VLOOKUP(E495,Productos!$A$2:$D$13,2,TRUE)</f>
        <v>botella 1l</v>
      </c>
      <c r="G495" s="4">
        <f>VLOOKUP(E495,Productos!$A$2:$D$13,3,TRUE)</f>
        <v>3.5</v>
      </c>
      <c r="H495" s="4">
        <f>VLOOKUP(E495,Productos!$A$2:$D$13,4,TRUE)</f>
        <v>6.5</v>
      </c>
      <c r="I495" s="4" t="s">
        <v>17</v>
      </c>
      <c r="J495" s="4">
        <v>65</v>
      </c>
      <c r="K495" s="7">
        <v>42375</v>
      </c>
    </row>
    <row r="496" spans="1:11" x14ac:dyDescent="0.25">
      <c r="A496" s="4">
        <v>23756</v>
      </c>
      <c r="B496" s="4" t="s">
        <v>674</v>
      </c>
      <c r="C496" s="4" t="s">
        <v>403</v>
      </c>
      <c r="D496" s="4" t="str">
        <f>VLOOKUP(C496,Países!$A$1:$B$186,2,TRUE)</f>
        <v>Central America and the Caribbean</v>
      </c>
      <c r="E496" s="4" t="s">
        <v>51</v>
      </c>
      <c r="F496" s="4" t="str">
        <f>VLOOKUP(E496,Productos!$A$2:$D$13,2,TRUE)</f>
        <v>garrafa 8l</v>
      </c>
      <c r="G496" s="4">
        <f>VLOOKUP(E496,Productos!$A$2:$D$13,3,TRUE)</f>
        <v>8</v>
      </c>
      <c r="H496" s="4">
        <f>VLOOKUP(E496,Productos!$A$2:$D$13,4,TRUE)</f>
        <v>14.5</v>
      </c>
      <c r="I496" s="4" t="s">
        <v>17</v>
      </c>
      <c r="J496" s="4">
        <v>92</v>
      </c>
      <c r="K496" s="7">
        <v>42373</v>
      </c>
    </row>
    <row r="497" spans="1:11" x14ac:dyDescent="0.25">
      <c r="A497" s="4">
        <v>23757</v>
      </c>
      <c r="B497" s="4" t="s">
        <v>675</v>
      </c>
      <c r="C497" s="4" t="s">
        <v>142</v>
      </c>
      <c r="D497" s="4" t="str">
        <f>VLOOKUP(C497,Países!$A$1:$B$186,2,TRUE)</f>
        <v>Europe</v>
      </c>
      <c r="E497" s="4" t="s">
        <v>26</v>
      </c>
      <c r="F497" s="4" t="str">
        <f>VLOOKUP(E497,Productos!$A$2:$D$13,2,TRUE)</f>
        <v>botellín 200cc</v>
      </c>
      <c r="G497" s="4">
        <f>VLOOKUP(E497,Productos!$A$2:$D$13,3,TRUE)</f>
        <v>1.5</v>
      </c>
      <c r="H497" s="4">
        <f>VLOOKUP(E497,Productos!$A$2:$D$13,4,TRUE)</f>
        <v>3</v>
      </c>
      <c r="I497" s="4" t="s">
        <v>17</v>
      </c>
      <c r="J497" s="4">
        <v>185</v>
      </c>
      <c r="K497" s="7">
        <v>42416</v>
      </c>
    </row>
    <row r="498" spans="1:11" x14ac:dyDescent="0.25">
      <c r="A498" s="4">
        <v>23758</v>
      </c>
      <c r="B498" s="4" t="s">
        <v>676</v>
      </c>
      <c r="C498" s="4" t="s">
        <v>15</v>
      </c>
      <c r="D498" s="4" t="str">
        <f>VLOOKUP(C498,Países!$A$1:$B$186,2,TRUE)</f>
        <v>Sub-Saharan Africa</v>
      </c>
      <c r="E498" s="4" t="s">
        <v>13</v>
      </c>
      <c r="F498" s="4" t="str">
        <f>VLOOKUP(E498,Productos!$A$2:$D$13,2,TRUE)</f>
        <v>botella 1l</v>
      </c>
      <c r="G498" s="4">
        <f>VLOOKUP(E498,Productos!$A$2:$D$13,3,TRUE)</f>
        <v>3.5</v>
      </c>
      <c r="H498" s="4">
        <f>VLOOKUP(E498,Productos!$A$2:$D$13,4,TRUE)</f>
        <v>6.5</v>
      </c>
      <c r="I498" s="4" t="s">
        <v>10</v>
      </c>
      <c r="J498" s="4">
        <v>205</v>
      </c>
      <c r="K498" s="7">
        <v>42428</v>
      </c>
    </row>
    <row r="499" spans="1:11" x14ac:dyDescent="0.25">
      <c r="A499" s="4">
        <v>23759</v>
      </c>
      <c r="B499" s="4" t="s">
        <v>677</v>
      </c>
      <c r="C499" s="4" t="s">
        <v>331</v>
      </c>
      <c r="D499" s="4" t="str">
        <f>VLOOKUP(C499,Países!$A$1:$B$186,2,TRUE)</f>
        <v>Middle East and North Africa</v>
      </c>
      <c r="E499" s="4" t="s">
        <v>23</v>
      </c>
      <c r="F499" s="4" t="str">
        <f>VLOOKUP(E499,Productos!$A$2:$D$13,2,TRUE)</f>
        <v>botellín 400cc</v>
      </c>
      <c r="G499" s="4">
        <f>VLOOKUP(E499,Productos!$A$2:$D$13,3,TRUE)</f>
        <v>2.2999999999999998</v>
      </c>
      <c r="H499" s="4">
        <f>VLOOKUP(E499,Productos!$A$2:$D$13,4,TRUE)</f>
        <v>4.5</v>
      </c>
      <c r="I499" s="4" t="s">
        <v>17</v>
      </c>
      <c r="J499" s="4">
        <v>82</v>
      </c>
      <c r="K499" s="7">
        <v>42388</v>
      </c>
    </row>
    <row r="500" spans="1:11" x14ac:dyDescent="0.25">
      <c r="A500" s="4">
        <v>23760</v>
      </c>
      <c r="B500" s="4" t="s">
        <v>678</v>
      </c>
      <c r="C500" s="4" t="s">
        <v>333</v>
      </c>
      <c r="D500" s="4" t="str">
        <f>VLOOKUP(C500,Países!$A$1:$B$186,2,TRUE)</f>
        <v>Asia</v>
      </c>
      <c r="E500" s="4" t="s">
        <v>9</v>
      </c>
      <c r="F500" s="4" t="str">
        <f>VLOOKUP(E500,Productos!$A$2:$D$13,2,TRUE)</f>
        <v>garrafa 1l</v>
      </c>
      <c r="G500" s="4">
        <f>VLOOKUP(E500,Productos!$A$2:$D$13,3,TRUE)</f>
        <v>1</v>
      </c>
      <c r="H500" s="4">
        <f>VLOOKUP(E500,Productos!$A$2:$D$13,4,TRUE)</f>
        <v>2</v>
      </c>
      <c r="I500" s="4" t="s">
        <v>59</v>
      </c>
      <c r="J500" s="4">
        <v>69</v>
      </c>
      <c r="K500" s="7">
        <v>42444</v>
      </c>
    </row>
    <row r="501" spans="1:11" x14ac:dyDescent="0.25">
      <c r="A501" s="4">
        <v>23761</v>
      </c>
      <c r="B501" s="4" t="s">
        <v>679</v>
      </c>
      <c r="C501" s="4" t="s">
        <v>390</v>
      </c>
      <c r="D501" s="4" t="str">
        <f>VLOOKUP(C501,Países!$A$1:$B$186,2,TRUE)</f>
        <v>Australia and Oceania</v>
      </c>
      <c r="E501" s="4" t="s">
        <v>23</v>
      </c>
      <c r="F501" s="4" t="str">
        <f>VLOOKUP(E501,Productos!$A$2:$D$13,2,TRUE)</f>
        <v>botellín 400cc</v>
      </c>
      <c r="G501" s="4">
        <f>VLOOKUP(E501,Productos!$A$2:$D$13,3,TRUE)</f>
        <v>2.2999999999999998</v>
      </c>
      <c r="H501" s="4">
        <f>VLOOKUP(E501,Productos!$A$2:$D$13,4,TRUE)</f>
        <v>4.5</v>
      </c>
      <c r="I501" s="4" t="s">
        <v>17</v>
      </c>
      <c r="J501" s="4">
        <v>198</v>
      </c>
      <c r="K501" s="7">
        <v>42417</v>
      </c>
    </row>
    <row r="502" spans="1:11" x14ac:dyDescent="0.25">
      <c r="A502" s="4">
        <v>23762</v>
      </c>
      <c r="B502" s="4" t="s">
        <v>680</v>
      </c>
      <c r="C502" s="4" t="s">
        <v>119</v>
      </c>
      <c r="D502" s="4" t="str">
        <f>VLOOKUP(C502,Países!$A$1:$B$186,2,TRUE)</f>
        <v>Sub-Saharan Africa</v>
      </c>
      <c r="E502" s="4" t="s">
        <v>34</v>
      </c>
      <c r="F502" s="4" t="str">
        <f>VLOOKUP(E502,Productos!$A$2:$D$13,2,TRUE)</f>
        <v>garrafa 3l</v>
      </c>
      <c r="G502" s="4">
        <f>VLOOKUP(E502,Productos!$A$2:$D$13,3,TRUE)</f>
        <v>3.5</v>
      </c>
      <c r="H502" s="4">
        <f>VLOOKUP(E502,Productos!$A$2:$D$13,4,TRUE)</f>
        <v>6.99</v>
      </c>
      <c r="I502" s="4" t="s">
        <v>10</v>
      </c>
      <c r="J502" s="4">
        <v>105</v>
      </c>
      <c r="K502" s="7">
        <v>42425</v>
      </c>
    </row>
    <row r="503" spans="1:11" x14ac:dyDescent="0.25">
      <c r="A503" s="4">
        <v>23763</v>
      </c>
      <c r="B503" s="4" t="s">
        <v>681</v>
      </c>
      <c r="C503" s="4" t="s">
        <v>142</v>
      </c>
      <c r="D503" s="4" t="str">
        <f>VLOOKUP(C503,Países!$A$1:$B$186,2,TRUE)</f>
        <v>Europe</v>
      </c>
      <c r="E503" s="4" t="s">
        <v>16</v>
      </c>
      <c r="F503" s="4" t="str">
        <f>VLOOKUP(E503,Productos!$A$2:$D$13,2,TRUE)</f>
        <v>botella 5l</v>
      </c>
      <c r="G503" s="4">
        <f>VLOOKUP(E503,Productos!$A$2:$D$13,3,TRUE)</f>
        <v>6</v>
      </c>
      <c r="H503" s="4">
        <f>VLOOKUP(E503,Productos!$A$2:$D$13,4,TRUE)</f>
        <v>9</v>
      </c>
      <c r="I503" s="4" t="s">
        <v>10</v>
      </c>
      <c r="J503" s="4">
        <v>7</v>
      </c>
      <c r="K503" s="7">
        <v>42440</v>
      </c>
    </row>
    <row r="504" spans="1:11" x14ac:dyDescent="0.25">
      <c r="A504" s="4">
        <v>23764</v>
      </c>
      <c r="B504" s="4" t="s">
        <v>682</v>
      </c>
      <c r="C504" s="4" t="s">
        <v>100</v>
      </c>
      <c r="D504" s="4" t="str">
        <f>VLOOKUP(C504,Países!$A$1:$B$186,2,TRUE)</f>
        <v>Asia</v>
      </c>
      <c r="E504" s="4" t="s">
        <v>13</v>
      </c>
      <c r="F504" s="4" t="str">
        <f>VLOOKUP(E504,Productos!$A$2:$D$13,2,TRUE)</f>
        <v>botella 1l</v>
      </c>
      <c r="G504" s="4">
        <f>VLOOKUP(E504,Productos!$A$2:$D$13,3,TRUE)</f>
        <v>3.5</v>
      </c>
      <c r="H504" s="4">
        <f>VLOOKUP(E504,Productos!$A$2:$D$13,4,TRUE)</f>
        <v>6.5</v>
      </c>
      <c r="I504" s="4" t="s">
        <v>59</v>
      </c>
      <c r="J504" s="4">
        <v>122</v>
      </c>
      <c r="K504" s="7">
        <v>42413</v>
      </c>
    </row>
    <row r="505" spans="1:11" x14ac:dyDescent="0.25">
      <c r="A505" s="4">
        <v>23765</v>
      </c>
      <c r="B505" s="4" t="s">
        <v>683</v>
      </c>
      <c r="C505" s="4" t="s">
        <v>168</v>
      </c>
      <c r="D505" s="4" t="str">
        <f>VLOOKUP(C505,Países!$A$1:$B$186,2,TRUE)</f>
        <v>Asia</v>
      </c>
      <c r="E505" s="4" t="s">
        <v>26</v>
      </c>
      <c r="F505" s="4" t="str">
        <f>VLOOKUP(E505,Productos!$A$2:$D$13,2,TRUE)</f>
        <v>botellín 200cc</v>
      </c>
      <c r="G505" s="4">
        <f>VLOOKUP(E505,Productos!$A$2:$D$13,3,TRUE)</f>
        <v>1.5</v>
      </c>
      <c r="H505" s="4">
        <f>VLOOKUP(E505,Productos!$A$2:$D$13,4,TRUE)</f>
        <v>3</v>
      </c>
      <c r="I505" s="4" t="s">
        <v>10</v>
      </c>
      <c r="J505" s="4">
        <v>29</v>
      </c>
      <c r="K505" s="7">
        <v>42446</v>
      </c>
    </row>
    <row r="506" spans="1:11" x14ac:dyDescent="0.25">
      <c r="A506" s="4">
        <v>23766</v>
      </c>
      <c r="B506" s="4" t="s">
        <v>684</v>
      </c>
      <c r="C506" s="4" t="s">
        <v>341</v>
      </c>
      <c r="D506" s="4" t="str">
        <f>VLOOKUP(C506,Países!$A$1:$B$186,2,TRUE)</f>
        <v>Sub-Saharan Africa</v>
      </c>
      <c r="E506" s="4" t="s">
        <v>9</v>
      </c>
      <c r="F506" s="4" t="str">
        <f>VLOOKUP(E506,Productos!$A$2:$D$13,2,TRUE)</f>
        <v>garrafa 1l</v>
      </c>
      <c r="G506" s="4">
        <f>VLOOKUP(E506,Productos!$A$2:$D$13,3,TRUE)</f>
        <v>1</v>
      </c>
      <c r="H506" s="4">
        <f>VLOOKUP(E506,Productos!$A$2:$D$13,4,TRUE)</f>
        <v>2</v>
      </c>
      <c r="I506" s="4" t="s">
        <v>17</v>
      </c>
      <c r="J506" s="4">
        <v>75</v>
      </c>
      <c r="K506" s="7">
        <v>42426</v>
      </c>
    </row>
    <row r="507" spans="1:11" x14ac:dyDescent="0.25">
      <c r="A507" s="4">
        <v>23767</v>
      </c>
      <c r="B507" s="4" t="s">
        <v>685</v>
      </c>
      <c r="C507" s="4" t="s">
        <v>133</v>
      </c>
      <c r="D507" s="4" t="str">
        <f>VLOOKUP(C507,Países!$A$1:$B$186,2,TRUE)</f>
        <v>Middle East and North Africa</v>
      </c>
      <c r="E507" s="4" t="s">
        <v>23</v>
      </c>
      <c r="F507" s="4" t="str">
        <f>VLOOKUP(E507,Productos!$A$2:$D$13,2,TRUE)</f>
        <v>botellín 400cc</v>
      </c>
      <c r="G507" s="4">
        <f>VLOOKUP(E507,Productos!$A$2:$D$13,3,TRUE)</f>
        <v>2.2999999999999998</v>
      </c>
      <c r="H507" s="4">
        <f>VLOOKUP(E507,Productos!$A$2:$D$13,4,TRUE)</f>
        <v>4.5</v>
      </c>
      <c r="I507" s="4" t="s">
        <v>17</v>
      </c>
      <c r="J507" s="4">
        <v>83</v>
      </c>
      <c r="K507" s="7">
        <v>42400</v>
      </c>
    </row>
    <row r="508" spans="1:11" x14ac:dyDescent="0.25">
      <c r="A508" s="4">
        <v>23768</v>
      </c>
      <c r="B508" s="4" t="s">
        <v>686</v>
      </c>
      <c r="C508" s="4" t="s">
        <v>390</v>
      </c>
      <c r="D508" s="4" t="str">
        <f>VLOOKUP(C508,Países!$A$1:$B$186,2,TRUE)</f>
        <v>Australia and Oceania</v>
      </c>
      <c r="E508" s="4" t="s">
        <v>58</v>
      </c>
      <c r="F508" s="4" t="str">
        <f>VLOOKUP(E508,Productos!$A$2:$D$13,2,TRUE)</f>
        <v>garrafa 2l</v>
      </c>
      <c r="G508" s="4">
        <f>VLOOKUP(E508,Productos!$A$2:$D$13,3,TRUE)</f>
        <v>2.5</v>
      </c>
      <c r="H508" s="4">
        <f>VLOOKUP(E508,Productos!$A$2:$D$13,4,TRUE)</f>
        <v>4.5</v>
      </c>
      <c r="I508" s="4" t="s">
        <v>10</v>
      </c>
      <c r="J508" s="4">
        <v>168</v>
      </c>
      <c r="K508" s="7">
        <v>42373</v>
      </c>
    </row>
    <row r="509" spans="1:11" x14ac:dyDescent="0.25">
      <c r="A509" s="4">
        <v>23769</v>
      </c>
      <c r="B509" s="4" t="s">
        <v>687</v>
      </c>
      <c r="C509" s="4" t="s">
        <v>193</v>
      </c>
      <c r="D509" s="4" t="str">
        <f>VLOOKUP(C509,Países!$A$1:$B$186,2,TRUE)</f>
        <v>Sub-Saharan Africa</v>
      </c>
      <c r="E509" s="4" t="s">
        <v>46</v>
      </c>
      <c r="F509" s="4" t="str">
        <f>VLOOKUP(E509,Productos!$A$2:$D$13,2,TRUE)</f>
        <v>botellín 500cc</v>
      </c>
      <c r="G509" s="4">
        <f>VLOOKUP(E509,Productos!$A$2:$D$13,3,TRUE)</f>
        <v>3.5</v>
      </c>
      <c r="H509" s="4">
        <f>VLOOKUP(E509,Productos!$A$2:$D$13,4,TRUE)</f>
        <v>6.5</v>
      </c>
      <c r="I509" s="4" t="s">
        <v>10</v>
      </c>
      <c r="J509" s="4">
        <v>153</v>
      </c>
      <c r="K509" s="7">
        <v>42439</v>
      </c>
    </row>
    <row r="510" spans="1:11" x14ac:dyDescent="0.25">
      <c r="A510" s="4">
        <v>23770</v>
      </c>
      <c r="B510" s="4" t="s">
        <v>688</v>
      </c>
      <c r="C510" s="4" t="s">
        <v>267</v>
      </c>
      <c r="D510" s="4" t="str">
        <f>VLOOKUP(C510,Países!$A$1:$B$186,2,TRUE)</f>
        <v>Sub-Saharan Africa</v>
      </c>
      <c r="E510" s="4" t="s">
        <v>46</v>
      </c>
      <c r="F510" s="4" t="str">
        <f>VLOOKUP(E510,Productos!$A$2:$D$13,2,TRUE)</f>
        <v>botellín 500cc</v>
      </c>
      <c r="G510" s="4">
        <f>VLOOKUP(E510,Productos!$A$2:$D$13,3,TRUE)</f>
        <v>3.5</v>
      </c>
      <c r="H510" s="4">
        <f>VLOOKUP(E510,Productos!$A$2:$D$13,4,TRUE)</f>
        <v>6.5</v>
      </c>
      <c r="I510" s="4" t="s">
        <v>10</v>
      </c>
      <c r="J510" s="4">
        <v>109</v>
      </c>
      <c r="K510" s="7">
        <v>42402</v>
      </c>
    </row>
    <row r="511" spans="1:11" x14ac:dyDescent="0.25">
      <c r="A511" s="4">
        <v>23771</v>
      </c>
      <c r="B511" s="4" t="s">
        <v>689</v>
      </c>
      <c r="C511" s="4" t="s">
        <v>490</v>
      </c>
      <c r="D511" s="4" t="str">
        <f>VLOOKUP(C511,Países!$A$1:$B$186,2,TRUE)</f>
        <v>Sub-Saharan Africa</v>
      </c>
      <c r="E511" s="4" t="s">
        <v>58</v>
      </c>
      <c r="F511" s="4" t="str">
        <f>VLOOKUP(E511,Productos!$A$2:$D$13,2,TRUE)</f>
        <v>garrafa 2l</v>
      </c>
      <c r="G511" s="4">
        <f>VLOOKUP(E511,Productos!$A$2:$D$13,3,TRUE)</f>
        <v>2.5</v>
      </c>
      <c r="H511" s="4">
        <f>VLOOKUP(E511,Productos!$A$2:$D$13,4,TRUE)</f>
        <v>4.5</v>
      </c>
      <c r="I511" s="4" t="s">
        <v>10</v>
      </c>
      <c r="J511" s="4">
        <v>57</v>
      </c>
      <c r="K511" s="7">
        <v>42428</v>
      </c>
    </row>
    <row r="512" spans="1:11" x14ac:dyDescent="0.25">
      <c r="A512" s="4">
        <v>23772</v>
      </c>
      <c r="B512" s="4" t="s">
        <v>690</v>
      </c>
      <c r="C512" s="4" t="s">
        <v>100</v>
      </c>
      <c r="D512" s="4" t="str">
        <f>VLOOKUP(C512,Países!$A$1:$B$186,2,TRUE)</f>
        <v>Asia</v>
      </c>
      <c r="E512" s="4" t="s">
        <v>16</v>
      </c>
      <c r="F512" s="4" t="str">
        <f>VLOOKUP(E512,Productos!$A$2:$D$13,2,TRUE)</f>
        <v>botella 5l</v>
      </c>
      <c r="G512" s="4">
        <f>VLOOKUP(E512,Productos!$A$2:$D$13,3,TRUE)</f>
        <v>6</v>
      </c>
      <c r="H512" s="4">
        <f>VLOOKUP(E512,Productos!$A$2:$D$13,4,TRUE)</f>
        <v>9</v>
      </c>
      <c r="I512" s="4" t="s">
        <v>10</v>
      </c>
      <c r="J512" s="4">
        <v>119</v>
      </c>
      <c r="K512" s="7">
        <v>42385</v>
      </c>
    </row>
    <row r="513" spans="1:11" x14ac:dyDescent="0.25">
      <c r="A513" s="4">
        <v>23773</v>
      </c>
      <c r="B513" s="4" t="s">
        <v>691</v>
      </c>
      <c r="C513" s="4" t="s">
        <v>172</v>
      </c>
      <c r="D513" s="4" t="str">
        <f>VLOOKUP(C513,Países!$A$1:$B$186,2,TRUE)</f>
        <v>Middle East and North Africa</v>
      </c>
      <c r="E513" s="4" t="s">
        <v>13</v>
      </c>
      <c r="F513" s="4" t="str">
        <f>VLOOKUP(E513,Productos!$A$2:$D$13,2,TRUE)</f>
        <v>botella 1l</v>
      </c>
      <c r="G513" s="4">
        <f>VLOOKUP(E513,Productos!$A$2:$D$13,3,TRUE)</f>
        <v>3.5</v>
      </c>
      <c r="H513" s="4">
        <f>VLOOKUP(E513,Productos!$A$2:$D$13,4,TRUE)</f>
        <v>6.5</v>
      </c>
      <c r="I513" s="4" t="s">
        <v>17</v>
      </c>
      <c r="J513" s="4">
        <v>87</v>
      </c>
      <c r="K513" s="7">
        <v>42428</v>
      </c>
    </row>
    <row r="514" spans="1:11" x14ac:dyDescent="0.25">
      <c r="A514" s="4">
        <v>23774</v>
      </c>
      <c r="B514" s="4" t="s">
        <v>692</v>
      </c>
      <c r="C514" s="4" t="s">
        <v>12</v>
      </c>
      <c r="D514" s="4" t="str">
        <f>VLOOKUP(C514,Países!$A$1:$B$186,2,TRUE)</f>
        <v>Central America and the Caribbean</v>
      </c>
      <c r="E514" s="4" t="s">
        <v>26</v>
      </c>
      <c r="F514" s="4" t="str">
        <f>VLOOKUP(E514,Productos!$A$2:$D$13,2,TRUE)</f>
        <v>botellín 200cc</v>
      </c>
      <c r="G514" s="4">
        <f>VLOOKUP(E514,Productos!$A$2:$D$13,3,TRUE)</f>
        <v>1.5</v>
      </c>
      <c r="H514" s="4">
        <f>VLOOKUP(E514,Productos!$A$2:$D$13,4,TRUE)</f>
        <v>3</v>
      </c>
      <c r="I514" s="4" t="s">
        <v>17</v>
      </c>
      <c r="J514" s="4">
        <v>170</v>
      </c>
      <c r="K514" s="7">
        <v>42436</v>
      </c>
    </row>
    <row r="515" spans="1:11" x14ac:dyDescent="0.25">
      <c r="A515" s="4">
        <v>23775</v>
      </c>
      <c r="B515" s="4" t="s">
        <v>693</v>
      </c>
      <c r="C515" s="4" t="s">
        <v>694</v>
      </c>
      <c r="D515" s="4" t="str">
        <f>VLOOKUP(C515,Países!$A$1:$B$186,2,TRUE)</f>
        <v>Sub-Saharan Africa</v>
      </c>
      <c r="E515" s="4" t="s">
        <v>34</v>
      </c>
      <c r="F515" s="4" t="str">
        <f>VLOOKUP(E515,Productos!$A$2:$D$13,2,TRUE)</f>
        <v>garrafa 3l</v>
      </c>
      <c r="G515" s="4">
        <f>VLOOKUP(E515,Productos!$A$2:$D$13,3,TRUE)</f>
        <v>3.5</v>
      </c>
      <c r="H515" s="4">
        <f>VLOOKUP(E515,Productos!$A$2:$D$13,4,TRUE)</f>
        <v>6.99</v>
      </c>
      <c r="I515" s="4" t="s">
        <v>17</v>
      </c>
      <c r="J515" s="4">
        <v>91</v>
      </c>
      <c r="K515" s="7">
        <v>42373</v>
      </c>
    </row>
    <row r="516" spans="1:11" x14ac:dyDescent="0.25">
      <c r="A516" s="4">
        <v>23776</v>
      </c>
      <c r="B516" s="4" t="s">
        <v>695</v>
      </c>
      <c r="C516" s="4" t="s">
        <v>434</v>
      </c>
      <c r="D516" s="4" t="str">
        <f>VLOOKUP(C516,Países!$A$1:$B$186,2,TRUE)</f>
        <v>Europe</v>
      </c>
      <c r="E516" s="4" t="s">
        <v>29</v>
      </c>
      <c r="F516" s="4" t="str">
        <f>VLOOKUP(E516,Productos!$A$2:$D$13,2,TRUE)</f>
        <v>botella 0.5l</v>
      </c>
      <c r="G516" s="4">
        <f>VLOOKUP(E516,Productos!$A$2:$D$13,3,TRUE)</f>
        <v>3</v>
      </c>
      <c r="H516" s="4">
        <f>VLOOKUP(E516,Productos!$A$2:$D$13,4,TRUE)</f>
        <v>6</v>
      </c>
      <c r="I516" s="4" t="s">
        <v>17</v>
      </c>
      <c r="J516" s="4">
        <v>124</v>
      </c>
      <c r="K516" s="7">
        <v>42433</v>
      </c>
    </row>
    <row r="517" spans="1:11" x14ac:dyDescent="0.25">
      <c r="A517" s="4">
        <v>23777</v>
      </c>
      <c r="B517" s="4" t="s">
        <v>696</v>
      </c>
      <c r="C517" s="4" t="s">
        <v>129</v>
      </c>
      <c r="D517" s="4" t="str">
        <f>VLOOKUP(C517,Países!$A$1:$B$186,2,TRUE)</f>
        <v>Central America and the Caribbean</v>
      </c>
      <c r="E517" s="4" t="s">
        <v>13</v>
      </c>
      <c r="F517" s="4" t="str">
        <f>VLOOKUP(E517,Productos!$A$2:$D$13,2,TRUE)</f>
        <v>botella 1l</v>
      </c>
      <c r="G517" s="4">
        <f>VLOOKUP(E517,Productos!$A$2:$D$13,3,TRUE)</f>
        <v>3.5</v>
      </c>
      <c r="H517" s="4">
        <f>VLOOKUP(E517,Productos!$A$2:$D$13,4,TRUE)</f>
        <v>6.5</v>
      </c>
      <c r="I517" s="4" t="s">
        <v>10</v>
      </c>
      <c r="J517" s="4">
        <v>163</v>
      </c>
      <c r="K517" s="7">
        <v>42419</v>
      </c>
    </row>
    <row r="518" spans="1:11" x14ac:dyDescent="0.25">
      <c r="A518" s="4">
        <v>23778</v>
      </c>
      <c r="B518" s="4" t="s">
        <v>697</v>
      </c>
      <c r="C518" s="4" t="s">
        <v>125</v>
      </c>
      <c r="D518" s="4" t="str">
        <f>VLOOKUP(C518,Países!$A$1:$B$186,2,TRUE)</f>
        <v>Sub-Saharan Africa</v>
      </c>
      <c r="E518" s="4" t="s">
        <v>29</v>
      </c>
      <c r="F518" s="4" t="str">
        <f>VLOOKUP(E518,Productos!$A$2:$D$13,2,TRUE)</f>
        <v>botella 0.5l</v>
      </c>
      <c r="G518" s="4">
        <f>VLOOKUP(E518,Productos!$A$2:$D$13,3,TRUE)</f>
        <v>3</v>
      </c>
      <c r="H518" s="4">
        <f>VLOOKUP(E518,Productos!$A$2:$D$13,4,TRUE)</f>
        <v>6</v>
      </c>
      <c r="I518" s="4" t="s">
        <v>10</v>
      </c>
      <c r="J518" s="4">
        <v>81</v>
      </c>
      <c r="K518" s="7">
        <v>42397</v>
      </c>
    </row>
    <row r="519" spans="1:11" x14ac:dyDescent="0.25">
      <c r="A519" s="4">
        <v>23779</v>
      </c>
      <c r="B519" s="4" t="s">
        <v>698</v>
      </c>
      <c r="C519" s="4" t="s">
        <v>15</v>
      </c>
      <c r="D519" s="4" t="str">
        <f>VLOOKUP(C519,Países!$A$1:$B$186,2,TRUE)</f>
        <v>Sub-Saharan Africa</v>
      </c>
      <c r="E519" s="4" t="s">
        <v>34</v>
      </c>
      <c r="F519" s="4" t="str">
        <f>VLOOKUP(E519,Productos!$A$2:$D$13,2,TRUE)</f>
        <v>garrafa 3l</v>
      </c>
      <c r="G519" s="4">
        <f>VLOOKUP(E519,Productos!$A$2:$D$13,3,TRUE)</f>
        <v>3.5</v>
      </c>
      <c r="H519" s="4">
        <f>VLOOKUP(E519,Productos!$A$2:$D$13,4,TRUE)</f>
        <v>6.99</v>
      </c>
      <c r="I519" s="4" t="s">
        <v>10</v>
      </c>
      <c r="J519" s="4">
        <v>124</v>
      </c>
      <c r="K519" s="7">
        <v>42436</v>
      </c>
    </row>
    <row r="520" spans="1:11" x14ac:dyDescent="0.25">
      <c r="A520" s="4">
        <v>23780</v>
      </c>
      <c r="B520" s="4" t="s">
        <v>699</v>
      </c>
      <c r="C520" s="4" t="s">
        <v>57</v>
      </c>
      <c r="D520" s="4" t="str">
        <f>VLOOKUP(C520,Países!$A$1:$B$186,2,TRUE)</f>
        <v>Sub-Saharan Africa</v>
      </c>
      <c r="E520" s="4" t="s">
        <v>16</v>
      </c>
      <c r="F520" s="4" t="str">
        <f>VLOOKUP(E520,Productos!$A$2:$D$13,2,TRUE)</f>
        <v>botella 5l</v>
      </c>
      <c r="G520" s="4">
        <f>VLOOKUP(E520,Productos!$A$2:$D$13,3,TRUE)</f>
        <v>6</v>
      </c>
      <c r="H520" s="4">
        <f>VLOOKUP(E520,Productos!$A$2:$D$13,4,TRUE)</f>
        <v>9</v>
      </c>
      <c r="I520" s="4" t="s">
        <v>17</v>
      </c>
      <c r="J520" s="4">
        <v>40</v>
      </c>
      <c r="K520" s="7">
        <v>42446</v>
      </c>
    </row>
    <row r="521" spans="1:11" x14ac:dyDescent="0.25">
      <c r="A521" s="4">
        <v>23781</v>
      </c>
      <c r="B521" s="4" t="s">
        <v>700</v>
      </c>
      <c r="C521" s="4" t="s">
        <v>33</v>
      </c>
      <c r="D521" s="4" t="str">
        <f>VLOOKUP(C521,Países!$A$1:$B$186,2,TRUE)</f>
        <v>Asia</v>
      </c>
      <c r="E521" s="4" t="s">
        <v>46</v>
      </c>
      <c r="F521" s="4" t="str">
        <f>VLOOKUP(E521,Productos!$A$2:$D$13,2,TRUE)</f>
        <v>botellín 500cc</v>
      </c>
      <c r="G521" s="4">
        <f>VLOOKUP(E521,Productos!$A$2:$D$13,3,TRUE)</f>
        <v>3.5</v>
      </c>
      <c r="H521" s="4">
        <f>VLOOKUP(E521,Productos!$A$2:$D$13,4,TRUE)</f>
        <v>6.5</v>
      </c>
      <c r="I521" s="4" t="s">
        <v>10</v>
      </c>
      <c r="J521" s="4">
        <v>198</v>
      </c>
      <c r="K521" s="7">
        <v>42435</v>
      </c>
    </row>
    <row r="522" spans="1:11" x14ac:dyDescent="0.25">
      <c r="A522" s="4">
        <v>23782</v>
      </c>
      <c r="B522" s="4" t="s">
        <v>701</v>
      </c>
      <c r="C522" s="4" t="s">
        <v>28</v>
      </c>
      <c r="D522" s="4" t="str">
        <f>VLOOKUP(C522,Países!$A$1:$B$186,2,TRUE)</f>
        <v>Central America and the Caribbean</v>
      </c>
      <c r="E522" s="4" t="s">
        <v>16</v>
      </c>
      <c r="F522" s="4" t="str">
        <f>VLOOKUP(E522,Productos!$A$2:$D$13,2,TRUE)</f>
        <v>botella 5l</v>
      </c>
      <c r="G522" s="4">
        <f>VLOOKUP(E522,Productos!$A$2:$D$13,3,TRUE)</f>
        <v>6</v>
      </c>
      <c r="H522" s="4">
        <f>VLOOKUP(E522,Productos!$A$2:$D$13,4,TRUE)</f>
        <v>9</v>
      </c>
      <c r="I522" s="4" t="s">
        <v>10</v>
      </c>
      <c r="J522" s="4">
        <v>170</v>
      </c>
      <c r="K522" s="7">
        <v>42448</v>
      </c>
    </row>
    <row r="523" spans="1:11" x14ac:dyDescent="0.25">
      <c r="A523" s="4">
        <v>23783</v>
      </c>
      <c r="B523" s="4" t="s">
        <v>702</v>
      </c>
      <c r="C523" s="4" t="s">
        <v>8</v>
      </c>
      <c r="D523" s="4" t="str">
        <f>VLOOKUP(C523,Países!$A$1:$B$186,2,TRUE)</f>
        <v>Sub-Saharan Africa</v>
      </c>
      <c r="E523" s="4" t="s">
        <v>26</v>
      </c>
      <c r="F523" s="4" t="str">
        <f>VLOOKUP(E523,Productos!$A$2:$D$13,2,TRUE)</f>
        <v>botellín 200cc</v>
      </c>
      <c r="G523" s="4">
        <f>VLOOKUP(E523,Productos!$A$2:$D$13,3,TRUE)</f>
        <v>1.5</v>
      </c>
      <c r="H523" s="4">
        <f>VLOOKUP(E523,Productos!$A$2:$D$13,4,TRUE)</f>
        <v>3</v>
      </c>
      <c r="I523" s="4" t="s">
        <v>17</v>
      </c>
      <c r="J523" s="4">
        <v>127</v>
      </c>
      <c r="K523" s="7">
        <v>42376</v>
      </c>
    </row>
    <row r="524" spans="1:11" x14ac:dyDescent="0.25">
      <c r="A524" s="4">
        <v>23784</v>
      </c>
      <c r="B524" s="4" t="s">
        <v>703</v>
      </c>
      <c r="C524" s="4" t="s">
        <v>257</v>
      </c>
      <c r="D524" s="4" t="str">
        <f>VLOOKUP(C524,Países!$A$1:$B$186,2,TRUE)</f>
        <v>Central America and the Caribbean</v>
      </c>
      <c r="E524" s="4" t="s">
        <v>46</v>
      </c>
      <c r="F524" s="4" t="str">
        <f>VLOOKUP(E524,Productos!$A$2:$D$13,2,TRUE)</f>
        <v>botellín 500cc</v>
      </c>
      <c r="G524" s="4">
        <f>VLOOKUP(E524,Productos!$A$2:$D$13,3,TRUE)</f>
        <v>3.5</v>
      </c>
      <c r="H524" s="4">
        <f>VLOOKUP(E524,Productos!$A$2:$D$13,4,TRUE)</f>
        <v>6.5</v>
      </c>
      <c r="I524" s="4" t="s">
        <v>17</v>
      </c>
      <c r="J524" s="4">
        <v>86</v>
      </c>
      <c r="K524" s="7">
        <v>42425</v>
      </c>
    </row>
    <row r="525" spans="1:11" x14ac:dyDescent="0.25">
      <c r="A525" s="4">
        <v>23785</v>
      </c>
      <c r="B525" s="4" t="s">
        <v>704</v>
      </c>
      <c r="C525" s="4" t="s">
        <v>694</v>
      </c>
      <c r="D525" s="4" t="str">
        <f>VLOOKUP(C525,Países!$A$1:$B$186,2,TRUE)</f>
        <v>Sub-Saharan Africa</v>
      </c>
      <c r="E525" s="4" t="s">
        <v>26</v>
      </c>
      <c r="F525" s="4" t="str">
        <f>VLOOKUP(E525,Productos!$A$2:$D$13,2,TRUE)</f>
        <v>botellín 200cc</v>
      </c>
      <c r="G525" s="4">
        <f>VLOOKUP(E525,Productos!$A$2:$D$13,3,TRUE)</f>
        <v>1.5</v>
      </c>
      <c r="H525" s="4">
        <f>VLOOKUP(E525,Productos!$A$2:$D$13,4,TRUE)</f>
        <v>3</v>
      </c>
      <c r="I525" s="4" t="s">
        <v>59</v>
      </c>
      <c r="J525" s="4">
        <v>109</v>
      </c>
      <c r="K525" s="7">
        <v>42400</v>
      </c>
    </row>
    <row r="526" spans="1:11" x14ac:dyDescent="0.25">
      <c r="A526" s="4">
        <v>23786</v>
      </c>
      <c r="B526" s="4" t="s">
        <v>705</v>
      </c>
      <c r="C526" s="4" t="s">
        <v>176</v>
      </c>
      <c r="D526" s="4" t="str">
        <f>VLOOKUP(C526,Países!$A$1:$B$186,2,TRUE)</f>
        <v>Europe</v>
      </c>
      <c r="E526" s="4" t="s">
        <v>46</v>
      </c>
      <c r="F526" s="4" t="str">
        <f>VLOOKUP(E526,Productos!$A$2:$D$13,2,TRUE)</f>
        <v>botellín 500cc</v>
      </c>
      <c r="G526" s="4">
        <f>VLOOKUP(E526,Productos!$A$2:$D$13,3,TRUE)</f>
        <v>3.5</v>
      </c>
      <c r="H526" s="4">
        <f>VLOOKUP(E526,Productos!$A$2:$D$13,4,TRUE)</f>
        <v>6.5</v>
      </c>
      <c r="I526" s="4" t="s">
        <v>10</v>
      </c>
      <c r="J526" s="4">
        <v>194</v>
      </c>
      <c r="K526" s="7">
        <v>42376</v>
      </c>
    </row>
    <row r="527" spans="1:11" x14ac:dyDescent="0.25">
      <c r="A527" s="4">
        <v>23787</v>
      </c>
      <c r="B527" s="4" t="s">
        <v>706</v>
      </c>
      <c r="C527" s="4" t="s">
        <v>521</v>
      </c>
      <c r="D527" s="4" t="str">
        <f>VLOOKUP(C527,Países!$A$1:$B$186,2,TRUE)</f>
        <v>Sub-Saharan Africa</v>
      </c>
      <c r="E527" s="4" t="s">
        <v>46</v>
      </c>
      <c r="F527" s="4" t="str">
        <f>VLOOKUP(E527,Productos!$A$2:$D$13,2,TRUE)</f>
        <v>botellín 500cc</v>
      </c>
      <c r="G527" s="4">
        <f>VLOOKUP(E527,Productos!$A$2:$D$13,3,TRUE)</f>
        <v>3.5</v>
      </c>
      <c r="H527" s="4">
        <f>VLOOKUP(E527,Productos!$A$2:$D$13,4,TRUE)</f>
        <v>6.5</v>
      </c>
      <c r="I527" s="4" t="s">
        <v>10</v>
      </c>
      <c r="J527" s="4">
        <v>29</v>
      </c>
      <c r="K527" s="7">
        <v>42415</v>
      </c>
    </row>
    <row r="528" spans="1:11" x14ac:dyDescent="0.25">
      <c r="A528" s="4">
        <v>23788</v>
      </c>
      <c r="B528" s="4" t="s">
        <v>707</v>
      </c>
      <c r="C528" s="4" t="s">
        <v>61</v>
      </c>
      <c r="D528" s="4" t="str">
        <f>VLOOKUP(C528,Países!$A$1:$B$186,2,TRUE)</f>
        <v>Sub-Saharan Africa</v>
      </c>
      <c r="E528" s="4" t="s">
        <v>16</v>
      </c>
      <c r="F528" s="4" t="str">
        <f>VLOOKUP(E528,Productos!$A$2:$D$13,2,TRUE)</f>
        <v>botella 5l</v>
      </c>
      <c r="G528" s="4">
        <f>VLOOKUP(E528,Productos!$A$2:$D$13,3,TRUE)</f>
        <v>6</v>
      </c>
      <c r="H528" s="4">
        <f>VLOOKUP(E528,Productos!$A$2:$D$13,4,TRUE)</f>
        <v>9</v>
      </c>
      <c r="I528" s="4" t="s">
        <v>10</v>
      </c>
      <c r="J528" s="4">
        <v>60</v>
      </c>
      <c r="K528" s="7">
        <v>42433</v>
      </c>
    </row>
    <row r="529" spans="1:11" x14ac:dyDescent="0.25">
      <c r="A529" s="4">
        <v>23789</v>
      </c>
      <c r="B529" s="4" t="s">
        <v>708</v>
      </c>
      <c r="C529" s="4" t="s">
        <v>71</v>
      </c>
      <c r="D529" s="4" t="str">
        <f>VLOOKUP(C529,Países!$A$1:$B$186,2,TRUE)</f>
        <v>Australia and Oceania</v>
      </c>
      <c r="E529" s="4" t="s">
        <v>9</v>
      </c>
      <c r="F529" s="4" t="str">
        <f>VLOOKUP(E529,Productos!$A$2:$D$13,2,TRUE)</f>
        <v>garrafa 1l</v>
      </c>
      <c r="G529" s="4">
        <f>VLOOKUP(E529,Productos!$A$2:$D$13,3,TRUE)</f>
        <v>1</v>
      </c>
      <c r="H529" s="4">
        <f>VLOOKUP(E529,Productos!$A$2:$D$13,4,TRUE)</f>
        <v>2</v>
      </c>
      <c r="I529" s="4" t="s">
        <v>17</v>
      </c>
      <c r="J529" s="4">
        <v>47</v>
      </c>
      <c r="K529" s="7">
        <v>42396</v>
      </c>
    </row>
    <row r="530" spans="1:11" x14ac:dyDescent="0.25">
      <c r="A530" s="4">
        <v>23790</v>
      </c>
      <c r="B530" s="4" t="s">
        <v>709</v>
      </c>
      <c r="C530" s="4" t="s">
        <v>710</v>
      </c>
      <c r="D530" s="4" t="str">
        <f>VLOOKUP(C530,Países!$A$1:$B$186,2,TRUE)</f>
        <v>Central America and the Caribbean</v>
      </c>
      <c r="E530" s="4" t="s">
        <v>20</v>
      </c>
      <c r="F530" s="4" t="str">
        <f>VLOOKUP(E530,Productos!$A$2:$D$13,2,TRUE)</f>
        <v>garrafa 4l</v>
      </c>
      <c r="G530" s="4">
        <f>VLOOKUP(E530,Productos!$A$2:$D$13,3,TRUE)</f>
        <v>5</v>
      </c>
      <c r="H530" s="4">
        <f>VLOOKUP(E530,Productos!$A$2:$D$13,4,TRUE)</f>
        <v>9.99</v>
      </c>
      <c r="I530" s="4" t="s">
        <v>10</v>
      </c>
      <c r="J530" s="4">
        <v>114</v>
      </c>
      <c r="K530" s="7">
        <v>42404</v>
      </c>
    </row>
    <row r="531" spans="1:11" x14ac:dyDescent="0.25">
      <c r="A531" s="4">
        <v>23791</v>
      </c>
      <c r="B531" s="4" t="s">
        <v>711</v>
      </c>
      <c r="C531" s="4" t="s">
        <v>100</v>
      </c>
      <c r="D531" s="4" t="str">
        <f>VLOOKUP(C531,Países!$A$1:$B$186,2,TRUE)</f>
        <v>Asia</v>
      </c>
      <c r="E531" s="4" t="s">
        <v>34</v>
      </c>
      <c r="F531" s="4" t="str">
        <f>VLOOKUP(E531,Productos!$A$2:$D$13,2,TRUE)</f>
        <v>garrafa 3l</v>
      </c>
      <c r="G531" s="4">
        <f>VLOOKUP(E531,Productos!$A$2:$D$13,3,TRUE)</f>
        <v>3.5</v>
      </c>
      <c r="H531" s="4">
        <f>VLOOKUP(E531,Productos!$A$2:$D$13,4,TRUE)</f>
        <v>6.99</v>
      </c>
      <c r="I531" s="4" t="s">
        <v>10</v>
      </c>
      <c r="J531" s="4">
        <v>33</v>
      </c>
      <c r="K531" s="7">
        <v>42404</v>
      </c>
    </row>
    <row r="532" spans="1:11" x14ac:dyDescent="0.25">
      <c r="A532" s="4">
        <v>23792</v>
      </c>
      <c r="B532" s="4" t="s">
        <v>712</v>
      </c>
      <c r="C532" s="4" t="s">
        <v>71</v>
      </c>
      <c r="D532" s="4" t="str">
        <f>VLOOKUP(C532,Países!$A$1:$B$186,2,TRUE)</f>
        <v>Australia and Oceania</v>
      </c>
      <c r="E532" s="4" t="s">
        <v>46</v>
      </c>
      <c r="F532" s="4" t="str">
        <f>VLOOKUP(E532,Productos!$A$2:$D$13,2,TRUE)</f>
        <v>botellín 500cc</v>
      </c>
      <c r="G532" s="4">
        <f>VLOOKUP(E532,Productos!$A$2:$D$13,3,TRUE)</f>
        <v>3.5</v>
      </c>
      <c r="H532" s="4">
        <f>VLOOKUP(E532,Productos!$A$2:$D$13,4,TRUE)</f>
        <v>6.5</v>
      </c>
      <c r="I532" s="4" t="s">
        <v>10</v>
      </c>
      <c r="J532" s="4">
        <v>31</v>
      </c>
      <c r="K532" s="7">
        <v>42402</v>
      </c>
    </row>
    <row r="533" spans="1:11" x14ac:dyDescent="0.25">
      <c r="A533" s="4">
        <v>23793</v>
      </c>
      <c r="B533" s="4" t="s">
        <v>713</v>
      </c>
      <c r="C533" s="4" t="s">
        <v>442</v>
      </c>
      <c r="D533" s="4" t="str">
        <f>VLOOKUP(C533,Países!$A$1:$B$186,2,TRUE)</f>
        <v>Asia</v>
      </c>
      <c r="E533" s="4" t="s">
        <v>13</v>
      </c>
      <c r="F533" s="4" t="str">
        <f>VLOOKUP(E533,Productos!$A$2:$D$13,2,TRUE)</f>
        <v>botella 1l</v>
      </c>
      <c r="G533" s="4">
        <f>VLOOKUP(E533,Productos!$A$2:$D$13,3,TRUE)</f>
        <v>3.5</v>
      </c>
      <c r="H533" s="4">
        <f>VLOOKUP(E533,Productos!$A$2:$D$13,4,TRUE)</f>
        <v>6.5</v>
      </c>
      <c r="I533" s="4" t="s">
        <v>59</v>
      </c>
      <c r="J533" s="4">
        <v>12</v>
      </c>
      <c r="K533" s="7">
        <v>42458</v>
      </c>
    </row>
    <row r="534" spans="1:11" x14ac:dyDescent="0.25">
      <c r="A534" s="4">
        <v>23794</v>
      </c>
      <c r="B534" s="4" t="s">
        <v>714</v>
      </c>
      <c r="C534" s="4" t="s">
        <v>357</v>
      </c>
      <c r="D534" s="4" t="str">
        <f>VLOOKUP(C534,Países!$A$1:$B$186,2,TRUE)</f>
        <v>Asia</v>
      </c>
      <c r="E534" s="4" t="s">
        <v>16</v>
      </c>
      <c r="F534" s="4" t="str">
        <f>VLOOKUP(E534,Productos!$A$2:$D$13,2,TRUE)</f>
        <v>botella 5l</v>
      </c>
      <c r="G534" s="4">
        <f>VLOOKUP(E534,Productos!$A$2:$D$13,3,TRUE)</f>
        <v>6</v>
      </c>
      <c r="H534" s="4">
        <f>VLOOKUP(E534,Productos!$A$2:$D$13,4,TRUE)</f>
        <v>9</v>
      </c>
      <c r="I534" s="4" t="s">
        <v>10</v>
      </c>
      <c r="J534" s="4">
        <v>50</v>
      </c>
      <c r="K534" s="7">
        <v>42454</v>
      </c>
    </row>
    <row r="535" spans="1:11" x14ac:dyDescent="0.25">
      <c r="A535" s="4">
        <v>23795</v>
      </c>
      <c r="B535" s="4" t="s">
        <v>715</v>
      </c>
      <c r="C535" s="4" t="s">
        <v>557</v>
      </c>
      <c r="D535" s="4" t="str">
        <f>VLOOKUP(C535,Países!$A$1:$B$186,2,TRUE)</f>
        <v>Europe</v>
      </c>
      <c r="E535" s="4" t="s">
        <v>23</v>
      </c>
      <c r="F535" s="4" t="str">
        <f>VLOOKUP(E535,Productos!$A$2:$D$13,2,TRUE)</f>
        <v>botellín 400cc</v>
      </c>
      <c r="G535" s="4">
        <f>VLOOKUP(E535,Productos!$A$2:$D$13,3,TRUE)</f>
        <v>2.2999999999999998</v>
      </c>
      <c r="H535" s="4">
        <f>VLOOKUP(E535,Productos!$A$2:$D$13,4,TRUE)</f>
        <v>4.5</v>
      </c>
      <c r="I535" s="4" t="s">
        <v>59</v>
      </c>
      <c r="J535" s="4">
        <v>115</v>
      </c>
      <c r="K535" s="7">
        <v>42401</v>
      </c>
    </row>
    <row r="536" spans="1:11" x14ac:dyDescent="0.25">
      <c r="A536" s="4">
        <v>23796</v>
      </c>
      <c r="B536" s="4" t="s">
        <v>716</v>
      </c>
      <c r="C536" s="4" t="s">
        <v>198</v>
      </c>
      <c r="D536" s="4" t="str">
        <f>VLOOKUP(C536,Países!$A$1:$B$186,2,TRUE)</f>
        <v>Middle East and North Africa</v>
      </c>
      <c r="E536" s="4" t="s">
        <v>29</v>
      </c>
      <c r="F536" s="4" t="str">
        <f>VLOOKUP(E536,Productos!$A$2:$D$13,2,TRUE)</f>
        <v>botella 0.5l</v>
      </c>
      <c r="G536" s="4">
        <f>VLOOKUP(E536,Productos!$A$2:$D$13,3,TRUE)</f>
        <v>3</v>
      </c>
      <c r="H536" s="4">
        <f>VLOOKUP(E536,Productos!$A$2:$D$13,4,TRUE)</f>
        <v>6</v>
      </c>
      <c r="I536" s="4" t="s">
        <v>17</v>
      </c>
      <c r="J536" s="4">
        <v>64</v>
      </c>
      <c r="K536" s="7">
        <v>42393</v>
      </c>
    </row>
    <row r="537" spans="1:11" x14ac:dyDescent="0.25">
      <c r="A537" s="4">
        <v>23797</v>
      </c>
      <c r="B537" s="4" t="s">
        <v>717</v>
      </c>
      <c r="C537" s="4" t="s">
        <v>212</v>
      </c>
      <c r="D537" s="4" t="str">
        <f>VLOOKUP(C537,Países!$A$1:$B$186,2,TRUE)</f>
        <v>Sub-Saharan Africa</v>
      </c>
      <c r="E537" s="4" t="s">
        <v>46</v>
      </c>
      <c r="F537" s="4" t="str">
        <f>VLOOKUP(E537,Productos!$A$2:$D$13,2,TRUE)</f>
        <v>botellín 500cc</v>
      </c>
      <c r="G537" s="4">
        <f>VLOOKUP(E537,Productos!$A$2:$D$13,3,TRUE)</f>
        <v>3.5</v>
      </c>
      <c r="H537" s="4">
        <f>VLOOKUP(E537,Productos!$A$2:$D$13,4,TRUE)</f>
        <v>6.5</v>
      </c>
      <c r="I537" s="4" t="s">
        <v>17</v>
      </c>
      <c r="J537" s="4">
        <v>126</v>
      </c>
      <c r="K537" s="7">
        <v>42450</v>
      </c>
    </row>
    <row r="538" spans="1:11" x14ac:dyDescent="0.25">
      <c r="A538" s="4">
        <v>23798</v>
      </c>
      <c r="B538" s="4" t="s">
        <v>718</v>
      </c>
      <c r="C538" s="4" t="s">
        <v>349</v>
      </c>
      <c r="D538" s="4" t="str">
        <f>VLOOKUP(C538,Países!$A$1:$B$186,2,TRUE)</f>
        <v>Middle East and North Africa</v>
      </c>
      <c r="E538" s="4" t="s">
        <v>51</v>
      </c>
      <c r="F538" s="4" t="str">
        <f>VLOOKUP(E538,Productos!$A$2:$D$13,2,TRUE)</f>
        <v>garrafa 8l</v>
      </c>
      <c r="G538" s="4">
        <f>VLOOKUP(E538,Productos!$A$2:$D$13,3,TRUE)</f>
        <v>8</v>
      </c>
      <c r="H538" s="4">
        <f>VLOOKUP(E538,Productos!$A$2:$D$13,4,TRUE)</f>
        <v>14.5</v>
      </c>
      <c r="I538" s="4" t="s">
        <v>10</v>
      </c>
      <c r="J538" s="4">
        <v>177</v>
      </c>
      <c r="K538" s="7">
        <v>42427</v>
      </c>
    </row>
    <row r="539" spans="1:11" x14ac:dyDescent="0.25">
      <c r="A539" s="4">
        <v>23799</v>
      </c>
      <c r="B539" s="4" t="s">
        <v>719</v>
      </c>
      <c r="C539" s="4" t="s">
        <v>48</v>
      </c>
      <c r="D539" s="4" t="str">
        <f>VLOOKUP(C539,Países!$A$1:$B$186,2,TRUE)</f>
        <v>Middle East and North Africa</v>
      </c>
      <c r="E539" s="4" t="s">
        <v>34</v>
      </c>
      <c r="F539" s="4" t="str">
        <f>VLOOKUP(E539,Productos!$A$2:$D$13,2,TRUE)</f>
        <v>garrafa 3l</v>
      </c>
      <c r="G539" s="4">
        <f>VLOOKUP(E539,Productos!$A$2:$D$13,3,TRUE)</f>
        <v>3.5</v>
      </c>
      <c r="H539" s="4">
        <f>VLOOKUP(E539,Productos!$A$2:$D$13,4,TRUE)</f>
        <v>6.99</v>
      </c>
      <c r="I539" s="4" t="s">
        <v>17</v>
      </c>
      <c r="J539" s="4">
        <v>64</v>
      </c>
      <c r="K539" s="7">
        <v>42427</v>
      </c>
    </row>
    <row r="540" spans="1:11" x14ac:dyDescent="0.25">
      <c r="A540" s="4">
        <v>23800</v>
      </c>
      <c r="B540" s="4" t="s">
        <v>720</v>
      </c>
      <c r="C540" s="4" t="s">
        <v>178</v>
      </c>
      <c r="D540" s="4" t="str">
        <f>VLOOKUP(C540,Países!$A$1:$B$186,2,TRUE)</f>
        <v>Sub-Saharan Africa</v>
      </c>
      <c r="E540" s="4" t="s">
        <v>9</v>
      </c>
      <c r="F540" s="4" t="str">
        <f>VLOOKUP(E540,Productos!$A$2:$D$13,2,TRUE)</f>
        <v>garrafa 1l</v>
      </c>
      <c r="G540" s="4">
        <f>VLOOKUP(E540,Productos!$A$2:$D$13,3,TRUE)</f>
        <v>1</v>
      </c>
      <c r="H540" s="4">
        <f>VLOOKUP(E540,Productos!$A$2:$D$13,4,TRUE)</f>
        <v>2</v>
      </c>
      <c r="I540" s="4" t="s">
        <v>17</v>
      </c>
      <c r="J540" s="4">
        <v>44</v>
      </c>
      <c r="K540" s="7">
        <v>42397</v>
      </c>
    </row>
    <row r="541" spans="1:11" x14ac:dyDescent="0.25">
      <c r="A541" s="4">
        <v>23801</v>
      </c>
      <c r="B541" s="4" t="s">
        <v>721</v>
      </c>
      <c r="C541" s="4" t="s">
        <v>133</v>
      </c>
      <c r="D541" s="4" t="str">
        <f>VLOOKUP(C541,Países!$A$1:$B$186,2,TRUE)</f>
        <v>Middle East and North Africa</v>
      </c>
      <c r="E541" s="4" t="s">
        <v>20</v>
      </c>
      <c r="F541" s="4" t="str">
        <f>VLOOKUP(E541,Productos!$A$2:$D$13,2,TRUE)</f>
        <v>garrafa 4l</v>
      </c>
      <c r="G541" s="4">
        <f>VLOOKUP(E541,Productos!$A$2:$D$13,3,TRUE)</f>
        <v>5</v>
      </c>
      <c r="H541" s="4">
        <f>VLOOKUP(E541,Productos!$A$2:$D$13,4,TRUE)</f>
        <v>9.99</v>
      </c>
      <c r="I541" s="4" t="s">
        <v>17</v>
      </c>
      <c r="J541" s="4">
        <v>194</v>
      </c>
      <c r="K541" s="7">
        <v>42411</v>
      </c>
    </row>
    <row r="542" spans="1:11" x14ac:dyDescent="0.25">
      <c r="A542" s="4">
        <v>23802</v>
      </c>
      <c r="B542" s="4" t="s">
        <v>722</v>
      </c>
      <c r="C542" s="4" t="s">
        <v>515</v>
      </c>
      <c r="D542" s="4" t="str">
        <f>VLOOKUP(C542,Países!$A$1:$B$186,2,TRUE)</f>
        <v>Sub-Saharan Africa</v>
      </c>
      <c r="E542" s="4" t="s">
        <v>34</v>
      </c>
      <c r="F542" s="4" t="str">
        <f>VLOOKUP(E542,Productos!$A$2:$D$13,2,TRUE)</f>
        <v>garrafa 3l</v>
      </c>
      <c r="G542" s="4">
        <f>VLOOKUP(E542,Productos!$A$2:$D$13,3,TRUE)</f>
        <v>3.5</v>
      </c>
      <c r="H542" s="4">
        <f>VLOOKUP(E542,Productos!$A$2:$D$13,4,TRUE)</f>
        <v>6.99</v>
      </c>
      <c r="I542" s="4" t="s">
        <v>17</v>
      </c>
      <c r="J542" s="4">
        <v>49</v>
      </c>
      <c r="K542" s="7">
        <v>42408</v>
      </c>
    </row>
    <row r="543" spans="1:11" x14ac:dyDescent="0.25">
      <c r="A543" s="4">
        <v>23803</v>
      </c>
      <c r="B543" s="4" t="s">
        <v>723</v>
      </c>
      <c r="C543" s="4" t="s">
        <v>366</v>
      </c>
      <c r="D543" s="4" t="str">
        <f>VLOOKUP(C543,Países!$A$1:$B$186,2,TRUE)</f>
        <v>Middle East and North Africa</v>
      </c>
      <c r="E543" s="4" t="s">
        <v>51</v>
      </c>
      <c r="F543" s="4" t="str">
        <f>VLOOKUP(E543,Productos!$A$2:$D$13,2,TRUE)</f>
        <v>garrafa 8l</v>
      </c>
      <c r="G543" s="4">
        <f>VLOOKUP(E543,Productos!$A$2:$D$13,3,TRUE)</f>
        <v>8</v>
      </c>
      <c r="H543" s="4">
        <f>VLOOKUP(E543,Productos!$A$2:$D$13,4,TRUE)</f>
        <v>14.5</v>
      </c>
      <c r="I543" s="4" t="s">
        <v>10</v>
      </c>
      <c r="J543" s="4">
        <v>209</v>
      </c>
      <c r="K543" s="7">
        <v>42387</v>
      </c>
    </row>
    <row r="544" spans="1:11" x14ac:dyDescent="0.25">
      <c r="A544" s="4">
        <v>23804</v>
      </c>
      <c r="B544" s="4" t="s">
        <v>724</v>
      </c>
      <c r="C544" s="4" t="s">
        <v>217</v>
      </c>
      <c r="D544" s="4" t="str">
        <f>VLOOKUP(C544,Países!$A$1:$B$186,2,TRUE)</f>
        <v>Europe</v>
      </c>
      <c r="E544" s="4" t="s">
        <v>29</v>
      </c>
      <c r="F544" s="4" t="str">
        <f>VLOOKUP(E544,Productos!$A$2:$D$13,2,TRUE)</f>
        <v>botella 0.5l</v>
      </c>
      <c r="G544" s="4">
        <f>VLOOKUP(E544,Productos!$A$2:$D$13,3,TRUE)</f>
        <v>3</v>
      </c>
      <c r="H544" s="4">
        <f>VLOOKUP(E544,Productos!$A$2:$D$13,4,TRUE)</f>
        <v>6</v>
      </c>
      <c r="I544" s="4" t="s">
        <v>10</v>
      </c>
      <c r="J544" s="4">
        <v>105</v>
      </c>
      <c r="K544" s="7">
        <v>42456</v>
      </c>
    </row>
    <row r="545" spans="1:11" x14ac:dyDescent="0.25">
      <c r="A545" s="4">
        <v>23805</v>
      </c>
      <c r="B545" s="4" t="s">
        <v>725</v>
      </c>
      <c r="C545" s="4" t="s">
        <v>19</v>
      </c>
      <c r="D545" s="4" t="str">
        <f>VLOOKUP(C545,Países!$A$1:$B$186,2,TRUE)</f>
        <v>Sub-Saharan Africa</v>
      </c>
      <c r="E545" s="4" t="s">
        <v>9</v>
      </c>
      <c r="F545" s="4" t="str">
        <f>VLOOKUP(E545,Productos!$A$2:$D$13,2,TRUE)</f>
        <v>garrafa 1l</v>
      </c>
      <c r="G545" s="4">
        <f>VLOOKUP(E545,Productos!$A$2:$D$13,3,TRUE)</f>
        <v>1</v>
      </c>
      <c r="H545" s="4">
        <f>VLOOKUP(E545,Productos!$A$2:$D$13,4,TRUE)</f>
        <v>2</v>
      </c>
      <c r="I545" s="4" t="s">
        <v>10</v>
      </c>
      <c r="J545" s="4">
        <v>130</v>
      </c>
      <c r="K545" s="7">
        <v>42386</v>
      </c>
    </row>
    <row r="546" spans="1:11" x14ac:dyDescent="0.25">
      <c r="A546" s="4">
        <v>23806</v>
      </c>
      <c r="B546" s="4" t="s">
        <v>726</v>
      </c>
      <c r="C546" s="4" t="s">
        <v>146</v>
      </c>
      <c r="D546" s="4" t="str">
        <f>VLOOKUP(C546,Países!$A$1:$B$186,2,TRUE)</f>
        <v>Europe</v>
      </c>
      <c r="E546" s="4" t="s">
        <v>16</v>
      </c>
      <c r="F546" s="4" t="str">
        <f>VLOOKUP(E546,Productos!$A$2:$D$13,2,TRUE)</f>
        <v>botella 5l</v>
      </c>
      <c r="G546" s="4">
        <f>VLOOKUP(E546,Productos!$A$2:$D$13,3,TRUE)</f>
        <v>6</v>
      </c>
      <c r="H546" s="4">
        <f>VLOOKUP(E546,Productos!$A$2:$D$13,4,TRUE)</f>
        <v>9</v>
      </c>
      <c r="I546" s="4" t="s">
        <v>10</v>
      </c>
      <c r="J546" s="4">
        <v>48</v>
      </c>
      <c r="K546" s="7">
        <v>42434</v>
      </c>
    </row>
    <row r="547" spans="1:11" x14ac:dyDescent="0.25">
      <c r="A547" s="4">
        <v>23807</v>
      </c>
      <c r="B547" s="4" t="s">
        <v>727</v>
      </c>
      <c r="C547" s="4" t="s">
        <v>283</v>
      </c>
      <c r="D547" s="4" t="str">
        <f>VLOOKUP(C547,Países!$A$1:$B$186,2,TRUE)</f>
        <v>Middle East and North Africa</v>
      </c>
      <c r="E547" s="4" t="s">
        <v>51</v>
      </c>
      <c r="F547" s="4" t="str">
        <f>VLOOKUP(E547,Productos!$A$2:$D$13,2,TRUE)</f>
        <v>garrafa 8l</v>
      </c>
      <c r="G547" s="4">
        <f>VLOOKUP(E547,Productos!$A$2:$D$13,3,TRUE)</f>
        <v>8</v>
      </c>
      <c r="H547" s="4">
        <f>VLOOKUP(E547,Productos!$A$2:$D$13,4,TRUE)</f>
        <v>14.5</v>
      </c>
      <c r="I547" s="4" t="s">
        <v>59</v>
      </c>
      <c r="J547" s="4">
        <v>160</v>
      </c>
      <c r="K547" s="7">
        <v>42445</v>
      </c>
    </row>
    <row r="548" spans="1:11" x14ac:dyDescent="0.25">
      <c r="A548" s="4">
        <v>23808</v>
      </c>
      <c r="B548" s="4" t="s">
        <v>728</v>
      </c>
      <c r="C548" s="4" t="s">
        <v>146</v>
      </c>
      <c r="D548" s="4" t="str">
        <f>VLOOKUP(C548,Países!$A$1:$B$186,2,TRUE)</f>
        <v>Europe</v>
      </c>
      <c r="E548" s="4" t="s">
        <v>51</v>
      </c>
      <c r="F548" s="4" t="str">
        <f>VLOOKUP(E548,Productos!$A$2:$D$13,2,TRUE)</f>
        <v>garrafa 8l</v>
      </c>
      <c r="G548" s="4">
        <f>VLOOKUP(E548,Productos!$A$2:$D$13,3,TRUE)</f>
        <v>8</v>
      </c>
      <c r="H548" s="4">
        <f>VLOOKUP(E548,Productos!$A$2:$D$13,4,TRUE)</f>
        <v>14.5</v>
      </c>
      <c r="I548" s="4" t="s">
        <v>17</v>
      </c>
      <c r="J548" s="4">
        <v>179</v>
      </c>
      <c r="K548" s="7">
        <v>42382</v>
      </c>
    </row>
    <row r="549" spans="1:11" x14ac:dyDescent="0.25">
      <c r="A549" s="4">
        <v>23809</v>
      </c>
      <c r="B549" s="4" t="s">
        <v>729</v>
      </c>
      <c r="C549" s="4" t="s">
        <v>321</v>
      </c>
      <c r="D549" s="4" t="str">
        <f>VLOOKUP(C549,Países!$A$1:$B$186,2,TRUE)</f>
        <v>Asia</v>
      </c>
      <c r="E549" s="4" t="s">
        <v>34</v>
      </c>
      <c r="F549" s="4" t="str">
        <f>VLOOKUP(E549,Productos!$A$2:$D$13,2,TRUE)</f>
        <v>garrafa 3l</v>
      </c>
      <c r="G549" s="4">
        <f>VLOOKUP(E549,Productos!$A$2:$D$13,3,TRUE)</f>
        <v>3.5</v>
      </c>
      <c r="H549" s="4">
        <f>VLOOKUP(E549,Productos!$A$2:$D$13,4,TRUE)</f>
        <v>6.99</v>
      </c>
      <c r="I549" s="4" t="s">
        <v>10</v>
      </c>
      <c r="J549" s="4">
        <v>180</v>
      </c>
      <c r="K549" s="7">
        <v>42392</v>
      </c>
    </row>
    <row r="550" spans="1:11" x14ac:dyDescent="0.25">
      <c r="A550" s="4">
        <v>23810</v>
      </c>
      <c r="B550" s="4" t="s">
        <v>730</v>
      </c>
      <c r="C550" s="4" t="s">
        <v>25</v>
      </c>
      <c r="D550" s="4" t="str">
        <f>VLOOKUP(C550,Países!$A$1:$B$186,2,TRUE)</f>
        <v>Middle East and North Africa</v>
      </c>
      <c r="E550" s="4" t="s">
        <v>51</v>
      </c>
      <c r="F550" s="4" t="str">
        <f>VLOOKUP(E550,Productos!$A$2:$D$13,2,TRUE)</f>
        <v>garrafa 8l</v>
      </c>
      <c r="G550" s="4">
        <f>VLOOKUP(E550,Productos!$A$2:$D$13,3,TRUE)</f>
        <v>8</v>
      </c>
      <c r="H550" s="4">
        <f>VLOOKUP(E550,Productos!$A$2:$D$13,4,TRUE)</f>
        <v>14.5</v>
      </c>
      <c r="I550" s="4" t="s">
        <v>17</v>
      </c>
      <c r="J550" s="4">
        <v>171</v>
      </c>
      <c r="K550" s="7">
        <v>42456</v>
      </c>
    </row>
    <row r="551" spans="1:11" x14ac:dyDescent="0.25">
      <c r="A551" s="4">
        <v>23811</v>
      </c>
      <c r="B551" s="4" t="s">
        <v>731</v>
      </c>
      <c r="C551" s="4" t="s">
        <v>521</v>
      </c>
      <c r="D551" s="4" t="str">
        <f>VLOOKUP(C551,Países!$A$1:$B$186,2,TRUE)</f>
        <v>Sub-Saharan Africa</v>
      </c>
      <c r="E551" s="4" t="s">
        <v>13</v>
      </c>
      <c r="F551" s="4" t="str">
        <f>VLOOKUP(E551,Productos!$A$2:$D$13,2,TRUE)</f>
        <v>botella 1l</v>
      </c>
      <c r="G551" s="4">
        <f>VLOOKUP(E551,Productos!$A$2:$D$13,3,TRUE)</f>
        <v>3.5</v>
      </c>
      <c r="H551" s="4">
        <f>VLOOKUP(E551,Productos!$A$2:$D$13,4,TRUE)</f>
        <v>6.5</v>
      </c>
      <c r="I551" s="4" t="s">
        <v>10</v>
      </c>
      <c r="J551" s="4">
        <v>107</v>
      </c>
      <c r="K551" s="7">
        <v>42414</v>
      </c>
    </row>
    <row r="552" spans="1:11" x14ac:dyDescent="0.25">
      <c r="A552" s="4">
        <v>23812</v>
      </c>
      <c r="B552" s="4" t="s">
        <v>732</v>
      </c>
      <c r="C552" s="4" t="s">
        <v>100</v>
      </c>
      <c r="D552" s="4" t="str">
        <f>VLOOKUP(C552,Países!$A$1:$B$186,2,TRUE)</f>
        <v>Asia</v>
      </c>
      <c r="E552" s="4" t="s">
        <v>34</v>
      </c>
      <c r="F552" s="4" t="str">
        <f>VLOOKUP(E552,Productos!$A$2:$D$13,2,TRUE)</f>
        <v>garrafa 3l</v>
      </c>
      <c r="G552" s="4">
        <f>VLOOKUP(E552,Productos!$A$2:$D$13,3,TRUE)</f>
        <v>3.5</v>
      </c>
      <c r="H552" s="4">
        <f>VLOOKUP(E552,Productos!$A$2:$D$13,4,TRUE)</f>
        <v>6.99</v>
      </c>
      <c r="I552" s="4" t="s">
        <v>10</v>
      </c>
      <c r="J552" s="4">
        <v>189</v>
      </c>
      <c r="K552" s="7">
        <v>42425</v>
      </c>
    </row>
    <row r="553" spans="1:11" x14ac:dyDescent="0.25">
      <c r="A553" s="4">
        <v>23813</v>
      </c>
      <c r="B553" s="4" t="s">
        <v>733</v>
      </c>
      <c r="C553" s="4" t="s">
        <v>57</v>
      </c>
      <c r="D553" s="4" t="str">
        <f>VLOOKUP(C553,Países!$A$1:$B$186,2,TRUE)</f>
        <v>Sub-Saharan Africa</v>
      </c>
      <c r="E553" s="4" t="s">
        <v>26</v>
      </c>
      <c r="F553" s="4" t="str">
        <f>VLOOKUP(E553,Productos!$A$2:$D$13,2,TRUE)</f>
        <v>botellín 200cc</v>
      </c>
      <c r="G553" s="4">
        <f>VLOOKUP(E553,Productos!$A$2:$D$13,3,TRUE)</f>
        <v>1.5</v>
      </c>
      <c r="H553" s="4">
        <f>VLOOKUP(E553,Productos!$A$2:$D$13,4,TRUE)</f>
        <v>3</v>
      </c>
      <c r="I553" s="4" t="s">
        <v>17</v>
      </c>
      <c r="J553" s="4">
        <v>161</v>
      </c>
      <c r="K553" s="7">
        <v>42393</v>
      </c>
    </row>
    <row r="554" spans="1:11" x14ac:dyDescent="0.25">
      <c r="A554" s="4">
        <v>23814</v>
      </c>
      <c r="B554" s="4" t="s">
        <v>734</v>
      </c>
      <c r="C554" s="4" t="s">
        <v>104</v>
      </c>
      <c r="D554" s="4" t="str">
        <f>VLOOKUP(C554,Países!$A$1:$B$186,2,TRUE)</f>
        <v>Asia</v>
      </c>
      <c r="E554" s="4" t="s">
        <v>51</v>
      </c>
      <c r="F554" s="4" t="str">
        <f>VLOOKUP(E554,Productos!$A$2:$D$13,2,TRUE)</f>
        <v>garrafa 8l</v>
      </c>
      <c r="G554" s="4">
        <f>VLOOKUP(E554,Productos!$A$2:$D$13,3,TRUE)</f>
        <v>8</v>
      </c>
      <c r="H554" s="4">
        <f>VLOOKUP(E554,Productos!$A$2:$D$13,4,TRUE)</f>
        <v>14.5</v>
      </c>
      <c r="I554" s="4" t="s">
        <v>17</v>
      </c>
      <c r="J554" s="4">
        <v>150</v>
      </c>
      <c r="K554" s="7">
        <v>42445</v>
      </c>
    </row>
    <row r="555" spans="1:11" x14ac:dyDescent="0.25">
      <c r="A555" s="4">
        <v>23815</v>
      </c>
      <c r="B555" s="4" t="s">
        <v>735</v>
      </c>
      <c r="C555" s="4" t="s">
        <v>88</v>
      </c>
      <c r="D555" s="4" t="str">
        <f>VLOOKUP(C555,Países!$A$1:$B$186,2,TRUE)</f>
        <v>Europe</v>
      </c>
      <c r="E555" s="4" t="s">
        <v>34</v>
      </c>
      <c r="F555" s="4" t="str">
        <f>VLOOKUP(E555,Productos!$A$2:$D$13,2,TRUE)</f>
        <v>garrafa 3l</v>
      </c>
      <c r="G555" s="4">
        <f>VLOOKUP(E555,Productos!$A$2:$D$13,3,TRUE)</f>
        <v>3.5</v>
      </c>
      <c r="H555" s="4">
        <f>VLOOKUP(E555,Productos!$A$2:$D$13,4,TRUE)</f>
        <v>6.99</v>
      </c>
      <c r="I555" s="4" t="s">
        <v>17</v>
      </c>
      <c r="J555" s="4">
        <v>85</v>
      </c>
      <c r="K555" s="7">
        <v>42405</v>
      </c>
    </row>
    <row r="556" spans="1:11" x14ac:dyDescent="0.25">
      <c r="A556" s="4">
        <v>23816</v>
      </c>
      <c r="B556" s="4" t="s">
        <v>736</v>
      </c>
      <c r="C556" s="4" t="s">
        <v>323</v>
      </c>
      <c r="D556" s="4" t="str">
        <f>VLOOKUP(C556,Países!$A$1:$B$186,2,TRUE)</f>
        <v>Europe</v>
      </c>
      <c r="E556" s="4" t="s">
        <v>20</v>
      </c>
      <c r="F556" s="4" t="str">
        <f>VLOOKUP(E556,Productos!$A$2:$D$13,2,TRUE)</f>
        <v>garrafa 4l</v>
      </c>
      <c r="G556" s="4">
        <f>VLOOKUP(E556,Productos!$A$2:$D$13,3,TRUE)</f>
        <v>5</v>
      </c>
      <c r="H556" s="4">
        <f>VLOOKUP(E556,Productos!$A$2:$D$13,4,TRUE)</f>
        <v>9.99</v>
      </c>
      <c r="I556" s="4" t="s">
        <v>17</v>
      </c>
      <c r="J556" s="4">
        <v>85</v>
      </c>
      <c r="K556" s="7">
        <v>42452</v>
      </c>
    </row>
    <row r="557" spans="1:11" x14ac:dyDescent="0.25">
      <c r="A557" s="4">
        <v>23817</v>
      </c>
      <c r="B557" s="4" t="s">
        <v>737</v>
      </c>
      <c r="C557" s="4" t="s">
        <v>53</v>
      </c>
      <c r="D557" s="4" t="str">
        <f>VLOOKUP(C557,Países!$A$1:$B$186,2,TRUE)</f>
        <v>Europe</v>
      </c>
      <c r="E557" s="4" t="s">
        <v>58</v>
      </c>
      <c r="F557" s="4" t="str">
        <f>VLOOKUP(E557,Productos!$A$2:$D$13,2,TRUE)</f>
        <v>garrafa 2l</v>
      </c>
      <c r="G557" s="4">
        <f>VLOOKUP(E557,Productos!$A$2:$D$13,3,TRUE)</f>
        <v>2.5</v>
      </c>
      <c r="H557" s="4">
        <f>VLOOKUP(E557,Productos!$A$2:$D$13,4,TRUE)</f>
        <v>4.5</v>
      </c>
      <c r="I557" s="4" t="s">
        <v>17</v>
      </c>
      <c r="J557" s="4">
        <v>58</v>
      </c>
      <c r="K557" s="7">
        <v>42427</v>
      </c>
    </row>
    <row r="558" spans="1:11" x14ac:dyDescent="0.25">
      <c r="A558" s="4">
        <v>23818</v>
      </c>
      <c r="B558" s="4" t="s">
        <v>738</v>
      </c>
      <c r="C558" s="4" t="s">
        <v>152</v>
      </c>
      <c r="D558" s="4" t="str">
        <f>VLOOKUP(C558,Países!$A$1:$B$186,2,TRUE)</f>
        <v>Sub-Saharan Africa</v>
      </c>
      <c r="E558" s="4" t="s">
        <v>26</v>
      </c>
      <c r="F558" s="4" t="str">
        <f>VLOOKUP(E558,Productos!$A$2:$D$13,2,TRUE)</f>
        <v>botellín 200cc</v>
      </c>
      <c r="G558" s="4">
        <f>VLOOKUP(E558,Productos!$A$2:$D$13,3,TRUE)</f>
        <v>1.5</v>
      </c>
      <c r="H558" s="4">
        <f>VLOOKUP(E558,Productos!$A$2:$D$13,4,TRUE)</f>
        <v>3</v>
      </c>
      <c r="I558" s="4" t="s">
        <v>10</v>
      </c>
      <c r="J558" s="4">
        <v>93</v>
      </c>
      <c r="K558" s="7">
        <v>42380</v>
      </c>
    </row>
    <row r="559" spans="1:11" x14ac:dyDescent="0.25">
      <c r="A559" s="4">
        <v>23819</v>
      </c>
      <c r="B559" s="4" t="s">
        <v>739</v>
      </c>
      <c r="C559" s="4" t="s">
        <v>138</v>
      </c>
      <c r="D559" s="4" t="str">
        <f>VLOOKUP(C559,Países!$A$1:$B$186,2,TRUE)</f>
        <v>Europe</v>
      </c>
      <c r="E559" s="4" t="s">
        <v>13</v>
      </c>
      <c r="F559" s="4" t="str">
        <f>VLOOKUP(E559,Productos!$A$2:$D$13,2,TRUE)</f>
        <v>botella 1l</v>
      </c>
      <c r="G559" s="4">
        <f>VLOOKUP(E559,Productos!$A$2:$D$13,3,TRUE)</f>
        <v>3.5</v>
      </c>
      <c r="H559" s="4">
        <f>VLOOKUP(E559,Productos!$A$2:$D$13,4,TRUE)</f>
        <v>6.5</v>
      </c>
      <c r="I559" s="4" t="s">
        <v>17</v>
      </c>
      <c r="J559" s="4">
        <v>154</v>
      </c>
      <c r="K559" s="7">
        <v>42371</v>
      </c>
    </row>
    <row r="560" spans="1:11" x14ac:dyDescent="0.25">
      <c r="A560" s="4">
        <v>23820</v>
      </c>
      <c r="B560" s="4" t="s">
        <v>740</v>
      </c>
      <c r="C560" s="4" t="s">
        <v>142</v>
      </c>
      <c r="D560" s="4" t="str">
        <f>VLOOKUP(C560,Países!$A$1:$B$186,2,TRUE)</f>
        <v>Europe</v>
      </c>
      <c r="E560" s="4" t="s">
        <v>23</v>
      </c>
      <c r="F560" s="4" t="str">
        <f>VLOOKUP(E560,Productos!$A$2:$D$13,2,TRUE)</f>
        <v>botellín 400cc</v>
      </c>
      <c r="G560" s="4">
        <f>VLOOKUP(E560,Productos!$A$2:$D$13,3,TRUE)</f>
        <v>2.2999999999999998</v>
      </c>
      <c r="H560" s="4">
        <f>VLOOKUP(E560,Productos!$A$2:$D$13,4,TRUE)</f>
        <v>4.5</v>
      </c>
      <c r="I560" s="4" t="s">
        <v>17</v>
      </c>
      <c r="J560" s="4">
        <v>194</v>
      </c>
      <c r="K560" s="7">
        <v>42458</v>
      </c>
    </row>
    <row r="561" spans="1:11" x14ac:dyDescent="0.25">
      <c r="A561" s="4">
        <v>23821</v>
      </c>
      <c r="B561" s="4" t="s">
        <v>741</v>
      </c>
      <c r="C561" s="4" t="s">
        <v>161</v>
      </c>
      <c r="D561" s="4" t="str">
        <f>VLOOKUP(C561,Países!$A$1:$B$186,2,TRUE)</f>
        <v>Central America and the Caribbean</v>
      </c>
      <c r="E561" s="4" t="s">
        <v>34</v>
      </c>
      <c r="F561" s="4" t="str">
        <f>VLOOKUP(E561,Productos!$A$2:$D$13,2,TRUE)</f>
        <v>garrafa 3l</v>
      </c>
      <c r="G561" s="4">
        <f>VLOOKUP(E561,Productos!$A$2:$D$13,3,TRUE)</f>
        <v>3.5</v>
      </c>
      <c r="H561" s="4">
        <f>VLOOKUP(E561,Productos!$A$2:$D$13,4,TRUE)</f>
        <v>6.99</v>
      </c>
      <c r="I561" s="4" t="s">
        <v>17</v>
      </c>
      <c r="J561" s="4">
        <v>40</v>
      </c>
      <c r="K561" s="7">
        <v>42380</v>
      </c>
    </row>
    <row r="562" spans="1:11" x14ac:dyDescent="0.25">
      <c r="A562" s="4">
        <v>23822</v>
      </c>
      <c r="B562" s="4" t="s">
        <v>742</v>
      </c>
      <c r="C562" s="4" t="s">
        <v>295</v>
      </c>
      <c r="D562" s="4" t="str">
        <f>VLOOKUP(C562,Países!$A$1:$B$186,2,TRUE)</f>
        <v>Central America and the Caribbean</v>
      </c>
      <c r="E562" s="4" t="s">
        <v>26</v>
      </c>
      <c r="F562" s="4" t="str">
        <f>VLOOKUP(E562,Productos!$A$2:$D$13,2,TRUE)</f>
        <v>botellín 200cc</v>
      </c>
      <c r="G562" s="4">
        <f>VLOOKUP(E562,Productos!$A$2:$D$13,3,TRUE)</f>
        <v>1.5</v>
      </c>
      <c r="H562" s="4">
        <f>VLOOKUP(E562,Productos!$A$2:$D$13,4,TRUE)</f>
        <v>3</v>
      </c>
      <c r="I562" s="4" t="s">
        <v>17</v>
      </c>
      <c r="J562" s="4">
        <v>193</v>
      </c>
      <c r="K562" s="7">
        <v>42410</v>
      </c>
    </row>
    <row r="563" spans="1:11" x14ac:dyDescent="0.25">
      <c r="A563" s="4">
        <v>23823</v>
      </c>
      <c r="B563" s="4" t="s">
        <v>743</v>
      </c>
      <c r="C563" s="4" t="s">
        <v>119</v>
      </c>
      <c r="D563" s="4" t="str">
        <f>VLOOKUP(C563,Países!$A$1:$B$186,2,TRUE)</f>
        <v>Sub-Saharan Africa</v>
      </c>
      <c r="E563" s="4" t="s">
        <v>16</v>
      </c>
      <c r="F563" s="4" t="str">
        <f>VLOOKUP(E563,Productos!$A$2:$D$13,2,TRUE)</f>
        <v>botella 5l</v>
      </c>
      <c r="G563" s="4">
        <f>VLOOKUP(E563,Productos!$A$2:$D$13,3,TRUE)</f>
        <v>6</v>
      </c>
      <c r="H563" s="4">
        <f>VLOOKUP(E563,Productos!$A$2:$D$13,4,TRUE)</f>
        <v>9</v>
      </c>
      <c r="I563" s="4" t="s">
        <v>17</v>
      </c>
      <c r="J563" s="4">
        <v>79</v>
      </c>
      <c r="K563" s="7">
        <v>42441</v>
      </c>
    </row>
    <row r="564" spans="1:11" x14ac:dyDescent="0.25">
      <c r="A564" s="4">
        <v>23824</v>
      </c>
      <c r="B564" s="4" t="s">
        <v>744</v>
      </c>
      <c r="C564" s="4" t="s">
        <v>22</v>
      </c>
      <c r="D564" s="4" t="str">
        <f>VLOOKUP(C564,Países!$A$1:$B$186,2,TRUE)</f>
        <v>Sub-Saharan Africa</v>
      </c>
      <c r="E564" s="4" t="s">
        <v>13</v>
      </c>
      <c r="F564" s="4" t="str">
        <f>VLOOKUP(E564,Productos!$A$2:$D$13,2,TRUE)</f>
        <v>botella 1l</v>
      </c>
      <c r="G564" s="4">
        <f>VLOOKUP(E564,Productos!$A$2:$D$13,3,TRUE)</f>
        <v>3.5</v>
      </c>
      <c r="H564" s="4">
        <f>VLOOKUP(E564,Productos!$A$2:$D$13,4,TRUE)</f>
        <v>6.5</v>
      </c>
      <c r="I564" s="4" t="s">
        <v>10</v>
      </c>
      <c r="J564" s="4">
        <v>118</v>
      </c>
      <c r="K564" s="7">
        <v>42393</v>
      </c>
    </row>
    <row r="565" spans="1:11" x14ac:dyDescent="0.25">
      <c r="A565" s="4">
        <v>23825</v>
      </c>
      <c r="B565" s="4" t="s">
        <v>745</v>
      </c>
      <c r="C565" s="4" t="s">
        <v>97</v>
      </c>
      <c r="D565" s="4" t="str">
        <f>VLOOKUP(C565,Países!$A$1:$B$186,2,TRUE)</f>
        <v>Sub-Saharan Africa</v>
      </c>
      <c r="E565" s="4" t="s">
        <v>46</v>
      </c>
      <c r="F565" s="4" t="str">
        <f>VLOOKUP(E565,Productos!$A$2:$D$13,2,TRUE)</f>
        <v>botellín 500cc</v>
      </c>
      <c r="G565" s="4">
        <f>VLOOKUP(E565,Productos!$A$2:$D$13,3,TRUE)</f>
        <v>3.5</v>
      </c>
      <c r="H565" s="4">
        <f>VLOOKUP(E565,Productos!$A$2:$D$13,4,TRUE)</f>
        <v>6.5</v>
      </c>
      <c r="I565" s="4" t="s">
        <v>10</v>
      </c>
      <c r="J565" s="4">
        <v>182</v>
      </c>
      <c r="K565" s="7">
        <v>42376</v>
      </c>
    </row>
    <row r="566" spans="1:11" x14ac:dyDescent="0.25">
      <c r="A566" s="4">
        <v>23826</v>
      </c>
      <c r="B566" s="4" t="s">
        <v>746</v>
      </c>
      <c r="C566" s="4" t="s">
        <v>662</v>
      </c>
      <c r="D566" s="4" t="str">
        <f>VLOOKUP(C566,Países!$A$1:$B$186,2,TRUE)</f>
        <v>Europe</v>
      </c>
      <c r="E566" s="4" t="s">
        <v>23</v>
      </c>
      <c r="F566" s="4" t="str">
        <f>VLOOKUP(E566,Productos!$A$2:$D$13,2,TRUE)</f>
        <v>botellín 400cc</v>
      </c>
      <c r="G566" s="4">
        <f>VLOOKUP(E566,Productos!$A$2:$D$13,3,TRUE)</f>
        <v>2.2999999999999998</v>
      </c>
      <c r="H566" s="4">
        <f>VLOOKUP(E566,Productos!$A$2:$D$13,4,TRUE)</f>
        <v>4.5</v>
      </c>
      <c r="I566" s="4" t="s">
        <v>10</v>
      </c>
      <c r="J566" s="4">
        <v>199</v>
      </c>
      <c r="K566" s="7">
        <v>42433</v>
      </c>
    </row>
    <row r="567" spans="1:11" x14ac:dyDescent="0.25">
      <c r="A567" s="4">
        <v>23827</v>
      </c>
      <c r="B567" s="4" t="s">
        <v>747</v>
      </c>
      <c r="C567" s="4" t="s">
        <v>465</v>
      </c>
      <c r="D567" s="4" t="str">
        <f>VLOOKUP(C567,Países!$A$1:$B$186,2,TRUE)</f>
        <v>Central America and the Caribbean</v>
      </c>
      <c r="E567" s="4" t="s">
        <v>20</v>
      </c>
      <c r="F567" s="4" t="str">
        <f>VLOOKUP(E567,Productos!$A$2:$D$13,2,TRUE)</f>
        <v>garrafa 4l</v>
      </c>
      <c r="G567" s="4">
        <f>VLOOKUP(E567,Productos!$A$2:$D$13,3,TRUE)</f>
        <v>5</v>
      </c>
      <c r="H567" s="4">
        <f>VLOOKUP(E567,Productos!$A$2:$D$13,4,TRUE)</f>
        <v>9.99</v>
      </c>
      <c r="I567" s="4" t="s">
        <v>17</v>
      </c>
      <c r="J567" s="4">
        <v>83</v>
      </c>
      <c r="K567" s="7">
        <v>42381</v>
      </c>
    </row>
    <row r="568" spans="1:11" x14ac:dyDescent="0.25">
      <c r="A568" s="4">
        <v>23828</v>
      </c>
      <c r="B568" s="4" t="s">
        <v>748</v>
      </c>
      <c r="C568" s="4" t="s">
        <v>255</v>
      </c>
      <c r="D568" s="4" t="str">
        <f>VLOOKUP(C568,Países!$A$1:$B$186,2,TRUE)</f>
        <v>Australia and Oceania</v>
      </c>
      <c r="E568" s="4" t="s">
        <v>9</v>
      </c>
      <c r="F568" s="4" t="str">
        <f>VLOOKUP(E568,Productos!$A$2:$D$13,2,TRUE)</f>
        <v>garrafa 1l</v>
      </c>
      <c r="G568" s="4">
        <f>VLOOKUP(E568,Productos!$A$2:$D$13,3,TRUE)</f>
        <v>1</v>
      </c>
      <c r="H568" s="4">
        <f>VLOOKUP(E568,Productos!$A$2:$D$13,4,TRUE)</f>
        <v>2</v>
      </c>
      <c r="I568" s="4" t="s">
        <v>10</v>
      </c>
      <c r="J568" s="4">
        <v>115</v>
      </c>
      <c r="K568" s="7">
        <v>42454</v>
      </c>
    </row>
    <row r="569" spans="1:11" x14ac:dyDescent="0.25">
      <c r="A569" s="4">
        <v>23829</v>
      </c>
      <c r="B569" s="4" t="s">
        <v>749</v>
      </c>
      <c r="C569" s="4" t="s">
        <v>125</v>
      </c>
      <c r="D569" s="4" t="str">
        <f>VLOOKUP(C569,Países!$A$1:$B$186,2,TRUE)</f>
        <v>Sub-Saharan Africa</v>
      </c>
      <c r="E569" s="4" t="s">
        <v>29</v>
      </c>
      <c r="F569" s="4" t="str">
        <f>VLOOKUP(E569,Productos!$A$2:$D$13,2,TRUE)</f>
        <v>botella 0.5l</v>
      </c>
      <c r="G569" s="4">
        <f>VLOOKUP(E569,Productos!$A$2:$D$13,3,TRUE)</f>
        <v>3</v>
      </c>
      <c r="H569" s="4">
        <f>VLOOKUP(E569,Productos!$A$2:$D$13,4,TRUE)</f>
        <v>6</v>
      </c>
      <c r="I569" s="4" t="s">
        <v>10</v>
      </c>
      <c r="J569" s="4">
        <v>137</v>
      </c>
      <c r="K569" s="7">
        <v>42415</v>
      </c>
    </row>
    <row r="570" spans="1:11" x14ac:dyDescent="0.25">
      <c r="A570" s="4">
        <v>23830</v>
      </c>
      <c r="B570" s="4" t="s">
        <v>750</v>
      </c>
      <c r="C570" s="4" t="s">
        <v>48</v>
      </c>
      <c r="D570" s="4" t="str">
        <f>VLOOKUP(C570,Países!$A$1:$B$186,2,TRUE)</f>
        <v>Middle East and North Africa</v>
      </c>
      <c r="E570" s="4" t="s">
        <v>9</v>
      </c>
      <c r="F570" s="4" t="str">
        <f>VLOOKUP(E570,Productos!$A$2:$D$13,2,TRUE)</f>
        <v>garrafa 1l</v>
      </c>
      <c r="G570" s="4">
        <f>VLOOKUP(E570,Productos!$A$2:$D$13,3,TRUE)</f>
        <v>1</v>
      </c>
      <c r="H570" s="4">
        <f>VLOOKUP(E570,Productos!$A$2:$D$13,4,TRUE)</f>
        <v>2</v>
      </c>
      <c r="I570" s="4" t="s">
        <v>10</v>
      </c>
      <c r="J570" s="4">
        <v>37</v>
      </c>
      <c r="K570" s="7">
        <v>42389</v>
      </c>
    </row>
    <row r="571" spans="1:11" x14ac:dyDescent="0.25">
      <c r="A571" s="4">
        <v>23831</v>
      </c>
      <c r="B571" s="4" t="s">
        <v>751</v>
      </c>
      <c r="C571" s="4" t="s">
        <v>259</v>
      </c>
      <c r="D571" s="4" t="str">
        <f>VLOOKUP(C571,Países!$A$1:$B$186,2,TRUE)</f>
        <v>Central America and the Caribbean</v>
      </c>
      <c r="E571" s="4" t="s">
        <v>29</v>
      </c>
      <c r="F571" s="4" t="str">
        <f>VLOOKUP(E571,Productos!$A$2:$D$13,2,TRUE)</f>
        <v>botella 0.5l</v>
      </c>
      <c r="G571" s="4">
        <f>VLOOKUP(E571,Productos!$A$2:$D$13,3,TRUE)</f>
        <v>3</v>
      </c>
      <c r="H571" s="4">
        <f>VLOOKUP(E571,Productos!$A$2:$D$13,4,TRUE)</f>
        <v>6</v>
      </c>
      <c r="I571" s="4" t="s">
        <v>59</v>
      </c>
      <c r="J571" s="4">
        <v>140</v>
      </c>
      <c r="K571" s="7">
        <v>42419</v>
      </c>
    </row>
    <row r="572" spans="1:11" x14ac:dyDescent="0.25">
      <c r="A572" s="4">
        <v>23832</v>
      </c>
      <c r="B572" s="4" t="s">
        <v>752</v>
      </c>
      <c r="C572" s="4" t="s">
        <v>521</v>
      </c>
      <c r="D572" s="4" t="str">
        <f>VLOOKUP(C572,Países!$A$1:$B$186,2,TRUE)</f>
        <v>Sub-Saharan Africa</v>
      </c>
      <c r="E572" s="4" t="s">
        <v>23</v>
      </c>
      <c r="F572" s="4" t="str">
        <f>VLOOKUP(E572,Productos!$A$2:$D$13,2,TRUE)</f>
        <v>botellín 400cc</v>
      </c>
      <c r="G572" s="4">
        <f>VLOOKUP(E572,Productos!$A$2:$D$13,3,TRUE)</f>
        <v>2.2999999999999998</v>
      </c>
      <c r="H572" s="4">
        <f>VLOOKUP(E572,Productos!$A$2:$D$13,4,TRUE)</f>
        <v>4.5</v>
      </c>
      <c r="I572" s="4" t="s">
        <v>17</v>
      </c>
      <c r="J572" s="4">
        <v>49</v>
      </c>
      <c r="K572" s="7">
        <v>42370</v>
      </c>
    </row>
    <row r="573" spans="1:11" x14ac:dyDescent="0.25">
      <c r="A573" s="4">
        <v>23833</v>
      </c>
      <c r="B573" s="4" t="s">
        <v>753</v>
      </c>
      <c r="C573" s="4" t="s">
        <v>331</v>
      </c>
      <c r="D573" s="4" t="str">
        <f>VLOOKUP(C573,Países!$A$1:$B$186,2,TRUE)</f>
        <v>Middle East and North Africa</v>
      </c>
      <c r="E573" s="4" t="s">
        <v>34</v>
      </c>
      <c r="F573" s="4" t="str">
        <f>VLOOKUP(E573,Productos!$A$2:$D$13,2,TRUE)</f>
        <v>garrafa 3l</v>
      </c>
      <c r="G573" s="4">
        <f>VLOOKUP(E573,Productos!$A$2:$D$13,3,TRUE)</f>
        <v>3.5</v>
      </c>
      <c r="H573" s="4">
        <f>VLOOKUP(E573,Productos!$A$2:$D$13,4,TRUE)</f>
        <v>6.99</v>
      </c>
      <c r="I573" s="4" t="s">
        <v>10</v>
      </c>
      <c r="J573" s="4">
        <v>74</v>
      </c>
      <c r="K573" s="7">
        <v>42448</v>
      </c>
    </row>
    <row r="574" spans="1:11" x14ac:dyDescent="0.25">
      <c r="A574" s="4">
        <v>23834</v>
      </c>
      <c r="B574" s="4" t="s">
        <v>754</v>
      </c>
      <c r="C574" s="4" t="s">
        <v>92</v>
      </c>
      <c r="D574" s="4" t="str">
        <f>VLOOKUP(C574,Países!$A$1:$B$186,2,TRUE)</f>
        <v>Asia</v>
      </c>
      <c r="E574" s="4" t="s">
        <v>58</v>
      </c>
      <c r="F574" s="4" t="str">
        <f>VLOOKUP(E574,Productos!$A$2:$D$13,2,TRUE)</f>
        <v>garrafa 2l</v>
      </c>
      <c r="G574" s="4">
        <f>VLOOKUP(E574,Productos!$A$2:$D$13,3,TRUE)</f>
        <v>2.5</v>
      </c>
      <c r="H574" s="4">
        <f>VLOOKUP(E574,Productos!$A$2:$D$13,4,TRUE)</f>
        <v>4.5</v>
      </c>
      <c r="I574" s="4" t="s">
        <v>17</v>
      </c>
      <c r="J574" s="4">
        <v>23</v>
      </c>
      <c r="K574" s="7">
        <v>42423</v>
      </c>
    </row>
    <row r="575" spans="1:11" x14ac:dyDescent="0.25">
      <c r="A575" s="4">
        <v>23835</v>
      </c>
      <c r="B575" s="4" t="s">
        <v>755</v>
      </c>
      <c r="C575" s="4" t="s">
        <v>756</v>
      </c>
      <c r="D575" s="4" t="str">
        <f>VLOOKUP(C575,Países!$A$1:$B$186,2,TRUE)</f>
        <v>Europe</v>
      </c>
      <c r="E575" s="4" t="s">
        <v>9</v>
      </c>
      <c r="F575" s="4" t="str">
        <f>VLOOKUP(E575,Productos!$A$2:$D$13,2,TRUE)</f>
        <v>garrafa 1l</v>
      </c>
      <c r="G575" s="4">
        <f>VLOOKUP(E575,Productos!$A$2:$D$13,3,TRUE)</f>
        <v>1</v>
      </c>
      <c r="H575" s="4">
        <f>VLOOKUP(E575,Productos!$A$2:$D$13,4,TRUE)</f>
        <v>2</v>
      </c>
      <c r="I575" s="4" t="s">
        <v>10</v>
      </c>
      <c r="J575" s="4">
        <v>116</v>
      </c>
      <c r="K575" s="7">
        <v>42450</v>
      </c>
    </row>
    <row r="576" spans="1:11" x14ac:dyDescent="0.25">
      <c r="A576" s="4">
        <v>23836</v>
      </c>
      <c r="B576" s="4" t="s">
        <v>757</v>
      </c>
      <c r="C576" s="4" t="s">
        <v>57</v>
      </c>
      <c r="D576" s="4" t="str">
        <f>VLOOKUP(C576,Países!$A$1:$B$186,2,TRUE)</f>
        <v>Sub-Saharan Africa</v>
      </c>
      <c r="E576" s="4" t="s">
        <v>51</v>
      </c>
      <c r="F576" s="4" t="str">
        <f>VLOOKUP(E576,Productos!$A$2:$D$13,2,TRUE)</f>
        <v>garrafa 8l</v>
      </c>
      <c r="G576" s="4">
        <f>VLOOKUP(E576,Productos!$A$2:$D$13,3,TRUE)</f>
        <v>8</v>
      </c>
      <c r="H576" s="4">
        <f>VLOOKUP(E576,Productos!$A$2:$D$13,4,TRUE)</f>
        <v>14.5</v>
      </c>
      <c r="I576" s="4" t="s">
        <v>17</v>
      </c>
      <c r="J576" s="4">
        <v>190</v>
      </c>
      <c r="K576" s="7">
        <v>42454</v>
      </c>
    </row>
    <row r="577" spans="1:11" x14ac:dyDescent="0.25">
      <c r="A577" s="4">
        <v>23837</v>
      </c>
      <c r="B577" s="4" t="s">
        <v>758</v>
      </c>
      <c r="C577" s="4" t="s">
        <v>406</v>
      </c>
      <c r="D577" s="4" t="str">
        <f>VLOOKUP(C577,Países!$A$1:$B$186,2,TRUE)</f>
        <v>Sub-Saharan Africa</v>
      </c>
      <c r="E577" s="4" t="s">
        <v>34</v>
      </c>
      <c r="F577" s="4" t="str">
        <f>VLOOKUP(E577,Productos!$A$2:$D$13,2,TRUE)</f>
        <v>garrafa 3l</v>
      </c>
      <c r="G577" s="4">
        <f>VLOOKUP(E577,Productos!$A$2:$D$13,3,TRUE)</f>
        <v>3.5</v>
      </c>
      <c r="H577" s="4">
        <f>VLOOKUP(E577,Productos!$A$2:$D$13,4,TRUE)</f>
        <v>6.99</v>
      </c>
      <c r="I577" s="4" t="s">
        <v>10</v>
      </c>
      <c r="J577" s="4">
        <v>151</v>
      </c>
      <c r="K577" s="7">
        <v>42418</v>
      </c>
    </row>
    <row r="578" spans="1:11" x14ac:dyDescent="0.25">
      <c r="A578" s="4">
        <v>23838</v>
      </c>
      <c r="B578" s="4" t="s">
        <v>759</v>
      </c>
      <c r="C578" s="4" t="s">
        <v>43</v>
      </c>
      <c r="D578" s="4" t="str">
        <f>VLOOKUP(C578,Países!$A$1:$B$186,2,TRUE)</f>
        <v>Australia and Oceania</v>
      </c>
      <c r="E578" s="4" t="s">
        <v>58</v>
      </c>
      <c r="F578" s="4" t="str">
        <f>VLOOKUP(E578,Productos!$A$2:$D$13,2,TRUE)</f>
        <v>garrafa 2l</v>
      </c>
      <c r="G578" s="4">
        <f>VLOOKUP(E578,Productos!$A$2:$D$13,3,TRUE)</f>
        <v>2.5</v>
      </c>
      <c r="H578" s="4">
        <f>VLOOKUP(E578,Productos!$A$2:$D$13,4,TRUE)</f>
        <v>4.5</v>
      </c>
      <c r="I578" s="4" t="s">
        <v>17</v>
      </c>
      <c r="J578" s="4">
        <v>133</v>
      </c>
      <c r="K578" s="7">
        <v>42446</v>
      </c>
    </row>
    <row r="579" spans="1:11" x14ac:dyDescent="0.25">
      <c r="A579" s="4">
        <v>23839</v>
      </c>
      <c r="B579" s="4" t="s">
        <v>760</v>
      </c>
      <c r="C579" s="4" t="s">
        <v>136</v>
      </c>
      <c r="D579" s="4" t="str">
        <f>VLOOKUP(C579,Países!$A$1:$B$186,2,TRUE)</f>
        <v>Asia</v>
      </c>
      <c r="E579" s="4" t="s">
        <v>9</v>
      </c>
      <c r="F579" s="4" t="str">
        <f>VLOOKUP(E579,Productos!$A$2:$D$13,2,TRUE)</f>
        <v>garrafa 1l</v>
      </c>
      <c r="G579" s="4">
        <f>VLOOKUP(E579,Productos!$A$2:$D$13,3,TRUE)</f>
        <v>1</v>
      </c>
      <c r="H579" s="4">
        <f>VLOOKUP(E579,Productos!$A$2:$D$13,4,TRUE)</f>
        <v>2</v>
      </c>
      <c r="I579" s="4" t="s">
        <v>10</v>
      </c>
      <c r="J579" s="4">
        <v>182</v>
      </c>
      <c r="K579" s="7">
        <v>42391</v>
      </c>
    </row>
    <row r="580" spans="1:11" x14ac:dyDescent="0.25">
      <c r="A580" s="4">
        <v>23840</v>
      </c>
      <c r="B580" s="4" t="s">
        <v>761</v>
      </c>
      <c r="C580" s="4" t="s">
        <v>40</v>
      </c>
      <c r="D580" s="4" t="str">
        <f>VLOOKUP(C580,Países!$A$1:$B$186,2,TRUE)</f>
        <v>Europe</v>
      </c>
      <c r="E580" s="4" t="s">
        <v>34</v>
      </c>
      <c r="F580" s="4" t="str">
        <f>VLOOKUP(E580,Productos!$A$2:$D$13,2,TRUE)</f>
        <v>garrafa 3l</v>
      </c>
      <c r="G580" s="4">
        <f>VLOOKUP(E580,Productos!$A$2:$D$13,3,TRUE)</f>
        <v>3.5</v>
      </c>
      <c r="H580" s="4">
        <f>VLOOKUP(E580,Productos!$A$2:$D$13,4,TRUE)</f>
        <v>6.99</v>
      </c>
      <c r="I580" s="4" t="s">
        <v>10</v>
      </c>
      <c r="J580" s="4">
        <v>203</v>
      </c>
      <c r="K580" s="7">
        <v>42400</v>
      </c>
    </row>
    <row r="581" spans="1:11" x14ac:dyDescent="0.25">
      <c r="A581" s="4">
        <v>23841</v>
      </c>
      <c r="B581" s="4" t="s">
        <v>762</v>
      </c>
      <c r="C581" s="4" t="s">
        <v>28</v>
      </c>
      <c r="D581" s="4" t="str">
        <f>VLOOKUP(C581,Países!$A$1:$B$186,2,TRUE)</f>
        <v>Central America and the Caribbean</v>
      </c>
      <c r="E581" s="4" t="s">
        <v>23</v>
      </c>
      <c r="F581" s="4" t="str">
        <f>VLOOKUP(E581,Productos!$A$2:$D$13,2,TRUE)</f>
        <v>botellín 400cc</v>
      </c>
      <c r="G581" s="4">
        <f>VLOOKUP(E581,Productos!$A$2:$D$13,3,TRUE)</f>
        <v>2.2999999999999998</v>
      </c>
      <c r="H581" s="4">
        <f>VLOOKUP(E581,Productos!$A$2:$D$13,4,TRUE)</f>
        <v>4.5</v>
      </c>
      <c r="I581" s="4" t="s">
        <v>10</v>
      </c>
      <c r="J581" s="4">
        <v>170</v>
      </c>
      <c r="K581" s="7">
        <v>42369</v>
      </c>
    </row>
    <row r="582" spans="1:11" x14ac:dyDescent="0.25">
      <c r="A582" s="4">
        <v>23842</v>
      </c>
      <c r="B582" s="4" t="s">
        <v>763</v>
      </c>
      <c r="C582" s="4" t="s">
        <v>38</v>
      </c>
      <c r="D582" s="4" t="str">
        <f>VLOOKUP(C582,Países!$A$1:$B$186,2,TRUE)</f>
        <v>Asia</v>
      </c>
      <c r="E582" s="4" t="s">
        <v>29</v>
      </c>
      <c r="F582" s="4" t="str">
        <f>VLOOKUP(E582,Productos!$A$2:$D$13,2,TRUE)</f>
        <v>botella 0.5l</v>
      </c>
      <c r="G582" s="4">
        <f>VLOOKUP(E582,Productos!$A$2:$D$13,3,TRUE)</f>
        <v>3</v>
      </c>
      <c r="H582" s="4">
        <f>VLOOKUP(E582,Productos!$A$2:$D$13,4,TRUE)</f>
        <v>6</v>
      </c>
      <c r="I582" s="4" t="s">
        <v>10</v>
      </c>
      <c r="J582" s="4">
        <v>190</v>
      </c>
      <c r="K582" s="7">
        <v>42409</v>
      </c>
    </row>
    <row r="583" spans="1:11" x14ac:dyDescent="0.25">
      <c r="A583" s="4">
        <v>23843</v>
      </c>
      <c r="B583" s="4" t="s">
        <v>764</v>
      </c>
      <c r="C583" s="4" t="s">
        <v>756</v>
      </c>
      <c r="D583" s="4" t="str">
        <f>VLOOKUP(C583,Países!$A$1:$B$186,2,TRUE)</f>
        <v>Europe</v>
      </c>
      <c r="E583" s="4" t="s">
        <v>34</v>
      </c>
      <c r="F583" s="4" t="str">
        <f>VLOOKUP(E583,Productos!$A$2:$D$13,2,TRUE)</f>
        <v>garrafa 3l</v>
      </c>
      <c r="G583" s="4">
        <f>VLOOKUP(E583,Productos!$A$2:$D$13,3,TRUE)</f>
        <v>3.5</v>
      </c>
      <c r="H583" s="4">
        <f>VLOOKUP(E583,Productos!$A$2:$D$13,4,TRUE)</f>
        <v>6.99</v>
      </c>
      <c r="I583" s="4" t="s">
        <v>17</v>
      </c>
      <c r="J583" s="4">
        <v>211</v>
      </c>
      <c r="K583" s="7">
        <v>42375</v>
      </c>
    </row>
    <row r="584" spans="1:11" x14ac:dyDescent="0.25">
      <c r="A584" s="4">
        <v>23844</v>
      </c>
      <c r="B584" s="4" t="s">
        <v>765</v>
      </c>
      <c r="C584" s="4" t="s">
        <v>285</v>
      </c>
      <c r="D584" s="4" t="str">
        <f>VLOOKUP(C584,Países!$A$1:$B$186,2,TRUE)</f>
        <v>Europe</v>
      </c>
      <c r="E584" s="4" t="s">
        <v>29</v>
      </c>
      <c r="F584" s="4" t="str">
        <f>VLOOKUP(E584,Productos!$A$2:$D$13,2,TRUE)</f>
        <v>botella 0.5l</v>
      </c>
      <c r="G584" s="4">
        <f>VLOOKUP(E584,Productos!$A$2:$D$13,3,TRUE)</f>
        <v>3</v>
      </c>
      <c r="H584" s="4">
        <f>VLOOKUP(E584,Productos!$A$2:$D$13,4,TRUE)</f>
        <v>6</v>
      </c>
      <c r="I584" s="4" t="s">
        <v>10</v>
      </c>
      <c r="J584" s="4">
        <v>179</v>
      </c>
      <c r="K584" s="7">
        <v>42402</v>
      </c>
    </row>
    <row r="585" spans="1:11" x14ac:dyDescent="0.25">
      <c r="A585" s="4">
        <v>23845</v>
      </c>
      <c r="B585" s="4" t="s">
        <v>766</v>
      </c>
      <c r="C585" s="4" t="s">
        <v>40</v>
      </c>
      <c r="D585" s="4" t="str">
        <f>VLOOKUP(C585,Países!$A$1:$B$186,2,TRUE)</f>
        <v>Europe</v>
      </c>
      <c r="E585" s="4" t="s">
        <v>58</v>
      </c>
      <c r="F585" s="4" t="str">
        <f>VLOOKUP(E585,Productos!$A$2:$D$13,2,TRUE)</f>
        <v>garrafa 2l</v>
      </c>
      <c r="G585" s="4">
        <f>VLOOKUP(E585,Productos!$A$2:$D$13,3,TRUE)</f>
        <v>2.5</v>
      </c>
      <c r="H585" s="4">
        <f>VLOOKUP(E585,Productos!$A$2:$D$13,4,TRUE)</f>
        <v>4.5</v>
      </c>
      <c r="I585" s="4" t="s">
        <v>17</v>
      </c>
      <c r="J585" s="4">
        <v>142</v>
      </c>
      <c r="K585" s="7">
        <v>42374</v>
      </c>
    </row>
    <row r="586" spans="1:11" x14ac:dyDescent="0.25">
      <c r="A586" s="4">
        <v>23846</v>
      </c>
      <c r="B586" s="4" t="s">
        <v>767</v>
      </c>
      <c r="C586" s="4" t="s">
        <v>81</v>
      </c>
      <c r="D586" s="4" t="str">
        <f>VLOOKUP(C586,Países!$A$1:$B$186,2,TRUE)</f>
        <v>Australia and Oceania</v>
      </c>
      <c r="E586" s="4" t="s">
        <v>26</v>
      </c>
      <c r="F586" s="4" t="str">
        <f>VLOOKUP(E586,Productos!$A$2:$D$13,2,TRUE)</f>
        <v>botellín 200cc</v>
      </c>
      <c r="G586" s="4">
        <f>VLOOKUP(E586,Productos!$A$2:$D$13,3,TRUE)</f>
        <v>1.5</v>
      </c>
      <c r="H586" s="4">
        <f>VLOOKUP(E586,Productos!$A$2:$D$13,4,TRUE)</f>
        <v>3</v>
      </c>
      <c r="I586" s="4" t="s">
        <v>17</v>
      </c>
      <c r="J586" s="4">
        <v>19</v>
      </c>
      <c r="K586" s="7">
        <v>42437</v>
      </c>
    </row>
    <row r="587" spans="1:11" x14ac:dyDescent="0.25">
      <c r="A587" s="4">
        <v>23847</v>
      </c>
      <c r="B587" s="4" t="s">
        <v>768</v>
      </c>
      <c r="C587" s="4" t="s">
        <v>198</v>
      </c>
      <c r="D587" s="4" t="str">
        <f>VLOOKUP(C587,Países!$A$1:$B$186,2,TRUE)</f>
        <v>Middle East and North Africa</v>
      </c>
      <c r="E587" s="4" t="s">
        <v>13</v>
      </c>
      <c r="F587" s="4" t="str">
        <f>VLOOKUP(E587,Productos!$A$2:$D$13,2,TRUE)</f>
        <v>botella 1l</v>
      </c>
      <c r="G587" s="4">
        <f>VLOOKUP(E587,Productos!$A$2:$D$13,3,TRUE)</f>
        <v>3.5</v>
      </c>
      <c r="H587" s="4">
        <f>VLOOKUP(E587,Productos!$A$2:$D$13,4,TRUE)</f>
        <v>6.5</v>
      </c>
      <c r="I587" s="4" t="s">
        <v>10</v>
      </c>
      <c r="J587" s="4">
        <v>108</v>
      </c>
      <c r="K587" s="7">
        <v>42391</v>
      </c>
    </row>
    <row r="588" spans="1:11" x14ac:dyDescent="0.25">
      <c r="A588" s="4">
        <v>23848</v>
      </c>
      <c r="B588" s="4" t="s">
        <v>769</v>
      </c>
      <c r="C588" s="4" t="s">
        <v>390</v>
      </c>
      <c r="D588" s="4" t="str">
        <f>VLOOKUP(C588,Países!$A$1:$B$186,2,TRUE)</f>
        <v>Australia and Oceania</v>
      </c>
      <c r="E588" s="4" t="s">
        <v>20</v>
      </c>
      <c r="F588" s="4" t="str">
        <f>VLOOKUP(E588,Productos!$A$2:$D$13,2,TRUE)</f>
        <v>garrafa 4l</v>
      </c>
      <c r="G588" s="4">
        <f>VLOOKUP(E588,Productos!$A$2:$D$13,3,TRUE)</f>
        <v>5</v>
      </c>
      <c r="H588" s="4">
        <f>VLOOKUP(E588,Productos!$A$2:$D$13,4,TRUE)</f>
        <v>9.99</v>
      </c>
      <c r="I588" s="4" t="s">
        <v>10</v>
      </c>
      <c r="J588" s="4">
        <v>62</v>
      </c>
      <c r="K588" s="7">
        <v>42395</v>
      </c>
    </row>
    <row r="589" spans="1:11" x14ac:dyDescent="0.25">
      <c r="A589" s="4">
        <v>23849</v>
      </c>
      <c r="B589" s="4" t="s">
        <v>770</v>
      </c>
      <c r="C589" s="4" t="s">
        <v>148</v>
      </c>
      <c r="D589" s="4" t="str">
        <f>VLOOKUP(C589,Países!$A$1:$B$186,2,TRUE)</f>
        <v>Middle East and North Africa</v>
      </c>
      <c r="E589" s="4" t="s">
        <v>29</v>
      </c>
      <c r="F589" s="4" t="str">
        <f>VLOOKUP(E589,Productos!$A$2:$D$13,2,TRUE)</f>
        <v>botella 0.5l</v>
      </c>
      <c r="G589" s="4">
        <f>VLOOKUP(E589,Productos!$A$2:$D$13,3,TRUE)</f>
        <v>3</v>
      </c>
      <c r="H589" s="4">
        <f>VLOOKUP(E589,Productos!$A$2:$D$13,4,TRUE)</f>
        <v>6</v>
      </c>
      <c r="I589" s="4" t="s">
        <v>10</v>
      </c>
      <c r="J589" s="4">
        <v>50</v>
      </c>
      <c r="K589" s="7">
        <v>42428</v>
      </c>
    </row>
    <row r="590" spans="1:11" x14ac:dyDescent="0.25">
      <c r="A590" s="4">
        <v>23850</v>
      </c>
      <c r="B590" s="4" t="s">
        <v>771</v>
      </c>
      <c r="C590" s="4" t="s">
        <v>97</v>
      </c>
      <c r="D590" s="4" t="str">
        <f>VLOOKUP(C590,Países!$A$1:$B$186,2,TRUE)</f>
        <v>Sub-Saharan Africa</v>
      </c>
      <c r="E590" s="4" t="s">
        <v>16</v>
      </c>
      <c r="F590" s="4" t="str">
        <f>VLOOKUP(E590,Productos!$A$2:$D$13,2,TRUE)</f>
        <v>botella 5l</v>
      </c>
      <c r="G590" s="4">
        <f>VLOOKUP(E590,Productos!$A$2:$D$13,3,TRUE)</f>
        <v>6</v>
      </c>
      <c r="H590" s="4">
        <f>VLOOKUP(E590,Productos!$A$2:$D$13,4,TRUE)</f>
        <v>9</v>
      </c>
      <c r="I590" s="4" t="s">
        <v>17</v>
      </c>
      <c r="J590" s="4">
        <v>156</v>
      </c>
      <c r="K590" s="7">
        <v>42455</v>
      </c>
    </row>
    <row r="591" spans="1:11" x14ac:dyDescent="0.25">
      <c r="A591" s="4">
        <v>23851</v>
      </c>
      <c r="B591" s="4" t="s">
        <v>772</v>
      </c>
      <c r="C591" s="4" t="s">
        <v>263</v>
      </c>
      <c r="D591" s="4" t="str">
        <f>VLOOKUP(C591,Países!$A$1:$B$186,2,TRUE)</f>
        <v>Central America and the Caribbean</v>
      </c>
      <c r="E591" s="4" t="s">
        <v>23</v>
      </c>
      <c r="F591" s="4" t="str">
        <f>VLOOKUP(E591,Productos!$A$2:$D$13,2,TRUE)</f>
        <v>botellín 400cc</v>
      </c>
      <c r="G591" s="4">
        <f>VLOOKUP(E591,Productos!$A$2:$D$13,3,TRUE)</f>
        <v>2.2999999999999998</v>
      </c>
      <c r="H591" s="4">
        <f>VLOOKUP(E591,Productos!$A$2:$D$13,4,TRUE)</f>
        <v>4.5</v>
      </c>
      <c r="I591" s="4" t="s">
        <v>10</v>
      </c>
      <c r="J591" s="4">
        <v>171</v>
      </c>
      <c r="K591" s="7">
        <v>42416</v>
      </c>
    </row>
    <row r="592" spans="1:11" x14ac:dyDescent="0.25">
      <c r="A592" s="4">
        <v>23852</v>
      </c>
      <c r="B592" s="4" t="s">
        <v>773</v>
      </c>
      <c r="C592" s="4" t="s">
        <v>429</v>
      </c>
      <c r="D592" s="4" t="str">
        <f>VLOOKUP(C592,Países!$A$1:$B$186,2,TRUE)</f>
        <v>Europe</v>
      </c>
      <c r="E592" s="4" t="s">
        <v>13</v>
      </c>
      <c r="F592" s="4" t="str">
        <f>VLOOKUP(E592,Productos!$A$2:$D$13,2,TRUE)</f>
        <v>botella 1l</v>
      </c>
      <c r="G592" s="4">
        <f>VLOOKUP(E592,Productos!$A$2:$D$13,3,TRUE)</f>
        <v>3.5</v>
      </c>
      <c r="H592" s="4">
        <f>VLOOKUP(E592,Productos!$A$2:$D$13,4,TRUE)</f>
        <v>6.5</v>
      </c>
      <c r="I592" s="4" t="s">
        <v>10</v>
      </c>
      <c r="J592" s="4">
        <v>164</v>
      </c>
      <c r="K592" s="7">
        <v>42377</v>
      </c>
    </row>
    <row r="593" spans="1:11" x14ac:dyDescent="0.25">
      <c r="A593" s="4">
        <v>23853</v>
      </c>
      <c r="B593" s="4" t="s">
        <v>774</v>
      </c>
      <c r="C593" s="4" t="s">
        <v>333</v>
      </c>
      <c r="D593" s="4" t="str">
        <f>VLOOKUP(C593,Países!$A$1:$B$186,2,TRUE)</f>
        <v>Asia</v>
      </c>
      <c r="E593" s="4" t="s">
        <v>16</v>
      </c>
      <c r="F593" s="4" t="str">
        <f>VLOOKUP(E593,Productos!$A$2:$D$13,2,TRUE)</f>
        <v>botella 5l</v>
      </c>
      <c r="G593" s="4">
        <f>VLOOKUP(E593,Productos!$A$2:$D$13,3,TRUE)</f>
        <v>6</v>
      </c>
      <c r="H593" s="4">
        <f>VLOOKUP(E593,Productos!$A$2:$D$13,4,TRUE)</f>
        <v>9</v>
      </c>
      <c r="I593" s="4" t="s">
        <v>10</v>
      </c>
      <c r="J593" s="4">
        <v>34</v>
      </c>
      <c r="K593" s="7">
        <v>42431</v>
      </c>
    </row>
    <row r="594" spans="1:11" x14ac:dyDescent="0.25">
      <c r="A594" s="4">
        <v>23854</v>
      </c>
      <c r="B594" s="4" t="s">
        <v>775</v>
      </c>
      <c r="C594" s="4" t="s">
        <v>119</v>
      </c>
      <c r="D594" s="4" t="str">
        <f>VLOOKUP(C594,Países!$A$1:$B$186,2,TRUE)</f>
        <v>Sub-Saharan Africa</v>
      </c>
      <c r="E594" s="4" t="s">
        <v>26</v>
      </c>
      <c r="F594" s="4" t="str">
        <f>VLOOKUP(E594,Productos!$A$2:$D$13,2,TRUE)</f>
        <v>botellín 200cc</v>
      </c>
      <c r="G594" s="4">
        <f>VLOOKUP(E594,Productos!$A$2:$D$13,3,TRUE)</f>
        <v>1.5</v>
      </c>
      <c r="H594" s="4">
        <f>VLOOKUP(E594,Productos!$A$2:$D$13,4,TRUE)</f>
        <v>3</v>
      </c>
      <c r="I594" s="4" t="s">
        <v>10</v>
      </c>
      <c r="J594" s="4">
        <v>189</v>
      </c>
      <c r="K594" s="7">
        <v>42395</v>
      </c>
    </row>
    <row r="595" spans="1:11" x14ac:dyDescent="0.25">
      <c r="A595" s="4">
        <v>23855</v>
      </c>
      <c r="B595" s="4" t="s">
        <v>776</v>
      </c>
      <c r="C595" s="4" t="s">
        <v>119</v>
      </c>
      <c r="D595" s="4" t="str">
        <f>VLOOKUP(C595,Países!$A$1:$B$186,2,TRUE)</f>
        <v>Sub-Saharan Africa</v>
      </c>
      <c r="E595" s="4" t="s">
        <v>26</v>
      </c>
      <c r="F595" s="4" t="str">
        <f>VLOOKUP(E595,Productos!$A$2:$D$13,2,TRUE)</f>
        <v>botellín 200cc</v>
      </c>
      <c r="G595" s="4">
        <f>VLOOKUP(E595,Productos!$A$2:$D$13,3,TRUE)</f>
        <v>1.5</v>
      </c>
      <c r="H595" s="4">
        <f>VLOOKUP(E595,Productos!$A$2:$D$13,4,TRUE)</f>
        <v>3</v>
      </c>
      <c r="I595" s="4" t="s">
        <v>17</v>
      </c>
      <c r="J595" s="4">
        <v>145</v>
      </c>
      <c r="K595" s="7">
        <v>42386</v>
      </c>
    </row>
    <row r="596" spans="1:11" x14ac:dyDescent="0.25">
      <c r="A596" s="4">
        <v>23856</v>
      </c>
      <c r="B596" s="4" t="s">
        <v>777</v>
      </c>
      <c r="C596" s="4" t="s">
        <v>408</v>
      </c>
      <c r="D596" s="4" t="str">
        <f>VLOOKUP(C596,Países!$A$1:$B$186,2,TRUE)</f>
        <v>Europe</v>
      </c>
      <c r="E596" s="4" t="s">
        <v>20</v>
      </c>
      <c r="F596" s="4" t="str">
        <f>VLOOKUP(E596,Productos!$A$2:$D$13,2,TRUE)</f>
        <v>garrafa 4l</v>
      </c>
      <c r="G596" s="4">
        <f>VLOOKUP(E596,Productos!$A$2:$D$13,3,TRUE)</f>
        <v>5</v>
      </c>
      <c r="H596" s="4">
        <f>VLOOKUP(E596,Productos!$A$2:$D$13,4,TRUE)</f>
        <v>9.99</v>
      </c>
      <c r="I596" s="4" t="s">
        <v>10</v>
      </c>
      <c r="J596" s="4">
        <v>92</v>
      </c>
      <c r="K596" s="7">
        <v>42384</v>
      </c>
    </row>
    <row r="597" spans="1:11" x14ac:dyDescent="0.25">
      <c r="A597" s="4">
        <v>23857</v>
      </c>
      <c r="B597" s="4" t="s">
        <v>778</v>
      </c>
      <c r="C597" s="4" t="s">
        <v>579</v>
      </c>
      <c r="D597" s="4" t="str">
        <f>VLOOKUP(C597,Países!$A$1:$B$186,2,TRUE)</f>
        <v>Asia</v>
      </c>
      <c r="E597" s="4" t="s">
        <v>26</v>
      </c>
      <c r="F597" s="4" t="str">
        <f>VLOOKUP(E597,Productos!$A$2:$D$13,2,TRUE)</f>
        <v>botellín 200cc</v>
      </c>
      <c r="G597" s="4">
        <f>VLOOKUP(E597,Productos!$A$2:$D$13,3,TRUE)</f>
        <v>1.5</v>
      </c>
      <c r="H597" s="4">
        <f>VLOOKUP(E597,Productos!$A$2:$D$13,4,TRUE)</f>
        <v>3</v>
      </c>
      <c r="I597" s="4" t="s">
        <v>17</v>
      </c>
      <c r="J597" s="4">
        <v>45</v>
      </c>
      <c r="K597" s="7">
        <v>42369</v>
      </c>
    </row>
    <row r="598" spans="1:11" x14ac:dyDescent="0.25">
      <c r="A598" s="4">
        <v>23858</v>
      </c>
      <c r="B598" s="4" t="s">
        <v>779</v>
      </c>
      <c r="C598" s="4" t="s">
        <v>535</v>
      </c>
      <c r="D598" s="4" t="str">
        <f>VLOOKUP(C598,Países!$A$1:$B$186,2,TRUE)</f>
        <v>Sub-Saharan Africa</v>
      </c>
      <c r="E598" s="4" t="s">
        <v>16</v>
      </c>
      <c r="F598" s="4" t="str">
        <f>VLOOKUP(E598,Productos!$A$2:$D$13,2,TRUE)</f>
        <v>botella 5l</v>
      </c>
      <c r="G598" s="4">
        <f>VLOOKUP(E598,Productos!$A$2:$D$13,3,TRUE)</f>
        <v>6</v>
      </c>
      <c r="H598" s="4">
        <f>VLOOKUP(E598,Productos!$A$2:$D$13,4,TRUE)</f>
        <v>9</v>
      </c>
      <c r="I598" s="4" t="s">
        <v>17</v>
      </c>
      <c r="J598" s="4">
        <v>81</v>
      </c>
      <c r="K598" s="7">
        <v>42399</v>
      </c>
    </row>
    <row r="599" spans="1:11" x14ac:dyDescent="0.25">
      <c r="A599" s="4">
        <v>23859</v>
      </c>
      <c r="B599" s="4" t="s">
        <v>780</v>
      </c>
      <c r="C599" s="4" t="s">
        <v>781</v>
      </c>
      <c r="D599" s="4" t="str">
        <f>VLOOKUP(C599,Países!$A$1:$B$186,2,TRUE)</f>
        <v>Sub-Saharan Africa</v>
      </c>
      <c r="E599" s="4" t="s">
        <v>46</v>
      </c>
      <c r="F599" s="4" t="str">
        <f>VLOOKUP(E599,Productos!$A$2:$D$13,2,TRUE)</f>
        <v>botellín 500cc</v>
      </c>
      <c r="G599" s="4">
        <f>VLOOKUP(E599,Productos!$A$2:$D$13,3,TRUE)</f>
        <v>3.5</v>
      </c>
      <c r="H599" s="4">
        <f>VLOOKUP(E599,Productos!$A$2:$D$13,4,TRUE)</f>
        <v>6.5</v>
      </c>
      <c r="I599" s="4" t="s">
        <v>59</v>
      </c>
      <c r="J599" s="4">
        <v>185</v>
      </c>
      <c r="K599" s="7">
        <v>42405</v>
      </c>
    </row>
    <row r="600" spans="1:11" x14ac:dyDescent="0.25">
      <c r="A600" s="4">
        <v>23860</v>
      </c>
      <c r="B600" s="4" t="s">
        <v>782</v>
      </c>
      <c r="C600" s="4" t="s">
        <v>61</v>
      </c>
      <c r="D600" s="4" t="str">
        <f>VLOOKUP(C600,Países!$A$1:$B$186,2,TRUE)</f>
        <v>Sub-Saharan Africa</v>
      </c>
      <c r="E600" s="4" t="s">
        <v>58</v>
      </c>
      <c r="F600" s="4" t="str">
        <f>VLOOKUP(E600,Productos!$A$2:$D$13,2,TRUE)</f>
        <v>garrafa 2l</v>
      </c>
      <c r="G600" s="4">
        <f>VLOOKUP(E600,Productos!$A$2:$D$13,3,TRUE)</f>
        <v>2.5</v>
      </c>
      <c r="H600" s="4">
        <f>VLOOKUP(E600,Productos!$A$2:$D$13,4,TRUE)</f>
        <v>4.5</v>
      </c>
      <c r="I600" s="4" t="s">
        <v>17</v>
      </c>
      <c r="J600" s="4">
        <v>161</v>
      </c>
      <c r="K600" s="7">
        <v>42400</v>
      </c>
    </row>
    <row r="601" spans="1:11" x14ac:dyDescent="0.25">
      <c r="A601" s="4">
        <v>23861</v>
      </c>
      <c r="B601" s="4" t="s">
        <v>783</v>
      </c>
      <c r="C601" s="4" t="s">
        <v>108</v>
      </c>
      <c r="D601" s="4" t="str">
        <f>VLOOKUP(C601,Países!$A$1:$B$186,2,TRUE)</f>
        <v>Sub-Saharan Africa</v>
      </c>
      <c r="E601" s="4" t="s">
        <v>29</v>
      </c>
      <c r="F601" s="4" t="str">
        <f>VLOOKUP(E601,Productos!$A$2:$D$13,2,TRUE)</f>
        <v>botella 0.5l</v>
      </c>
      <c r="G601" s="4">
        <f>VLOOKUP(E601,Productos!$A$2:$D$13,3,TRUE)</f>
        <v>3</v>
      </c>
      <c r="H601" s="4">
        <f>VLOOKUP(E601,Productos!$A$2:$D$13,4,TRUE)</f>
        <v>6</v>
      </c>
      <c r="I601" s="4" t="s">
        <v>17</v>
      </c>
      <c r="J601" s="4">
        <v>12</v>
      </c>
      <c r="K601" s="7">
        <v>42352</v>
      </c>
    </row>
    <row r="602" spans="1:11" x14ac:dyDescent="0.25">
      <c r="A602" s="4">
        <v>23862</v>
      </c>
      <c r="B602" s="4" t="s">
        <v>784</v>
      </c>
      <c r="C602" s="4" t="s">
        <v>278</v>
      </c>
      <c r="D602" s="4" t="str">
        <f>VLOOKUP(C602,Países!$A$1:$B$186,2,TRUE)</f>
        <v>Australia and Oceania</v>
      </c>
      <c r="E602" s="4" t="s">
        <v>20</v>
      </c>
      <c r="F602" s="4" t="str">
        <f>VLOOKUP(E602,Productos!$A$2:$D$13,2,TRUE)</f>
        <v>garrafa 4l</v>
      </c>
      <c r="G602" s="4">
        <f>VLOOKUP(E602,Productos!$A$2:$D$13,3,TRUE)</f>
        <v>5</v>
      </c>
      <c r="H602" s="4">
        <f>VLOOKUP(E602,Productos!$A$2:$D$13,4,TRUE)</f>
        <v>9.99</v>
      </c>
      <c r="I602" s="4" t="s">
        <v>59</v>
      </c>
      <c r="J602" s="4">
        <v>25</v>
      </c>
      <c r="K602" s="7">
        <v>42321</v>
      </c>
    </row>
    <row r="603" spans="1:11" x14ac:dyDescent="0.25">
      <c r="A603" s="4">
        <v>23863</v>
      </c>
      <c r="B603" s="4" t="s">
        <v>785</v>
      </c>
      <c r="C603" s="4" t="s">
        <v>75</v>
      </c>
      <c r="D603" s="4" t="str">
        <f>VLOOKUP(C603,Países!$A$1:$B$186,2,TRUE)</f>
        <v>Asia</v>
      </c>
      <c r="E603" s="4" t="s">
        <v>26</v>
      </c>
      <c r="F603" s="4" t="str">
        <f>VLOOKUP(E603,Productos!$A$2:$D$13,2,TRUE)</f>
        <v>botellín 200cc</v>
      </c>
      <c r="G603" s="4">
        <f>VLOOKUP(E603,Productos!$A$2:$D$13,3,TRUE)</f>
        <v>1.5</v>
      </c>
      <c r="H603" s="4">
        <f>VLOOKUP(E603,Productos!$A$2:$D$13,4,TRUE)</f>
        <v>3</v>
      </c>
      <c r="I603" s="4" t="s">
        <v>17</v>
      </c>
      <c r="J603" s="4">
        <v>184</v>
      </c>
      <c r="K603" s="7">
        <v>42355</v>
      </c>
    </row>
    <row r="604" spans="1:11" x14ac:dyDescent="0.25">
      <c r="A604" s="4">
        <v>23864</v>
      </c>
      <c r="B604" s="4" t="s">
        <v>786</v>
      </c>
      <c r="C604" s="4" t="s">
        <v>40</v>
      </c>
      <c r="D604" s="4" t="str">
        <f>VLOOKUP(C604,Países!$A$1:$B$186,2,TRUE)</f>
        <v>Europe</v>
      </c>
      <c r="E604" s="4" t="s">
        <v>13</v>
      </c>
      <c r="F604" s="4" t="str">
        <f>VLOOKUP(E604,Productos!$A$2:$D$13,2,TRUE)</f>
        <v>botella 1l</v>
      </c>
      <c r="G604" s="4">
        <f>VLOOKUP(E604,Productos!$A$2:$D$13,3,TRUE)</f>
        <v>3.5</v>
      </c>
      <c r="H604" s="4">
        <f>VLOOKUP(E604,Productos!$A$2:$D$13,4,TRUE)</f>
        <v>6.5</v>
      </c>
      <c r="I604" s="4" t="s">
        <v>10</v>
      </c>
      <c r="J604" s="4">
        <v>9</v>
      </c>
      <c r="K604" s="7">
        <v>42259</v>
      </c>
    </row>
    <row r="605" spans="1:11" x14ac:dyDescent="0.25">
      <c r="A605" s="4">
        <v>23865</v>
      </c>
      <c r="B605" s="4" t="s">
        <v>787</v>
      </c>
      <c r="C605" s="4" t="s">
        <v>108</v>
      </c>
      <c r="D605" s="4" t="str">
        <f>VLOOKUP(C605,Países!$A$1:$B$186,2,TRUE)</f>
        <v>Sub-Saharan Africa</v>
      </c>
      <c r="E605" s="4" t="s">
        <v>13</v>
      </c>
      <c r="F605" s="4" t="str">
        <f>VLOOKUP(E605,Productos!$A$2:$D$13,2,TRUE)</f>
        <v>botella 1l</v>
      </c>
      <c r="G605" s="4">
        <f>VLOOKUP(E605,Productos!$A$2:$D$13,3,TRUE)</f>
        <v>3.5</v>
      </c>
      <c r="H605" s="4">
        <f>VLOOKUP(E605,Productos!$A$2:$D$13,4,TRUE)</f>
        <v>6.5</v>
      </c>
      <c r="I605" s="4" t="s">
        <v>10</v>
      </c>
      <c r="J605" s="4">
        <v>37</v>
      </c>
      <c r="K605" s="7">
        <v>42345</v>
      </c>
    </row>
    <row r="606" spans="1:11" x14ac:dyDescent="0.25">
      <c r="A606" s="4">
        <v>23866</v>
      </c>
      <c r="B606" s="4" t="s">
        <v>788</v>
      </c>
      <c r="C606" s="4" t="s">
        <v>22</v>
      </c>
      <c r="D606" s="4" t="str">
        <f>VLOOKUP(C606,Países!$A$1:$B$186,2,TRUE)</f>
        <v>Sub-Saharan Africa</v>
      </c>
      <c r="E606" s="4" t="s">
        <v>23</v>
      </c>
      <c r="F606" s="4" t="str">
        <f>VLOOKUP(E606,Productos!$A$2:$D$13,2,TRUE)</f>
        <v>botellín 400cc</v>
      </c>
      <c r="G606" s="4">
        <f>VLOOKUP(E606,Productos!$A$2:$D$13,3,TRUE)</f>
        <v>2.2999999999999998</v>
      </c>
      <c r="H606" s="4">
        <f>VLOOKUP(E606,Productos!$A$2:$D$13,4,TRUE)</f>
        <v>4.5</v>
      </c>
      <c r="I606" s="4" t="s">
        <v>17</v>
      </c>
      <c r="J606" s="4">
        <v>69</v>
      </c>
      <c r="K606" s="7">
        <v>42278</v>
      </c>
    </row>
    <row r="607" spans="1:11" x14ac:dyDescent="0.25">
      <c r="A607" s="4">
        <v>23867</v>
      </c>
      <c r="B607" s="4" t="s">
        <v>789</v>
      </c>
      <c r="C607" s="4" t="s">
        <v>71</v>
      </c>
      <c r="D607" s="4" t="str">
        <f>VLOOKUP(C607,Países!$A$1:$B$186,2,TRUE)</f>
        <v>Australia and Oceania</v>
      </c>
      <c r="E607" s="4" t="s">
        <v>58</v>
      </c>
      <c r="F607" s="4" t="str">
        <f>VLOOKUP(E607,Productos!$A$2:$D$13,2,TRUE)</f>
        <v>garrafa 2l</v>
      </c>
      <c r="G607" s="4">
        <f>VLOOKUP(E607,Productos!$A$2:$D$13,3,TRUE)</f>
        <v>2.5</v>
      </c>
      <c r="H607" s="4">
        <f>VLOOKUP(E607,Productos!$A$2:$D$13,4,TRUE)</f>
        <v>4.5</v>
      </c>
      <c r="I607" s="4" t="s">
        <v>10</v>
      </c>
      <c r="J607" s="4">
        <v>132</v>
      </c>
      <c r="K607" s="7">
        <v>42313</v>
      </c>
    </row>
    <row r="608" spans="1:11" x14ac:dyDescent="0.25">
      <c r="A608" s="4">
        <v>23868</v>
      </c>
      <c r="B608" s="4" t="s">
        <v>790</v>
      </c>
      <c r="C608" s="4" t="s">
        <v>557</v>
      </c>
      <c r="D608" s="4" t="str">
        <f>VLOOKUP(C608,Países!$A$1:$B$186,2,TRUE)</f>
        <v>Europe</v>
      </c>
      <c r="E608" s="4" t="s">
        <v>58</v>
      </c>
      <c r="F608" s="4" t="str">
        <f>VLOOKUP(E608,Productos!$A$2:$D$13,2,TRUE)</f>
        <v>garrafa 2l</v>
      </c>
      <c r="G608" s="4">
        <f>VLOOKUP(E608,Productos!$A$2:$D$13,3,TRUE)</f>
        <v>2.5</v>
      </c>
      <c r="H608" s="4">
        <f>VLOOKUP(E608,Productos!$A$2:$D$13,4,TRUE)</f>
        <v>4.5</v>
      </c>
      <c r="I608" s="4" t="s">
        <v>10</v>
      </c>
      <c r="J608" s="4">
        <v>141</v>
      </c>
      <c r="K608" s="7">
        <v>42253</v>
      </c>
    </row>
    <row r="609" spans="1:11" x14ac:dyDescent="0.25">
      <c r="A609" s="4">
        <v>23869</v>
      </c>
      <c r="B609" s="4" t="s">
        <v>791</v>
      </c>
      <c r="C609" s="4" t="s">
        <v>100</v>
      </c>
      <c r="D609" s="4" t="str">
        <f>VLOOKUP(C609,Países!$A$1:$B$186,2,TRUE)</f>
        <v>Asia</v>
      </c>
      <c r="E609" s="4" t="s">
        <v>16</v>
      </c>
      <c r="F609" s="4" t="str">
        <f>VLOOKUP(E609,Productos!$A$2:$D$13,2,TRUE)</f>
        <v>botella 5l</v>
      </c>
      <c r="G609" s="4">
        <f>VLOOKUP(E609,Productos!$A$2:$D$13,3,TRUE)</f>
        <v>6</v>
      </c>
      <c r="H609" s="4">
        <f>VLOOKUP(E609,Productos!$A$2:$D$13,4,TRUE)</f>
        <v>9</v>
      </c>
      <c r="I609" s="4" t="s">
        <v>10</v>
      </c>
      <c r="J609" s="4">
        <v>44</v>
      </c>
      <c r="K609" s="7">
        <v>42353</v>
      </c>
    </row>
    <row r="610" spans="1:11" x14ac:dyDescent="0.25">
      <c r="A610" s="4">
        <v>23870</v>
      </c>
      <c r="B610" s="4" t="s">
        <v>792</v>
      </c>
      <c r="C610" s="4" t="s">
        <v>92</v>
      </c>
      <c r="D610" s="4" t="str">
        <f>VLOOKUP(C610,Países!$A$1:$B$186,2,TRUE)</f>
        <v>Asia</v>
      </c>
      <c r="E610" s="4" t="s">
        <v>23</v>
      </c>
      <c r="F610" s="4" t="str">
        <f>VLOOKUP(E610,Productos!$A$2:$D$13,2,TRUE)</f>
        <v>botellín 400cc</v>
      </c>
      <c r="G610" s="4">
        <f>VLOOKUP(E610,Productos!$A$2:$D$13,3,TRUE)</f>
        <v>2.2999999999999998</v>
      </c>
      <c r="H610" s="4">
        <f>VLOOKUP(E610,Productos!$A$2:$D$13,4,TRUE)</f>
        <v>4.5</v>
      </c>
      <c r="I610" s="4" t="s">
        <v>10</v>
      </c>
      <c r="J610" s="4">
        <v>210</v>
      </c>
      <c r="K610" s="7">
        <v>42356</v>
      </c>
    </row>
    <row r="611" spans="1:11" x14ac:dyDescent="0.25">
      <c r="A611" s="4">
        <v>23871</v>
      </c>
      <c r="B611" s="4" t="s">
        <v>793</v>
      </c>
      <c r="C611" s="4" t="s">
        <v>538</v>
      </c>
      <c r="D611" s="4" t="str">
        <f>VLOOKUP(C611,Países!$A$1:$B$186,2,TRUE)</f>
        <v>Australia and Oceania</v>
      </c>
      <c r="E611" s="4" t="s">
        <v>23</v>
      </c>
      <c r="F611" s="4" t="str">
        <f>VLOOKUP(E611,Productos!$A$2:$D$13,2,TRUE)</f>
        <v>botellín 400cc</v>
      </c>
      <c r="G611" s="4">
        <f>VLOOKUP(E611,Productos!$A$2:$D$13,3,TRUE)</f>
        <v>2.2999999999999998</v>
      </c>
      <c r="H611" s="4">
        <f>VLOOKUP(E611,Productos!$A$2:$D$13,4,TRUE)</f>
        <v>4.5</v>
      </c>
      <c r="I611" s="4" t="s">
        <v>17</v>
      </c>
      <c r="J611" s="4">
        <v>152</v>
      </c>
      <c r="K611" s="7">
        <v>42276</v>
      </c>
    </row>
    <row r="612" spans="1:11" x14ac:dyDescent="0.25">
      <c r="A612" s="4">
        <v>23872</v>
      </c>
      <c r="B612" s="4" t="s">
        <v>794</v>
      </c>
      <c r="C612" s="4" t="s">
        <v>57</v>
      </c>
      <c r="D612" s="4" t="str">
        <f>VLOOKUP(C612,Países!$A$1:$B$186,2,TRUE)</f>
        <v>Sub-Saharan Africa</v>
      </c>
      <c r="E612" s="4" t="s">
        <v>51</v>
      </c>
      <c r="F612" s="4" t="str">
        <f>VLOOKUP(E612,Productos!$A$2:$D$13,2,TRUE)</f>
        <v>garrafa 8l</v>
      </c>
      <c r="G612" s="4">
        <f>VLOOKUP(E612,Productos!$A$2:$D$13,3,TRUE)</f>
        <v>8</v>
      </c>
      <c r="H612" s="4">
        <f>VLOOKUP(E612,Productos!$A$2:$D$13,4,TRUE)</f>
        <v>14.5</v>
      </c>
      <c r="I612" s="4" t="s">
        <v>17</v>
      </c>
      <c r="J612" s="4">
        <v>67</v>
      </c>
      <c r="K612" s="7">
        <v>42253</v>
      </c>
    </row>
    <row r="613" spans="1:11" x14ac:dyDescent="0.25">
      <c r="A613" s="4">
        <v>23873</v>
      </c>
      <c r="B613" s="4" t="s">
        <v>795</v>
      </c>
      <c r="C613" s="4" t="s">
        <v>316</v>
      </c>
      <c r="D613" s="4" t="str">
        <f>VLOOKUP(C613,Países!$A$1:$B$186,2,TRUE)</f>
        <v>Australia and Oceania</v>
      </c>
      <c r="E613" s="4" t="s">
        <v>23</v>
      </c>
      <c r="F613" s="4" t="str">
        <f>VLOOKUP(E613,Productos!$A$2:$D$13,2,TRUE)</f>
        <v>botellín 400cc</v>
      </c>
      <c r="G613" s="4">
        <f>VLOOKUP(E613,Productos!$A$2:$D$13,3,TRUE)</f>
        <v>2.2999999999999998</v>
      </c>
      <c r="H613" s="4">
        <f>VLOOKUP(E613,Productos!$A$2:$D$13,4,TRUE)</f>
        <v>4.5</v>
      </c>
      <c r="I613" s="4" t="s">
        <v>10</v>
      </c>
      <c r="J613" s="4">
        <v>41</v>
      </c>
      <c r="K613" s="7">
        <v>42364</v>
      </c>
    </row>
    <row r="614" spans="1:11" x14ac:dyDescent="0.25">
      <c r="A614" s="4">
        <v>23874</v>
      </c>
      <c r="B614" s="4" t="s">
        <v>796</v>
      </c>
      <c r="C614" s="4" t="s">
        <v>352</v>
      </c>
      <c r="D614" s="4" t="str">
        <f>VLOOKUP(C614,Países!$A$1:$B$186,2,TRUE)</f>
        <v>Europe</v>
      </c>
      <c r="E614" s="4" t="s">
        <v>9</v>
      </c>
      <c r="F614" s="4" t="str">
        <f>VLOOKUP(E614,Productos!$A$2:$D$13,2,TRUE)</f>
        <v>garrafa 1l</v>
      </c>
      <c r="G614" s="4">
        <f>VLOOKUP(E614,Productos!$A$2:$D$13,3,TRUE)</f>
        <v>1</v>
      </c>
      <c r="H614" s="4">
        <f>VLOOKUP(E614,Productos!$A$2:$D$13,4,TRUE)</f>
        <v>2</v>
      </c>
      <c r="I614" s="4" t="s">
        <v>17</v>
      </c>
      <c r="J614" s="4">
        <v>61</v>
      </c>
      <c r="K614" s="7">
        <v>42317</v>
      </c>
    </row>
    <row r="615" spans="1:11" x14ac:dyDescent="0.25">
      <c r="A615" s="4">
        <v>23875</v>
      </c>
      <c r="B615" s="4" t="s">
        <v>797</v>
      </c>
      <c r="C615" s="4" t="s">
        <v>403</v>
      </c>
      <c r="D615" s="4" t="str">
        <f>VLOOKUP(C615,Países!$A$1:$B$186,2,TRUE)</f>
        <v>Central America and the Caribbean</v>
      </c>
      <c r="E615" s="4" t="s">
        <v>26</v>
      </c>
      <c r="F615" s="4" t="str">
        <f>VLOOKUP(E615,Productos!$A$2:$D$13,2,TRUE)</f>
        <v>botellín 200cc</v>
      </c>
      <c r="G615" s="4">
        <f>VLOOKUP(E615,Productos!$A$2:$D$13,3,TRUE)</f>
        <v>1.5</v>
      </c>
      <c r="H615" s="4">
        <f>VLOOKUP(E615,Productos!$A$2:$D$13,4,TRUE)</f>
        <v>3</v>
      </c>
      <c r="I615" s="4" t="s">
        <v>59</v>
      </c>
      <c r="J615" s="4">
        <v>92</v>
      </c>
      <c r="K615" s="7">
        <v>42265</v>
      </c>
    </row>
    <row r="616" spans="1:11" x14ac:dyDescent="0.25">
      <c r="A616" s="4">
        <v>23876</v>
      </c>
      <c r="B616" s="4" t="s">
        <v>798</v>
      </c>
      <c r="C616" s="4" t="s">
        <v>57</v>
      </c>
      <c r="D616" s="4" t="str">
        <f>VLOOKUP(C616,Países!$A$1:$B$186,2,TRUE)</f>
        <v>Sub-Saharan Africa</v>
      </c>
      <c r="E616" s="4" t="s">
        <v>58</v>
      </c>
      <c r="F616" s="4" t="str">
        <f>VLOOKUP(E616,Productos!$A$2:$D$13,2,TRUE)</f>
        <v>garrafa 2l</v>
      </c>
      <c r="G616" s="4">
        <f>VLOOKUP(E616,Productos!$A$2:$D$13,3,TRUE)</f>
        <v>2.5</v>
      </c>
      <c r="H616" s="4">
        <f>VLOOKUP(E616,Productos!$A$2:$D$13,4,TRUE)</f>
        <v>4.5</v>
      </c>
      <c r="I616" s="4" t="s">
        <v>10</v>
      </c>
      <c r="J616" s="4">
        <v>119</v>
      </c>
      <c r="K616" s="7">
        <v>42301</v>
      </c>
    </row>
    <row r="617" spans="1:11" x14ac:dyDescent="0.25">
      <c r="A617" s="4">
        <v>23877</v>
      </c>
      <c r="B617" s="4" t="s">
        <v>799</v>
      </c>
      <c r="C617" s="4" t="s">
        <v>172</v>
      </c>
      <c r="D617" s="4" t="str">
        <f>VLOOKUP(C617,Países!$A$1:$B$186,2,TRUE)</f>
        <v>Middle East and North Africa</v>
      </c>
      <c r="E617" s="4" t="s">
        <v>16</v>
      </c>
      <c r="F617" s="4" t="str">
        <f>VLOOKUP(E617,Productos!$A$2:$D$13,2,TRUE)</f>
        <v>botella 5l</v>
      </c>
      <c r="G617" s="4">
        <f>VLOOKUP(E617,Productos!$A$2:$D$13,3,TRUE)</f>
        <v>6</v>
      </c>
      <c r="H617" s="4">
        <f>VLOOKUP(E617,Productos!$A$2:$D$13,4,TRUE)</f>
        <v>9</v>
      </c>
      <c r="I617" s="4" t="s">
        <v>10</v>
      </c>
      <c r="J617" s="4">
        <v>119</v>
      </c>
      <c r="K617" s="7">
        <v>42328</v>
      </c>
    </row>
    <row r="618" spans="1:11" x14ac:dyDescent="0.25">
      <c r="A618" s="4">
        <v>23878</v>
      </c>
      <c r="B618" s="4" t="s">
        <v>800</v>
      </c>
      <c r="C618" s="4" t="s">
        <v>756</v>
      </c>
      <c r="D618" s="4" t="str">
        <f>VLOOKUP(C618,Países!$A$1:$B$186,2,TRUE)</f>
        <v>Europe</v>
      </c>
      <c r="E618" s="4" t="s">
        <v>29</v>
      </c>
      <c r="F618" s="4" t="str">
        <f>VLOOKUP(E618,Productos!$A$2:$D$13,2,TRUE)</f>
        <v>botella 0.5l</v>
      </c>
      <c r="G618" s="4">
        <f>VLOOKUP(E618,Productos!$A$2:$D$13,3,TRUE)</f>
        <v>3</v>
      </c>
      <c r="H618" s="4">
        <f>VLOOKUP(E618,Productos!$A$2:$D$13,4,TRUE)</f>
        <v>6</v>
      </c>
      <c r="I618" s="4" t="s">
        <v>59</v>
      </c>
      <c r="J618" s="4">
        <v>66</v>
      </c>
      <c r="K618" s="7">
        <v>42313</v>
      </c>
    </row>
    <row r="619" spans="1:11" x14ac:dyDescent="0.25">
      <c r="A619" s="4">
        <v>23879</v>
      </c>
      <c r="B619" s="4" t="s">
        <v>801</v>
      </c>
      <c r="C619" s="4" t="s">
        <v>288</v>
      </c>
      <c r="D619" s="4" t="str">
        <f>VLOOKUP(C619,Países!$A$1:$B$186,2,TRUE)</f>
        <v>Europe</v>
      </c>
      <c r="E619" s="4" t="s">
        <v>26</v>
      </c>
      <c r="F619" s="4" t="str">
        <f>VLOOKUP(E619,Productos!$A$2:$D$13,2,TRUE)</f>
        <v>botellín 200cc</v>
      </c>
      <c r="G619" s="4">
        <f>VLOOKUP(E619,Productos!$A$2:$D$13,3,TRUE)</f>
        <v>1.5</v>
      </c>
      <c r="H619" s="4">
        <f>VLOOKUP(E619,Productos!$A$2:$D$13,4,TRUE)</f>
        <v>3</v>
      </c>
      <c r="I619" s="4" t="s">
        <v>17</v>
      </c>
      <c r="J619" s="4">
        <v>9</v>
      </c>
      <c r="K619" s="7">
        <v>42256</v>
      </c>
    </row>
    <row r="620" spans="1:11" x14ac:dyDescent="0.25">
      <c r="A620" s="4">
        <v>23880</v>
      </c>
      <c r="B620" s="4" t="s">
        <v>802</v>
      </c>
      <c r="C620" s="4" t="s">
        <v>518</v>
      </c>
      <c r="D620" s="4" t="str">
        <f>VLOOKUP(C620,Países!$A$1:$B$186,2,TRUE)</f>
        <v>Middle East and North Africa</v>
      </c>
      <c r="E620" s="4" t="s">
        <v>58</v>
      </c>
      <c r="F620" s="4" t="str">
        <f>VLOOKUP(E620,Productos!$A$2:$D$13,2,TRUE)</f>
        <v>garrafa 2l</v>
      </c>
      <c r="G620" s="4">
        <f>VLOOKUP(E620,Productos!$A$2:$D$13,3,TRUE)</f>
        <v>2.5</v>
      </c>
      <c r="H620" s="4">
        <f>VLOOKUP(E620,Productos!$A$2:$D$13,4,TRUE)</f>
        <v>4.5</v>
      </c>
      <c r="I620" s="4" t="s">
        <v>10</v>
      </c>
      <c r="J620" s="4">
        <v>96</v>
      </c>
      <c r="K620" s="7">
        <v>42251</v>
      </c>
    </row>
    <row r="621" spans="1:11" x14ac:dyDescent="0.25">
      <c r="A621" s="4">
        <v>23881</v>
      </c>
      <c r="B621" s="4" t="s">
        <v>803</v>
      </c>
      <c r="C621" s="4" t="s">
        <v>36</v>
      </c>
      <c r="D621" s="4" t="str">
        <f>VLOOKUP(C621,Países!$A$1:$B$186,2,TRUE)</f>
        <v>Sub-Saharan Africa</v>
      </c>
      <c r="E621" s="4" t="s">
        <v>23</v>
      </c>
      <c r="F621" s="4" t="str">
        <f>VLOOKUP(E621,Productos!$A$2:$D$13,2,TRUE)</f>
        <v>botellín 400cc</v>
      </c>
      <c r="G621" s="4">
        <f>VLOOKUP(E621,Productos!$A$2:$D$13,3,TRUE)</f>
        <v>2.2999999999999998</v>
      </c>
      <c r="H621" s="4">
        <f>VLOOKUP(E621,Productos!$A$2:$D$13,4,TRUE)</f>
        <v>4.5</v>
      </c>
      <c r="I621" s="4" t="s">
        <v>10</v>
      </c>
      <c r="J621" s="4">
        <v>104</v>
      </c>
      <c r="K621" s="7">
        <v>42347</v>
      </c>
    </row>
    <row r="622" spans="1:11" x14ac:dyDescent="0.25">
      <c r="A622" s="4">
        <v>23882</v>
      </c>
      <c r="B622" s="4" t="s">
        <v>804</v>
      </c>
      <c r="C622" s="4" t="s">
        <v>283</v>
      </c>
      <c r="D622" s="4" t="str">
        <f>VLOOKUP(C622,Países!$A$1:$B$186,2,TRUE)</f>
        <v>Middle East and North Africa</v>
      </c>
      <c r="E622" s="4" t="s">
        <v>9</v>
      </c>
      <c r="F622" s="4" t="str">
        <f>VLOOKUP(E622,Productos!$A$2:$D$13,2,TRUE)</f>
        <v>garrafa 1l</v>
      </c>
      <c r="G622" s="4">
        <f>VLOOKUP(E622,Productos!$A$2:$D$13,3,TRUE)</f>
        <v>1</v>
      </c>
      <c r="H622" s="4">
        <f>VLOOKUP(E622,Productos!$A$2:$D$13,4,TRUE)</f>
        <v>2</v>
      </c>
      <c r="I622" s="4" t="s">
        <v>10</v>
      </c>
      <c r="J622" s="4">
        <v>180</v>
      </c>
      <c r="K622" s="7">
        <v>42269</v>
      </c>
    </row>
    <row r="623" spans="1:11" x14ac:dyDescent="0.25">
      <c r="A623" s="4">
        <v>23883</v>
      </c>
      <c r="B623" s="4" t="s">
        <v>805</v>
      </c>
      <c r="C623" s="4" t="s">
        <v>55</v>
      </c>
      <c r="D623" s="4" t="str">
        <f>VLOOKUP(C623,Países!$A$1:$B$186,2,TRUE)</f>
        <v>Sub-Saharan Africa</v>
      </c>
      <c r="E623" s="4" t="s">
        <v>58</v>
      </c>
      <c r="F623" s="4" t="str">
        <f>VLOOKUP(E623,Productos!$A$2:$D$13,2,TRUE)</f>
        <v>garrafa 2l</v>
      </c>
      <c r="G623" s="4">
        <f>VLOOKUP(E623,Productos!$A$2:$D$13,3,TRUE)</f>
        <v>2.5</v>
      </c>
      <c r="H623" s="4">
        <f>VLOOKUP(E623,Productos!$A$2:$D$13,4,TRUE)</f>
        <v>4.5</v>
      </c>
      <c r="I623" s="4" t="s">
        <v>10</v>
      </c>
      <c r="J623" s="4">
        <v>7</v>
      </c>
      <c r="K623" s="7">
        <v>42287</v>
      </c>
    </row>
    <row r="624" spans="1:11" x14ac:dyDescent="0.25">
      <c r="A624" s="4">
        <v>23884</v>
      </c>
      <c r="B624" s="4" t="s">
        <v>806</v>
      </c>
      <c r="C624" s="4" t="s">
        <v>157</v>
      </c>
      <c r="D624" s="4" t="str">
        <f>VLOOKUP(C624,Países!$A$1:$B$186,2,TRUE)</f>
        <v>Sub-Saharan Africa</v>
      </c>
      <c r="E624" s="4" t="s">
        <v>34</v>
      </c>
      <c r="F624" s="4" t="str">
        <f>VLOOKUP(E624,Productos!$A$2:$D$13,2,TRUE)</f>
        <v>garrafa 3l</v>
      </c>
      <c r="G624" s="4">
        <f>VLOOKUP(E624,Productos!$A$2:$D$13,3,TRUE)</f>
        <v>3.5</v>
      </c>
      <c r="H624" s="4">
        <f>VLOOKUP(E624,Productos!$A$2:$D$13,4,TRUE)</f>
        <v>6.99</v>
      </c>
      <c r="I624" s="4" t="s">
        <v>59</v>
      </c>
      <c r="J624" s="4">
        <v>109</v>
      </c>
      <c r="K624" s="7">
        <v>42337</v>
      </c>
    </row>
    <row r="625" spans="1:11" x14ac:dyDescent="0.25">
      <c r="A625" s="4">
        <v>23885</v>
      </c>
      <c r="B625" s="4" t="s">
        <v>807</v>
      </c>
      <c r="C625" s="4" t="s">
        <v>230</v>
      </c>
      <c r="D625" s="4" t="str">
        <f>VLOOKUP(C625,Países!$A$1:$B$186,2,TRUE)</f>
        <v>Europe</v>
      </c>
      <c r="E625" s="4" t="s">
        <v>9</v>
      </c>
      <c r="F625" s="4" t="str">
        <f>VLOOKUP(E625,Productos!$A$2:$D$13,2,TRUE)</f>
        <v>garrafa 1l</v>
      </c>
      <c r="G625" s="4">
        <f>VLOOKUP(E625,Productos!$A$2:$D$13,3,TRUE)</f>
        <v>1</v>
      </c>
      <c r="H625" s="4">
        <f>VLOOKUP(E625,Productos!$A$2:$D$13,4,TRUE)</f>
        <v>2</v>
      </c>
      <c r="I625" s="4" t="s">
        <v>17</v>
      </c>
      <c r="J625" s="4">
        <v>146</v>
      </c>
      <c r="K625" s="7">
        <v>42273</v>
      </c>
    </row>
    <row r="626" spans="1:11" x14ac:dyDescent="0.25">
      <c r="A626" s="4">
        <v>23886</v>
      </c>
      <c r="B626" s="4" t="s">
        <v>808</v>
      </c>
      <c r="C626" s="4" t="s">
        <v>181</v>
      </c>
      <c r="D626" s="4" t="str">
        <f>VLOOKUP(C626,Países!$A$1:$B$186,2,TRUE)</f>
        <v>Europe</v>
      </c>
      <c r="E626" s="4" t="s">
        <v>34</v>
      </c>
      <c r="F626" s="4" t="str">
        <f>VLOOKUP(E626,Productos!$A$2:$D$13,2,TRUE)</f>
        <v>garrafa 3l</v>
      </c>
      <c r="G626" s="4">
        <f>VLOOKUP(E626,Productos!$A$2:$D$13,3,TRUE)</f>
        <v>3.5</v>
      </c>
      <c r="H626" s="4">
        <f>VLOOKUP(E626,Productos!$A$2:$D$13,4,TRUE)</f>
        <v>6.99</v>
      </c>
      <c r="I626" s="4" t="s">
        <v>17</v>
      </c>
      <c r="J626" s="4">
        <v>141</v>
      </c>
      <c r="K626" s="7">
        <v>42294</v>
      </c>
    </row>
    <row r="627" spans="1:11" x14ac:dyDescent="0.25">
      <c r="A627" s="4">
        <v>23887</v>
      </c>
      <c r="B627" s="4" t="s">
        <v>809</v>
      </c>
      <c r="C627" s="4" t="s">
        <v>518</v>
      </c>
      <c r="D627" s="4" t="str">
        <f>VLOOKUP(C627,Países!$A$1:$B$186,2,TRUE)</f>
        <v>Middle East and North Africa</v>
      </c>
      <c r="E627" s="4" t="s">
        <v>23</v>
      </c>
      <c r="F627" s="4" t="str">
        <f>VLOOKUP(E627,Productos!$A$2:$D$13,2,TRUE)</f>
        <v>botellín 400cc</v>
      </c>
      <c r="G627" s="4">
        <f>VLOOKUP(E627,Productos!$A$2:$D$13,3,TRUE)</f>
        <v>2.2999999999999998</v>
      </c>
      <c r="H627" s="4">
        <f>VLOOKUP(E627,Productos!$A$2:$D$13,4,TRUE)</f>
        <v>4.5</v>
      </c>
      <c r="I627" s="4" t="s">
        <v>10</v>
      </c>
      <c r="J627" s="4">
        <v>201</v>
      </c>
      <c r="K627" s="7">
        <v>42327</v>
      </c>
    </row>
    <row r="628" spans="1:11" x14ac:dyDescent="0.25">
      <c r="A628" s="4">
        <v>23888</v>
      </c>
      <c r="B628" s="4" t="s">
        <v>810</v>
      </c>
      <c r="C628" s="4" t="s">
        <v>331</v>
      </c>
      <c r="D628" s="4" t="str">
        <f>VLOOKUP(C628,Países!$A$1:$B$186,2,TRUE)</f>
        <v>Middle East and North Africa</v>
      </c>
      <c r="E628" s="4" t="s">
        <v>51</v>
      </c>
      <c r="F628" s="4" t="str">
        <f>VLOOKUP(E628,Productos!$A$2:$D$13,2,TRUE)</f>
        <v>garrafa 8l</v>
      </c>
      <c r="G628" s="4">
        <f>VLOOKUP(E628,Productos!$A$2:$D$13,3,TRUE)</f>
        <v>8</v>
      </c>
      <c r="H628" s="4">
        <f>VLOOKUP(E628,Productos!$A$2:$D$13,4,TRUE)</f>
        <v>14.5</v>
      </c>
      <c r="I628" s="4" t="s">
        <v>10</v>
      </c>
      <c r="J628" s="4">
        <v>132</v>
      </c>
      <c r="K628" s="7">
        <v>42279</v>
      </c>
    </row>
    <row r="629" spans="1:11" x14ac:dyDescent="0.25">
      <c r="A629" s="4">
        <v>23889</v>
      </c>
      <c r="B629" s="4" t="s">
        <v>811</v>
      </c>
      <c r="C629" s="4" t="s">
        <v>390</v>
      </c>
      <c r="D629" s="4" t="str">
        <f>VLOOKUP(C629,Países!$A$1:$B$186,2,TRUE)</f>
        <v>Australia and Oceania</v>
      </c>
      <c r="E629" s="4" t="s">
        <v>34</v>
      </c>
      <c r="F629" s="4" t="str">
        <f>VLOOKUP(E629,Productos!$A$2:$D$13,2,TRUE)</f>
        <v>garrafa 3l</v>
      </c>
      <c r="G629" s="4">
        <f>VLOOKUP(E629,Productos!$A$2:$D$13,3,TRUE)</f>
        <v>3.5</v>
      </c>
      <c r="H629" s="4">
        <f>VLOOKUP(E629,Productos!$A$2:$D$13,4,TRUE)</f>
        <v>6.99</v>
      </c>
      <c r="I629" s="4" t="s">
        <v>17</v>
      </c>
      <c r="J629" s="4">
        <v>148</v>
      </c>
      <c r="K629" s="7">
        <v>42357</v>
      </c>
    </row>
    <row r="630" spans="1:11" x14ac:dyDescent="0.25">
      <c r="A630" s="4">
        <v>23890</v>
      </c>
      <c r="B630" s="4" t="s">
        <v>812</v>
      </c>
      <c r="C630" s="4" t="s">
        <v>252</v>
      </c>
      <c r="D630" s="4" t="str">
        <f>VLOOKUP(C630,Países!$A$1:$B$186,2,TRUE)</f>
        <v>Europe</v>
      </c>
      <c r="E630" s="4" t="s">
        <v>46</v>
      </c>
      <c r="F630" s="4" t="str">
        <f>VLOOKUP(E630,Productos!$A$2:$D$13,2,TRUE)</f>
        <v>botellín 500cc</v>
      </c>
      <c r="G630" s="4">
        <f>VLOOKUP(E630,Productos!$A$2:$D$13,3,TRUE)</f>
        <v>3.5</v>
      </c>
      <c r="H630" s="4">
        <f>VLOOKUP(E630,Productos!$A$2:$D$13,4,TRUE)</f>
        <v>6.5</v>
      </c>
      <c r="I630" s="4" t="s">
        <v>17</v>
      </c>
      <c r="J630" s="4">
        <v>184</v>
      </c>
      <c r="K630" s="7">
        <v>42292</v>
      </c>
    </row>
    <row r="631" spans="1:11" x14ac:dyDescent="0.25">
      <c r="A631" s="4">
        <v>23891</v>
      </c>
      <c r="B631" s="4" t="s">
        <v>813</v>
      </c>
      <c r="C631" s="4" t="s">
        <v>172</v>
      </c>
      <c r="D631" s="4" t="str">
        <f>VLOOKUP(C631,Países!$A$1:$B$186,2,TRUE)</f>
        <v>Middle East and North Africa</v>
      </c>
      <c r="E631" s="4" t="s">
        <v>46</v>
      </c>
      <c r="F631" s="4" t="str">
        <f>VLOOKUP(E631,Productos!$A$2:$D$13,2,TRUE)</f>
        <v>botellín 500cc</v>
      </c>
      <c r="G631" s="4">
        <f>VLOOKUP(E631,Productos!$A$2:$D$13,3,TRUE)</f>
        <v>3.5</v>
      </c>
      <c r="H631" s="4">
        <f>VLOOKUP(E631,Productos!$A$2:$D$13,4,TRUE)</f>
        <v>6.5</v>
      </c>
      <c r="I631" s="4" t="s">
        <v>10</v>
      </c>
      <c r="J631" s="4">
        <v>197</v>
      </c>
      <c r="K631" s="7">
        <v>42334</v>
      </c>
    </row>
    <row r="632" spans="1:11" x14ac:dyDescent="0.25">
      <c r="A632" s="4">
        <v>23892</v>
      </c>
      <c r="B632" s="4" t="s">
        <v>814</v>
      </c>
      <c r="C632" s="4" t="s">
        <v>19</v>
      </c>
      <c r="D632" s="4" t="str">
        <f>VLOOKUP(C632,Países!$A$1:$B$186,2,TRUE)</f>
        <v>Sub-Saharan Africa</v>
      </c>
      <c r="E632" s="4" t="s">
        <v>13</v>
      </c>
      <c r="F632" s="4" t="str">
        <f>VLOOKUP(E632,Productos!$A$2:$D$13,2,TRUE)</f>
        <v>botella 1l</v>
      </c>
      <c r="G632" s="4">
        <f>VLOOKUP(E632,Productos!$A$2:$D$13,3,TRUE)</f>
        <v>3.5</v>
      </c>
      <c r="H632" s="4">
        <f>VLOOKUP(E632,Productos!$A$2:$D$13,4,TRUE)</f>
        <v>6.5</v>
      </c>
      <c r="I632" s="4" t="s">
        <v>10</v>
      </c>
      <c r="J632" s="4">
        <v>72</v>
      </c>
      <c r="K632" s="7">
        <v>42338</v>
      </c>
    </row>
    <row r="633" spans="1:11" x14ac:dyDescent="0.25">
      <c r="A633" s="4">
        <v>23893</v>
      </c>
      <c r="B633" s="4" t="s">
        <v>815</v>
      </c>
      <c r="C633" s="4" t="s">
        <v>110</v>
      </c>
      <c r="D633" s="4" t="str">
        <f>VLOOKUP(C633,Países!$A$1:$B$186,2,TRUE)</f>
        <v>Sub-Saharan Africa</v>
      </c>
      <c r="E633" s="4" t="s">
        <v>51</v>
      </c>
      <c r="F633" s="4" t="str">
        <f>VLOOKUP(E633,Productos!$A$2:$D$13,2,TRUE)</f>
        <v>garrafa 8l</v>
      </c>
      <c r="G633" s="4">
        <f>VLOOKUP(E633,Productos!$A$2:$D$13,3,TRUE)</f>
        <v>8</v>
      </c>
      <c r="H633" s="4">
        <f>VLOOKUP(E633,Productos!$A$2:$D$13,4,TRUE)</f>
        <v>14.5</v>
      </c>
      <c r="I633" s="4" t="s">
        <v>10</v>
      </c>
      <c r="J633" s="4">
        <v>46</v>
      </c>
      <c r="K633" s="7">
        <v>42262</v>
      </c>
    </row>
    <row r="634" spans="1:11" x14ac:dyDescent="0.25">
      <c r="A634" s="4">
        <v>23894</v>
      </c>
      <c r="B634" s="4" t="s">
        <v>816</v>
      </c>
      <c r="C634" s="4" t="s">
        <v>94</v>
      </c>
      <c r="D634" s="4" t="str">
        <f>VLOOKUP(C634,Países!$A$1:$B$186,2,TRUE)</f>
        <v>Sub-Saharan Africa</v>
      </c>
      <c r="E634" s="4" t="s">
        <v>9</v>
      </c>
      <c r="F634" s="4" t="str">
        <f>VLOOKUP(E634,Productos!$A$2:$D$13,2,TRUE)</f>
        <v>garrafa 1l</v>
      </c>
      <c r="G634" s="4">
        <f>VLOOKUP(E634,Productos!$A$2:$D$13,3,TRUE)</f>
        <v>1</v>
      </c>
      <c r="H634" s="4">
        <f>VLOOKUP(E634,Productos!$A$2:$D$13,4,TRUE)</f>
        <v>2</v>
      </c>
      <c r="I634" s="4" t="s">
        <v>10</v>
      </c>
      <c r="J634" s="4">
        <v>104</v>
      </c>
      <c r="K634" s="7">
        <v>42338</v>
      </c>
    </row>
    <row r="635" spans="1:11" x14ac:dyDescent="0.25">
      <c r="A635" s="4">
        <v>23895</v>
      </c>
      <c r="B635" s="4" t="s">
        <v>817</v>
      </c>
      <c r="C635" s="4" t="s">
        <v>444</v>
      </c>
      <c r="D635" s="4" t="str">
        <f>VLOOKUP(C635,Países!$A$1:$B$186,2,TRUE)</f>
        <v>Europe</v>
      </c>
      <c r="E635" s="4" t="s">
        <v>26</v>
      </c>
      <c r="F635" s="4" t="str">
        <f>VLOOKUP(E635,Productos!$A$2:$D$13,2,TRUE)</f>
        <v>botellín 200cc</v>
      </c>
      <c r="G635" s="4">
        <f>VLOOKUP(E635,Productos!$A$2:$D$13,3,TRUE)</f>
        <v>1.5</v>
      </c>
      <c r="H635" s="4">
        <f>VLOOKUP(E635,Productos!$A$2:$D$13,4,TRUE)</f>
        <v>3</v>
      </c>
      <c r="I635" s="4" t="s">
        <v>10</v>
      </c>
      <c r="J635" s="4">
        <v>197</v>
      </c>
      <c r="K635" s="7">
        <v>42318</v>
      </c>
    </row>
    <row r="636" spans="1:11" x14ac:dyDescent="0.25">
      <c r="A636" s="4">
        <v>23896</v>
      </c>
      <c r="B636" s="4" t="s">
        <v>818</v>
      </c>
      <c r="C636" s="4" t="s">
        <v>290</v>
      </c>
      <c r="D636" s="4" t="str">
        <f>VLOOKUP(C636,Países!$A$1:$B$186,2,TRUE)</f>
        <v>Europe</v>
      </c>
      <c r="E636" s="4" t="s">
        <v>58</v>
      </c>
      <c r="F636" s="4" t="str">
        <f>VLOOKUP(E636,Productos!$A$2:$D$13,2,TRUE)</f>
        <v>garrafa 2l</v>
      </c>
      <c r="G636" s="4">
        <f>VLOOKUP(E636,Productos!$A$2:$D$13,3,TRUE)</f>
        <v>2.5</v>
      </c>
      <c r="H636" s="4">
        <f>VLOOKUP(E636,Productos!$A$2:$D$13,4,TRUE)</f>
        <v>4.5</v>
      </c>
      <c r="I636" s="4" t="s">
        <v>10</v>
      </c>
      <c r="J636" s="4">
        <v>3</v>
      </c>
      <c r="K636" s="7">
        <v>42257</v>
      </c>
    </row>
    <row r="637" spans="1:11" x14ac:dyDescent="0.25">
      <c r="A637" s="4">
        <v>23897</v>
      </c>
      <c r="B637" s="4" t="s">
        <v>819</v>
      </c>
      <c r="C637" s="4" t="s">
        <v>401</v>
      </c>
      <c r="D637" s="4" t="str">
        <f>VLOOKUP(C637,Países!$A$1:$B$186,2,TRUE)</f>
        <v>Sub-Saharan Africa</v>
      </c>
      <c r="E637" s="4" t="s">
        <v>16</v>
      </c>
      <c r="F637" s="4" t="str">
        <f>VLOOKUP(E637,Productos!$A$2:$D$13,2,TRUE)</f>
        <v>botella 5l</v>
      </c>
      <c r="G637" s="4">
        <f>VLOOKUP(E637,Productos!$A$2:$D$13,3,TRUE)</f>
        <v>6</v>
      </c>
      <c r="H637" s="4">
        <f>VLOOKUP(E637,Productos!$A$2:$D$13,4,TRUE)</f>
        <v>9</v>
      </c>
      <c r="I637" s="4" t="s">
        <v>17</v>
      </c>
      <c r="J637" s="4">
        <v>202</v>
      </c>
      <c r="K637" s="7">
        <v>42318</v>
      </c>
    </row>
    <row r="638" spans="1:11" x14ac:dyDescent="0.25">
      <c r="A638" s="4">
        <v>23898</v>
      </c>
      <c r="B638" s="4" t="s">
        <v>820</v>
      </c>
      <c r="C638" s="4" t="s">
        <v>369</v>
      </c>
      <c r="D638" s="4" t="str">
        <f>VLOOKUP(C638,Países!$A$1:$B$186,2,TRUE)</f>
        <v>Middle East and North Africa</v>
      </c>
      <c r="E638" s="4" t="s">
        <v>34</v>
      </c>
      <c r="F638" s="4" t="str">
        <f>VLOOKUP(E638,Productos!$A$2:$D$13,2,TRUE)</f>
        <v>garrafa 3l</v>
      </c>
      <c r="G638" s="4">
        <f>VLOOKUP(E638,Productos!$A$2:$D$13,3,TRUE)</f>
        <v>3.5</v>
      </c>
      <c r="H638" s="4">
        <f>VLOOKUP(E638,Productos!$A$2:$D$13,4,TRUE)</f>
        <v>6.99</v>
      </c>
      <c r="I638" s="4" t="s">
        <v>10</v>
      </c>
      <c r="J638" s="4">
        <v>127</v>
      </c>
      <c r="K638" s="7">
        <v>42317</v>
      </c>
    </row>
    <row r="639" spans="1:11" x14ac:dyDescent="0.25">
      <c r="A639" s="4">
        <v>23899</v>
      </c>
      <c r="B639" s="4" t="s">
        <v>821</v>
      </c>
      <c r="C639" s="4" t="s">
        <v>181</v>
      </c>
      <c r="D639" s="4" t="str">
        <f>VLOOKUP(C639,Países!$A$1:$B$186,2,TRUE)</f>
        <v>Europe</v>
      </c>
      <c r="E639" s="4" t="s">
        <v>9</v>
      </c>
      <c r="F639" s="4" t="str">
        <f>VLOOKUP(E639,Productos!$A$2:$D$13,2,TRUE)</f>
        <v>garrafa 1l</v>
      </c>
      <c r="G639" s="4">
        <f>VLOOKUP(E639,Productos!$A$2:$D$13,3,TRUE)</f>
        <v>1</v>
      </c>
      <c r="H639" s="4">
        <f>VLOOKUP(E639,Productos!$A$2:$D$13,4,TRUE)</f>
        <v>2</v>
      </c>
      <c r="I639" s="4" t="s">
        <v>10</v>
      </c>
      <c r="J639" s="4">
        <v>178</v>
      </c>
      <c r="K639" s="7">
        <v>42359</v>
      </c>
    </row>
    <row r="640" spans="1:11" x14ac:dyDescent="0.25">
      <c r="A640" s="4">
        <v>23900</v>
      </c>
      <c r="B640" s="4" t="s">
        <v>822</v>
      </c>
      <c r="C640" s="4" t="s">
        <v>83</v>
      </c>
      <c r="D640" s="4" t="str">
        <f>VLOOKUP(C640,Países!$A$1:$B$186,2,TRUE)</f>
        <v>Sub-Saharan Africa</v>
      </c>
      <c r="E640" s="4" t="s">
        <v>23</v>
      </c>
      <c r="F640" s="4" t="str">
        <f>VLOOKUP(E640,Productos!$A$2:$D$13,2,TRUE)</f>
        <v>botellín 400cc</v>
      </c>
      <c r="G640" s="4">
        <f>VLOOKUP(E640,Productos!$A$2:$D$13,3,TRUE)</f>
        <v>2.2999999999999998</v>
      </c>
      <c r="H640" s="4">
        <f>VLOOKUP(E640,Productos!$A$2:$D$13,4,TRUE)</f>
        <v>4.5</v>
      </c>
      <c r="I640" s="4" t="s">
        <v>10</v>
      </c>
      <c r="J640" s="4">
        <v>54</v>
      </c>
      <c r="K640" s="7">
        <v>42355</v>
      </c>
    </row>
    <row r="641" spans="1:11" x14ac:dyDescent="0.25">
      <c r="A641" s="4">
        <v>23901</v>
      </c>
      <c r="B641" s="4" t="s">
        <v>823</v>
      </c>
      <c r="C641" s="4" t="s">
        <v>406</v>
      </c>
      <c r="D641" s="4" t="str">
        <f>VLOOKUP(C641,Países!$A$1:$B$186,2,TRUE)</f>
        <v>Sub-Saharan Africa</v>
      </c>
      <c r="E641" s="4" t="s">
        <v>26</v>
      </c>
      <c r="F641" s="4" t="str">
        <f>VLOOKUP(E641,Productos!$A$2:$D$13,2,TRUE)</f>
        <v>botellín 200cc</v>
      </c>
      <c r="G641" s="4">
        <f>VLOOKUP(E641,Productos!$A$2:$D$13,3,TRUE)</f>
        <v>1.5</v>
      </c>
      <c r="H641" s="4">
        <f>VLOOKUP(E641,Productos!$A$2:$D$13,4,TRUE)</f>
        <v>3</v>
      </c>
      <c r="I641" s="4" t="s">
        <v>10</v>
      </c>
      <c r="J641" s="4">
        <v>169</v>
      </c>
      <c r="K641" s="7">
        <v>42273</v>
      </c>
    </row>
    <row r="642" spans="1:11" x14ac:dyDescent="0.25">
      <c r="A642" s="4">
        <v>23902</v>
      </c>
      <c r="B642" s="4" t="s">
        <v>824</v>
      </c>
      <c r="C642" s="4" t="s">
        <v>331</v>
      </c>
      <c r="D642" s="4" t="str">
        <f>VLOOKUP(C642,Países!$A$1:$B$186,2,TRUE)</f>
        <v>Middle East and North Africa</v>
      </c>
      <c r="E642" s="4" t="s">
        <v>13</v>
      </c>
      <c r="F642" s="4" t="str">
        <f>VLOOKUP(E642,Productos!$A$2:$D$13,2,TRUE)</f>
        <v>botella 1l</v>
      </c>
      <c r="G642" s="4">
        <f>VLOOKUP(E642,Productos!$A$2:$D$13,3,TRUE)</f>
        <v>3.5</v>
      </c>
      <c r="H642" s="4">
        <f>VLOOKUP(E642,Productos!$A$2:$D$13,4,TRUE)</f>
        <v>6.5</v>
      </c>
      <c r="I642" s="4" t="s">
        <v>10</v>
      </c>
      <c r="J642" s="4">
        <v>128</v>
      </c>
      <c r="K642" s="7">
        <v>42252</v>
      </c>
    </row>
    <row r="643" spans="1:11" x14ac:dyDescent="0.25">
      <c r="A643" s="4">
        <v>23903</v>
      </c>
      <c r="B643" s="4" t="s">
        <v>825</v>
      </c>
      <c r="C643" s="4" t="s">
        <v>230</v>
      </c>
      <c r="D643" s="4" t="str">
        <f>VLOOKUP(C643,Países!$A$1:$B$186,2,TRUE)</f>
        <v>Europe</v>
      </c>
      <c r="E643" s="4" t="s">
        <v>58</v>
      </c>
      <c r="F643" s="4" t="str">
        <f>VLOOKUP(E643,Productos!$A$2:$D$13,2,TRUE)</f>
        <v>garrafa 2l</v>
      </c>
      <c r="G643" s="4">
        <f>VLOOKUP(E643,Productos!$A$2:$D$13,3,TRUE)</f>
        <v>2.5</v>
      </c>
      <c r="H643" s="4">
        <f>VLOOKUP(E643,Productos!$A$2:$D$13,4,TRUE)</f>
        <v>4.5</v>
      </c>
      <c r="I643" s="4" t="s">
        <v>17</v>
      </c>
      <c r="J643" s="4">
        <v>2</v>
      </c>
      <c r="K643" s="7">
        <v>42266</v>
      </c>
    </row>
    <row r="644" spans="1:11" x14ac:dyDescent="0.25">
      <c r="A644" s="4">
        <v>23904</v>
      </c>
      <c r="B644" s="4" t="s">
        <v>826</v>
      </c>
      <c r="C644" s="4" t="s">
        <v>86</v>
      </c>
      <c r="D644" s="4" t="str">
        <f>VLOOKUP(C644,Países!$A$1:$B$186,2,TRUE)</f>
        <v>Australia and Oceania</v>
      </c>
      <c r="E644" s="4" t="s">
        <v>23</v>
      </c>
      <c r="F644" s="4" t="str">
        <f>VLOOKUP(E644,Productos!$A$2:$D$13,2,TRUE)</f>
        <v>botellín 400cc</v>
      </c>
      <c r="G644" s="4">
        <f>VLOOKUP(E644,Productos!$A$2:$D$13,3,TRUE)</f>
        <v>2.2999999999999998</v>
      </c>
      <c r="H644" s="4">
        <f>VLOOKUP(E644,Productos!$A$2:$D$13,4,TRUE)</f>
        <v>4.5</v>
      </c>
      <c r="I644" s="4" t="s">
        <v>17</v>
      </c>
      <c r="J644" s="4">
        <v>149</v>
      </c>
      <c r="K644" s="7">
        <v>42326</v>
      </c>
    </row>
    <row r="645" spans="1:11" x14ac:dyDescent="0.25">
      <c r="A645" s="4">
        <v>23905</v>
      </c>
      <c r="B645" s="4" t="s">
        <v>827</v>
      </c>
      <c r="C645" s="4" t="s">
        <v>119</v>
      </c>
      <c r="D645" s="4" t="str">
        <f>VLOOKUP(C645,Países!$A$1:$B$186,2,TRUE)</f>
        <v>Sub-Saharan Africa</v>
      </c>
      <c r="E645" s="4" t="s">
        <v>46</v>
      </c>
      <c r="F645" s="4" t="str">
        <f>VLOOKUP(E645,Productos!$A$2:$D$13,2,TRUE)</f>
        <v>botellín 500cc</v>
      </c>
      <c r="G645" s="4">
        <f>VLOOKUP(E645,Productos!$A$2:$D$13,3,TRUE)</f>
        <v>3.5</v>
      </c>
      <c r="H645" s="4">
        <f>VLOOKUP(E645,Productos!$A$2:$D$13,4,TRUE)</f>
        <v>6.5</v>
      </c>
      <c r="I645" s="4" t="s">
        <v>17</v>
      </c>
      <c r="J645" s="4">
        <v>56</v>
      </c>
      <c r="K645" s="7">
        <v>42343</v>
      </c>
    </row>
    <row r="646" spans="1:11" x14ac:dyDescent="0.25">
      <c r="A646" s="4">
        <v>23906</v>
      </c>
      <c r="B646" s="4" t="s">
        <v>828</v>
      </c>
      <c r="C646" s="4" t="s">
        <v>75</v>
      </c>
      <c r="D646" s="4" t="str">
        <f>VLOOKUP(C646,Países!$A$1:$B$186,2,TRUE)</f>
        <v>Asia</v>
      </c>
      <c r="E646" s="4" t="s">
        <v>29</v>
      </c>
      <c r="F646" s="4" t="str">
        <f>VLOOKUP(E646,Productos!$A$2:$D$13,2,TRUE)</f>
        <v>botella 0.5l</v>
      </c>
      <c r="G646" s="4">
        <f>VLOOKUP(E646,Productos!$A$2:$D$13,3,TRUE)</f>
        <v>3</v>
      </c>
      <c r="H646" s="4">
        <f>VLOOKUP(E646,Productos!$A$2:$D$13,4,TRUE)</f>
        <v>6</v>
      </c>
      <c r="I646" s="4" t="s">
        <v>10</v>
      </c>
      <c r="J646" s="4">
        <v>155</v>
      </c>
      <c r="K646" s="7">
        <v>42295</v>
      </c>
    </row>
    <row r="647" spans="1:11" x14ac:dyDescent="0.25">
      <c r="A647" s="4">
        <v>23907</v>
      </c>
      <c r="B647" s="4" t="s">
        <v>829</v>
      </c>
      <c r="C647" s="4" t="s">
        <v>270</v>
      </c>
      <c r="D647" s="4" t="str">
        <f>VLOOKUP(C647,Países!$A$1:$B$186,2,TRUE)</f>
        <v>Asia</v>
      </c>
      <c r="E647" s="4" t="s">
        <v>9</v>
      </c>
      <c r="F647" s="4" t="str">
        <f>VLOOKUP(E647,Productos!$A$2:$D$13,2,TRUE)</f>
        <v>garrafa 1l</v>
      </c>
      <c r="G647" s="4">
        <f>VLOOKUP(E647,Productos!$A$2:$D$13,3,TRUE)</f>
        <v>1</v>
      </c>
      <c r="H647" s="4">
        <f>VLOOKUP(E647,Productos!$A$2:$D$13,4,TRUE)</f>
        <v>2</v>
      </c>
      <c r="I647" s="4" t="s">
        <v>17</v>
      </c>
      <c r="J647" s="4">
        <v>162</v>
      </c>
      <c r="K647" s="7">
        <v>42340</v>
      </c>
    </row>
    <row r="648" spans="1:11" x14ac:dyDescent="0.25">
      <c r="A648" s="4">
        <v>23908</v>
      </c>
      <c r="B648" s="4" t="s">
        <v>830</v>
      </c>
      <c r="C648" s="4" t="s">
        <v>257</v>
      </c>
      <c r="D648" s="4" t="str">
        <f>VLOOKUP(C648,Países!$A$1:$B$186,2,TRUE)</f>
        <v>Central America and the Caribbean</v>
      </c>
      <c r="E648" s="4" t="s">
        <v>16</v>
      </c>
      <c r="F648" s="4" t="str">
        <f>VLOOKUP(E648,Productos!$A$2:$D$13,2,TRUE)</f>
        <v>botella 5l</v>
      </c>
      <c r="G648" s="4">
        <f>VLOOKUP(E648,Productos!$A$2:$D$13,3,TRUE)</f>
        <v>6</v>
      </c>
      <c r="H648" s="4">
        <f>VLOOKUP(E648,Productos!$A$2:$D$13,4,TRUE)</f>
        <v>9</v>
      </c>
      <c r="I648" s="4" t="s">
        <v>59</v>
      </c>
      <c r="J648" s="4">
        <v>102</v>
      </c>
      <c r="K648" s="7">
        <v>42296</v>
      </c>
    </row>
    <row r="649" spans="1:11" x14ac:dyDescent="0.25">
      <c r="A649" s="4">
        <v>23909</v>
      </c>
      <c r="B649" s="4" t="s">
        <v>831</v>
      </c>
      <c r="C649" s="4" t="s">
        <v>331</v>
      </c>
      <c r="D649" s="4" t="str">
        <f>VLOOKUP(C649,Países!$A$1:$B$186,2,TRUE)</f>
        <v>Middle East and North Africa</v>
      </c>
      <c r="E649" s="4" t="s">
        <v>34</v>
      </c>
      <c r="F649" s="4" t="str">
        <f>VLOOKUP(E649,Productos!$A$2:$D$13,2,TRUE)</f>
        <v>garrafa 3l</v>
      </c>
      <c r="G649" s="4">
        <f>VLOOKUP(E649,Productos!$A$2:$D$13,3,TRUE)</f>
        <v>3.5</v>
      </c>
      <c r="H649" s="4">
        <f>VLOOKUP(E649,Productos!$A$2:$D$13,4,TRUE)</f>
        <v>6.99</v>
      </c>
      <c r="I649" s="4" t="s">
        <v>17</v>
      </c>
      <c r="J649" s="4">
        <v>66</v>
      </c>
      <c r="K649" s="7">
        <v>42304</v>
      </c>
    </row>
    <row r="650" spans="1:11" x14ac:dyDescent="0.25">
      <c r="A650" s="4">
        <v>23910</v>
      </c>
      <c r="B650" s="4" t="s">
        <v>832</v>
      </c>
      <c r="C650" s="4" t="s">
        <v>33</v>
      </c>
      <c r="D650" s="4" t="str">
        <f>VLOOKUP(C650,Países!$A$1:$B$186,2,TRUE)</f>
        <v>Asia</v>
      </c>
      <c r="E650" s="4" t="s">
        <v>51</v>
      </c>
      <c r="F650" s="4" t="str">
        <f>VLOOKUP(E650,Productos!$A$2:$D$13,2,TRUE)</f>
        <v>garrafa 8l</v>
      </c>
      <c r="G650" s="4">
        <f>VLOOKUP(E650,Productos!$A$2:$D$13,3,TRUE)</f>
        <v>8</v>
      </c>
      <c r="H650" s="4">
        <f>VLOOKUP(E650,Productos!$A$2:$D$13,4,TRUE)</f>
        <v>14.5</v>
      </c>
      <c r="I650" s="4" t="s">
        <v>10</v>
      </c>
      <c r="J650" s="4">
        <v>82</v>
      </c>
      <c r="K650" s="7">
        <v>42297</v>
      </c>
    </row>
    <row r="651" spans="1:11" x14ac:dyDescent="0.25">
      <c r="A651" s="4">
        <v>23911</v>
      </c>
      <c r="B651" s="4" t="s">
        <v>833</v>
      </c>
      <c r="C651" s="4" t="s">
        <v>259</v>
      </c>
      <c r="D651" s="4" t="str">
        <f>VLOOKUP(C651,Países!$A$1:$B$186,2,TRUE)</f>
        <v>Central America and the Caribbean</v>
      </c>
      <c r="E651" s="4" t="s">
        <v>26</v>
      </c>
      <c r="F651" s="4" t="str">
        <f>VLOOKUP(E651,Productos!$A$2:$D$13,2,TRUE)</f>
        <v>botellín 200cc</v>
      </c>
      <c r="G651" s="4">
        <f>VLOOKUP(E651,Productos!$A$2:$D$13,3,TRUE)</f>
        <v>1.5</v>
      </c>
      <c r="H651" s="4">
        <f>VLOOKUP(E651,Productos!$A$2:$D$13,4,TRUE)</f>
        <v>3</v>
      </c>
      <c r="I651" s="4" t="s">
        <v>10</v>
      </c>
      <c r="J651" s="4">
        <v>180</v>
      </c>
      <c r="K651" s="7">
        <v>42306</v>
      </c>
    </row>
    <row r="652" spans="1:11" x14ac:dyDescent="0.25">
      <c r="A652" s="4">
        <v>23912</v>
      </c>
      <c r="B652" s="4" t="s">
        <v>709</v>
      </c>
      <c r="C652" s="4" t="s">
        <v>369</v>
      </c>
      <c r="D652" s="4" t="str">
        <f>VLOOKUP(C652,Países!$A$1:$B$186,2,TRUE)</f>
        <v>Middle East and North Africa</v>
      </c>
      <c r="E652" s="4" t="s">
        <v>20</v>
      </c>
      <c r="F652" s="4" t="str">
        <f>VLOOKUP(E652,Productos!$A$2:$D$13,2,TRUE)</f>
        <v>garrafa 4l</v>
      </c>
      <c r="G652" s="4">
        <f>VLOOKUP(E652,Productos!$A$2:$D$13,3,TRUE)</f>
        <v>5</v>
      </c>
      <c r="H652" s="4">
        <f>VLOOKUP(E652,Productos!$A$2:$D$13,4,TRUE)</f>
        <v>9.99</v>
      </c>
      <c r="I652" s="4" t="s">
        <v>17</v>
      </c>
      <c r="J652" s="4">
        <v>39</v>
      </c>
      <c r="K652" s="7">
        <v>42342</v>
      </c>
    </row>
    <row r="653" spans="1:11" x14ac:dyDescent="0.25">
      <c r="A653" s="4">
        <v>23913</v>
      </c>
      <c r="B653" s="4" t="s">
        <v>834</v>
      </c>
      <c r="C653" s="4" t="s">
        <v>144</v>
      </c>
      <c r="D653" s="4" t="str">
        <f>VLOOKUP(C653,Países!$A$1:$B$186,2,TRUE)</f>
        <v>North America</v>
      </c>
      <c r="E653" s="4" t="s">
        <v>58</v>
      </c>
      <c r="F653" s="4" t="str">
        <f>VLOOKUP(E653,Productos!$A$2:$D$13,2,TRUE)</f>
        <v>garrafa 2l</v>
      </c>
      <c r="G653" s="4">
        <f>VLOOKUP(E653,Productos!$A$2:$D$13,3,TRUE)</f>
        <v>2.5</v>
      </c>
      <c r="H653" s="4">
        <f>VLOOKUP(E653,Productos!$A$2:$D$13,4,TRUE)</f>
        <v>4.5</v>
      </c>
      <c r="I653" s="4" t="s">
        <v>17</v>
      </c>
      <c r="J653" s="4">
        <v>6</v>
      </c>
      <c r="K653" s="7">
        <v>42302</v>
      </c>
    </row>
    <row r="654" spans="1:11" x14ac:dyDescent="0.25">
      <c r="A654" s="4">
        <v>23914</v>
      </c>
      <c r="B654" s="4" t="s">
        <v>835</v>
      </c>
      <c r="C654" s="4" t="s">
        <v>12</v>
      </c>
      <c r="D654" s="4" t="str">
        <f>VLOOKUP(C654,Países!$A$1:$B$186,2,TRUE)</f>
        <v>Central America and the Caribbean</v>
      </c>
      <c r="E654" s="4" t="s">
        <v>13</v>
      </c>
      <c r="F654" s="4" t="str">
        <f>VLOOKUP(E654,Productos!$A$2:$D$13,2,TRUE)</f>
        <v>botella 1l</v>
      </c>
      <c r="G654" s="4">
        <f>VLOOKUP(E654,Productos!$A$2:$D$13,3,TRUE)</f>
        <v>3.5</v>
      </c>
      <c r="H654" s="4">
        <f>VLOOKUP(E654,Productos!$A$2:$D$13,4,TRUE)</f>
        <v>6.5</v>
      </c>
      <c r="I654" s="4" t="s">
        <v>17</v>
      </c>
      <c r="J654" s="4">
        <v>131</v>
      </c>
      <c r="K654" s="7">
        <v>42356</v>
      </c>
    </row>
    <row r="655" spans="1:11" x14ac:dyDescent="0.25">
      <c r="A655" s="4">
        <v>23915</v>
      </c>
      <c r="B655" s="4" t="s">
        <v>836</v>
      </c>
      <c r="C655" s="4" t="s">
        <v>321</v>
      </c>
      <c r="D655" s="4" t="str">
        <f>VLOOKUP(C655,Países!$A$1:$B$186,2,TRUE)</f>
        <v>Asia</v>
      </c>
      <c r="E655" s="4" t="s">
        <v>9</v>
      </c>
      <c r="F655" s="4" t="str">
        <f>VLOOKUP(E655,Productos!$A$2:$D$13,2,TRUE)</f>
        <v>garrafa 1l</v>
      </c>
      <c r="G655" s="4">
        <f>VLOOKUP(E655,Productos!$A$2:$D$13,3,TRUE)</f>
        <v>1</v>
      </c>
      <c r="H655" s="4">
        <f>VLOOKUP(E655,Productos!$A$2:$D$13,4,TRUE)</f>
        <v>2</v>
      </c>
      <c r="I655" s="4" t="s">
        <v>17</v>
      </c>
      <c r="J655" s="4">
        <v>134</v>
      </c>
      <c r="K655" s="7">
        <v>42310</v>
      </c>
    </row>
    <row r="656" spans="1:11" x14ac:dyDescent="0.25">
      <c r="A656" s="4">
        <v>23916</v>
      </c>
      <c r="B656" s="4" t="s">
        <v>837</v>
      </c>
      <c r="C656" s="4" t="s">
        <v>366</v>
      </c>
      <c r="D656" s="4" t="str">
        <f>VLOOKUP(C656,Países!$A$1:$B$186,2,TRUE)</f>
        <v>Middle East and North Africa</v>
      </c>
      <c r="E656" s="4" t="s">
        <v>29</v>
      </c>
      <c r="F656" s="4" t="str">
        <f>VLOOKUP(E656,Productos!$A$2:$D$13,2,TRUE)</f>
        <v>botella 0.5l</v>
      </c>
      <c r="G656" s="4">
        <f>VLOOKUP(E656,Productos!$A$2:$D$13,3,TRUE)</f>
        <v>3</v>
      </c>
      <c r="H656" s="4">
        <f>VLOOKUP(E656,Productos!$A$2:$D$13,4,TRUE)</f>
        <v>6</v>
      </c>
      <c r="I656" s="4" t="s">
        <v>10</v>
      </c>
      <c r="J656" s="4">
        <v>212</v>
      </c>
      <c r="K656" s="7">
        <v>42312</v>
      </c>
    </row>
    <row r="657" spans="1:11" x14ac:dyDescent="0.25">
      <c r="A657" s="4">
        <v>23917</v>
      </c>
      <c r="B657" s="4" t="s">
        <v>838</v>
      </c>
      <c r="C657" s="4" t="s">
        <v>285</v>
      </c>
      <c r="D657" s="4" t="str">
        <f>VLOOKUP(C657,Países!$A$1:$B$186,2,TRUE)</f>
        <v>Europe</v>
      </c>
      <c r="E657" s="4" t="s">
        <v>51</v>
      </c>
      <c r="F657" s="4" t="str">
        <f>VLOOKUP(E657,Productos!$A$2:$D$13,2,TRUE)</f>
        <v>garrafa 8l</v>
      </c>
      <c r="G657" s="4">
        <f>VLOOKUP(E657,Productos!$A$2:$D$13,3,TRUE)</f>
        <v>8</v>
      </c>
      <c r="H657" s="4">
        <f>VLOOKUP(E657,Productos!$A$2:$D$13,4,TRUE)</f>
        <v>14.5</v>
      </c>
      <c r="I657" s="4" t="s">
        <v>59</v>
      </c>
      <c r="J657" s="4">
        <v>106</v>
      </c>
      <c r="K657" s="7">
        <v>42301</v>
      </c>
    </row>
    <row r="658" spans="1:11" x14ac:dyDescent="0.25">
      <c r="A658" s="4">
        <v>23918</v>
      </c>
      <c r="B658" s="4" t="s">
        <v>839</v>
      </c>
      <c r="C658" s="4" t="s">
        <v>168</v>
      </c>
      <c r="D658" s="4" t="str">
        <f>VLOOKUP(C658,Países!$A$1:$B$186,2,TRUE)</f>
        <v>Asia</v>
      </c>
      <c r="E658" s="4" t="s">
        <v>23</v>
      </c>
      <c r="F658" s="4" t="str">
        <f>VLOOKUP(E658,Productos!$A$2:$D$13,2,TRUE)</f>
        <v>botellín 400cc</v>
      </c>
      <c r="G658" s="4">
        <f>VLOOKUP(E658,Productos!$A$2:$D$13,3,TRUE)</f>
        <v>2.2999999999999998</v>
      </c>
      <c r="H658" s="4">
        <f>VLOOKUP(E658,Productos!$A$2:$D$13,4,TRUE)</f>
        <v>4.5</v>
      </c>
      <c r="I658" s="4" t="s">
        <v>10</v>
      </c>
      <c r="J658" s="4">
        <v>204</v>
      </c>
      <c r="K658" s="7">
        <v>42250</v>
      </c>
    </row>
    <row r="659" spans="1:11" x14ac:dyDescent="0.25">
      <c r="A659" s="4">
        <v>23919</v>
      </c>
      <c r="B659" s="4" t="s">
        <v>840</v>
      </c>
      <c r="C659" s="4" t="s">
        <v>100</v>
      </c>
      <c r="D659" s="4" t="str">
        <f>VLOOKUP(C659,Países!$A$1:$B$186,2,TRUE)</f>
        <v>Asia</v>
      </c>
      <c r="E659" s="4" t="s">
        <v>26</v>
      </c>
      <c r="F659" s="4" t="str">
        <f>VLOOKUP(E659,Productos!$A$2:$D$13,2,TRUE)</f>
        <v>botellín 200cc</v>
      </c>
      <c r="G659" s="4">
        <f>VLOOKUP(E659,Productos!$A$2:$D$13,3,TRUE)</f>
        <v>1.5</v>
      </c>
      <c r="H659" s="4">
        <f>VLOOKUP(E659,Productos!$A$2:$D$13,4,TRUE)</f>
        <v>3</v>
      </c>
      <c r="I659" s="4" t="s">
        <v>17</v>
      </c>
      <c r="J659" s="4">
        <v>120</v>
      </c>
      <c r="K659" s="7">
        <v>42254</v>
      </c>
    </row>
    <row r="660" spans="1:11" x14ac:dyDescent="0.25">
      <c r="A660" s="4">
        <v>23920</v>
      </c>
      <c r="B660" s="4" t="s">
        <v>841</v>
      </c>
      <c r="C660" s="4" t="s">
        <v>842</v>
      </c>
      <c r="D660" s="4" t="str">
        <f>VLOOKUP(C660,Países!$A$1:$B$186,2,TRUE)</f>
        <v>Asia</v>
      </c>
      <c r="E660" s="4" t="s">
        <v>46</v>
      </c>
      <c r="F660" s="4" t="str">
        <f>VLOOKUP(E660,Productos!$A$2:$D$13,2,TRUE)</f>
        <v>botellín 500cc</v>
      </c>
      <c r="G660" s="4">
        <f>VLOOKUP(E660,Productos!$A$2:$D$13,3,TRUE)</f>
        <v>3.5</v>
      </c>
      <c r="H660" s="4">
        <f>VLOOKUP(E660,Productos!$A$2:$D$13,4,TRUE)</f>
        <v>6.5</v>
      </c>
      <c r="I660" s="4" t="s">
        <v>17</v>
      </c>
      <c r="J660" s="4">
        <v>196</v>
      </c>
      <c r="K660" s="7">
        <v>42342</v>
      </c>
    </row>
    <row r="661" spans="1:11" x14ac:dyDescent="0.25">
      <c r="A661" s="4">
        <v>23921</v>
      </c>
      <c r="B661" s="4" t="s">
        <v>843</v>
      </c>
      <c r="C661" s="4" t="s">
        <v>148</v>
      </c>
      <c r="D661" s="4" t="str">
        <f>VLOOKUP(C661,Países!$A$1:$B$186,2,TRUE)</f>
        <v>Middle East and North Africa</v>
      </c>
      <c r="E661" s="4" t="s">
        <v>16</v>
      </c>
      <c r="F661" s="4" t="str">
        <f>VLOOKUP(E661,Productos!$A$2:$D$13,2,TRUE)</f>
        <v>botella 5l</v>
      </c>
      <c r="G661" s="4">
        <f>VLOOKUP(E661,Productos!$A$2:$D$13,3,TRUE)</f>
        <v>6</v>
      </c>
      <c r="H661" s="4">
        <f>VLOOKUP(E661,Productos!$A$2:$D$13,4,TRUE)</f>
        <v>9</v>
      </c>
      <c r="I661" s="4" t="s">
        <v>17</v>
      </c>
      <c r="J661" s="4">
        <v>145</v>
      </c>
      <c r="K661" s="7">
        <v>42280</v>
      </c>
    </row>
    <row r="662" spans="1:11" x14ac:dyDescent="0.25">
      <c r="A662" s="4">
        <v>23922</v>
      </c>
      <c r="B662" s="4" t="s">
        <v>844</v>
      </c>
      <c r="C662" s="4" t="s">
        <v>442</v>
      </c>
      <c r="D662" s="4" t="str">
        <f>VLOOKUP(C662,Países!$A$1:$B$186,2,TRUE)</f>
        <v>Asia</v>
      </c>
      <c r="E662" s="4" t="s">
        <v>34</v>
      </c>
      <c r="F662" s="4" t="str">
        <f>VLOOKUP(E662,Productos!$A$2:$D$13,2,TRUE)</f>
        <v>garrafa 3l</v>
      </c>
      <c r="G662" s="4">
        <f>VLOOKUP(E662,Productos!$A$2:$D$13,3,TRUE)</f>
        <v>3.5</v>
      </c>
      <c r="H662" s="4">
        <f>VLOOKUP(E662,Productos!$A$2:$D$13,4,TRUE)</f>
        <v>6.99</v>
      </c>
      <c r="I662" s="4" t="s">
        <v>59</v>
      </c>
      <c r="J662" s="4">
        <v>159</v>
      </c>
      <c r="K662" s="7">
        <v>42338</v>
      </c>
    </row>
    <row r="663" spans="1:11" x14ac:dyDescent="0.25">
      <c r="A663" s="4">
        <v>23923</v>
      </c>
      <c r="B663" s="4" t="s">
        <v>845</v>
      </c>
      <c r="C663" s="4" t="s">
        <v>357</v>
      </c>
      <c r="D663" s="4" t="str">
        <f>VLOOKUP(C663,Países!$A$1:$B$186,2,TRUE)</f>
        <v>Asia</v>
      </c>
      <c r="E663" s="4" t="s">
        <v>16</v>
      </c>
      <c r="F663" s="4" t="str">
        <f>VLOOKUP(E663,Productos!$A$2:$D$13,2,TRUE)</f>
        <v>botella 5l</v>
      </c>
      <c r="G663" s="4">
        <f>VLOOKUP(E663,Productos!$A$2:$D$13,3,TRUE)</f>
        <v>6</v>
      </c>
      <c r="H663" s="4">
        <f>VLOOKUP(E663,Productos!$A$2:$D$13,4,TRUE)</f>
        <v>9</v>
      </c>
      <c r="I663" s="4" t="s">
        <v>10</v>
      </c>
      <c r="J663" s="4">
        <v>196</v>
      </c>
      <c r="K663" s="7">
        <v>42357</v>
      </c>
    </row>
    <row r="664" spans="1:11" x14ac:dyDescent="0.25">
      <c r="A664" s="4">
        <v>23924</v>
      </c>
      <c r="B664" s="4" t="s">
        <v>846</v>
      </c>
      <c r="C664" s="4" t="s">
        <v>146</v>
      </c>
      <c r="D664" s="4" t="str">
        <f>VLOOKUP(C664,Países!$A$1:$B$186,2,TRUE)</f>
        <v>Europe</v>
      </c>
      <c r="E664" s="4" t="s">
        <v>29</v>
      </c>
      <c r="F664" s="4" t="str">
        <f>VLOOKUP(E664,Productos!$A$2:$D$13,2,TRUE)</f>
        <v>botella 0.5l</v>
      </c>
      <c r="G664" s="4">
        <f>VLOOKUP(E664,Productos!$A$2:$D$13,3,TRUE)</f>
        <v>3</v>
      </c>
      <c r="H664" s="4">
        <f>VLOOKUP(E664,Productos!$A$2:$D$13,4,TRUE)</f>
        <v>6</v>
      </c>
      <c r="I664" s="4" t="s">
        <v>10</v>
      </c>
      <c r="J664" s="4">
        <v>120</v>
      </c>
      <c r="K664" s="7">
        <v>42349</v>
      </c>
    </row>
    <row r="665" spans="1:11" x14ac:dyDescent="0.25">
      <c r="A665" s="4">
        <v>23925</v>
      </c>
      <c r="B665" s="4" t="s">
        <v>847</v>
      </c>
      <c r="C665" s="4" t="s">
        <v>278</v>
      </c>
      <c r="D665" s="4" t="str">
        <f>VLOOKUP(C665,Países!$A$1:$B$186,2,TRUE)</f>
        <v>Australia and Oceania</v>
      </c>
      <c r="E665" s="4" t="s">
        <v>9</v>
      </c>
      <c r="F665" s="4" t="str">
        <f>VLOOKUP(E665,Productos!$A$2:$D$13,2,TRUE)</f>
        <v>garrafa 1l</v>
      </c>
      <c r="G665" s="4">
        <f>VLOOKUP(E665,Productos!$A$2:$D$13,3,TRUE)</f>
        <v>1</v>
      </c>
      <c r="H665" s="4">
        <f>VLOOKUP(E665,Productos!$A$2:$D$13,4,TRUE)</f>
        <v>2</v>
      </c>
      <c r="I665" s="4" t="s">
        <v>10</v>
      </c>
      <c r="J665" s="4">
        <v>118</v>
      </c>
      <c r="K665" s="7">
        <v>42361</v>
      </c>
    </row>
    <row r="666" spans="1:11" x14ac:dyDescent="0.25">
      <c r="A666" s="4">
        <v>23926</v>
      </c>
      <c r="B666" s="4" t="s">
        <v>848</v>
      </c>
      <c r="C666" s="4" t="s">
        <v>521</v>
      </c>
      <c r="D666" s="4" t="str">
        <f>VLOOKUP(C666,Países!$A$1:$B$186,2,TRUE)</f>
        <v>Sub-Saharan Africa</v>
      </c>
      <c r="E666" s="4" t="s">
        <v>51</v>
      </c>
      <c r="F666" s="4" t="str">
        <f>VLOOKUP(E666,Productos!$A$2:$D$13,2,TRUE)</f>
        <v>garrafa 8l</v>
      </c>
      <c r="G666" s="4">
        <f>VLOOKUP(E666,Productos!$A$2:$D$13,3,TRUE)</f>
        <v>8</v>
      </c>
      <c r="H666" s="4">
        <f>VLOOKUP(E666,Productos!$A$2:$D$13,4,TRUE)</f>
        <v>14.5</v>
      </c>
      <c r="I666" s="4" t="s">
        <v>10</v>
      </c>
      <c r="J666" s="4">
        <v>152</v>
      </c>
      <c r="K666" s="7">
        <v>42364</v>
      </c>
    </row>
    <row r="667" spans="1:11" x14ac:dyDescent="0.25">
      <c r="A667" s="4">
        <v>23927</v>
      </c>
      <c r="B667" s="4" t="s">
        <v>849</v>
      </c>
      <c r="C667" s="4" t="s">
        <v>8</v>
      </c>
      <c r="D667" s="4" t="str">
        <f>VLOOKUP(C667,Países!$A$1:$B$186,2,TRUE)</f>
        <v>Sub-Saharan Africa</v>
      </c>
      <c r="E667" s="4" t="s">
        <v>16</v>
      </c>
      <c r="F667" s="4" t="str">
        <f>VLOOKUP(E667,Productos!$A$2:$D$13,2,TRUE)</f>
        <v>botella 5l</v>
      </c>
      <c r="G667" s="4">
        <f>VLOOKUP(E667,Productos!$A$2:$D$13,3,TRUE)</f>
        <v>6</v>
      </c>
      <c r="H667" s="4">
        <f>VLOOKUP(E667,Productos!$A$2:$D$13,4,TRUE)</f>
        <v>9</v>
      </c>
      <c r="I667" s="4" t="s">
        <v>10</v>
      </c>
      <c r="J667" s="4">
        <v>151</v>
      </c>
      <c r="K667" s="7">
        <v>42292</v>
      </c>
    </row>
    <row r="668" spans="1:11" x14ac:dyDescent="0.25">
      <c r="A668" s="4">
        <v>23928</v>
      </c>
      <c r="B668" s="4" t="s">
        <v>850</v>
      </c>
      <c r="C668" s="4" t="s">
        <v>131</v>
      </c>
      <c r="D668" s="4" t="str">
        <f>VLOOKUP(C668,Países!$A$1:$B$186,2,TRUE)</f>
        <v>Asia</v>
      </c>
      <c r="E668" s="4" t="s">
        <v>34</v>
      </c>
      <c r="F668" s="4" t="str">
        <f>VLOOKUP(E668,Productos!$A$2:$D$13,2,TRUE)</f>
        <v>garrafa 3l</v>
      </c>
      <c r="G668" s="4">
        <f>VLOOKUP(E668,Productos!$A$2:$D$13,3,TRUE)</f>
        <v>3.5</v>
      </c>
      <c r="H668" s="4">
        <f>VLOOKUP(E668,Productos!$A$2:$D$13,4,TRUE)</f>
        <v>6.99</v>
      </c>
      <c r="I668" s="4" t="s">
        <v>10</v>
      </c>
      <c r="J668" s="4">
        <v>74</v>
      </c>
      <c r="K668" s="7">
        <v>42366</v>
      </c>
    </row>
    <row r="669" spans="1:11" x14ac:dyDescent="0.25">
      <c r="A669" s="4">
        <v>23929</v>
      </c>
      <c r="B669" s="4" t="s">
        <v>851</v>
      </c>
      <c r="C669" s="4" t="s">
        <v>57</v>
      </c>
      <c r="D669" s="4" t="str">
        <f>VLOOKUP(C669,Países!$A$1:$B$186,2,TRUE)</f>
        <v>Sub-Saharan Africa</v>
      </c>
      <c r="E669" s="4" t="s">
        <v>20</v>
      </c>
      <c r="F669" s="4" t="str">
        <f>VLOOKUP(E669,Productos!$A$2:$D$13,2,TRUE)</f>
        <v>garrafa 4l</v>
      </c>
      <c r="G669" s="4">
        <f>VLOOKUP(E669,Productos!$A$2:$D$13,3,TRUE)</f>
        <v>5</v>
      </c>
      <c r="H669" s="4">
        <f>VLOOKUP(E669,Productos!$A$2:$D$13,4,TRUE)</f>
        <v>9.99</v>
      </c>
      <c r="I669" s="4" t="s">
        <v>17</v>
      </c>
      <c r="J669" s="4">
        <v>47</v>
      </c>
      <c r="K669" s="7">
        <v>42281</v>
      </c>
    </row>
    <row r="670" spans="1:11" x14ac:dyDescent="0.25">
      <c r="A670" s="4">
        <v>23930</v>
      </c>
      <c r="B670" s="4" t="s">
        <v>852</v>
      </c>
      <c r="C670" s="4" t="s">
        <v>8</v>
      </c>
      <c r="D670" s="4" t="str">
        <f>VLOOKUP(C670,Países!$A$1:$B$186,2,TRUE)</f>
        <v>Sub-Saharan Africa</v>
      </c>
      <c r="E670" s="4" t="s">
        <v>23</v>
      </c>
      <c r="F670" s="4" t="str">
        <f>VLOOKUP(E670,Productos!$A$2:$D$13,2,TRUE)</f>
        <v>botellín 400cc</v>
      </c>
      <c r="G670" s="4">
        <f>VLOOKUP(E670,Productos!$A$2:$D$13,3,TRUE)</f>
        <v>2.2999999999999998</v>
      </c>
      <c r="H670" s="4">
        <f>VLOOKUP(E670,Productos!$A$2:$D$13,4,TRUE)</f>
        <v>4.5</v>
      </c>
      <c r="I670" s="4" t="s">
        <v>10</v>
      </c>
      <c r="J670" s="4">
        <v>189</v>
      </c>
      <c r="K670" s="7">
        <v>42306</v>
      </c>
    </row>
    <row r="671" spans="1:11" x14ac:dyDescent="0.25">
      <c r="A671" s="4">
        <v>23931</v>
      </c>
      <c r="B671" s="4" t="s">
        <v>853</v>
      </c>
      <c r="C671" s="4" t="s">
        <v>369</v>
      </c>
      <c r="D671" s="4" t="str">
        <f>VLOOKUP(C671,Países!$A$1:$B$186,2,TRUE)</f>
        <v>Middle East and North Africa</v>
      </c>
      <c r="E671" s="4" t="s">
        <v>23</v>
      </c>
      <c r="F671" s="4" t="str">
        <f>VLOOKUP(E671,Productos!$A$2:$D$13,2,TRUE)</f>
        <v>botellín 400cc</v>
      </c>
      <c r="G671" s="4">
        <f>VLOOKUP(E671,Productos!$A$2:$D$13,3,TRUE)</f>
        <v>2.2999999999999998</v>
      </c>
      <c r="H671" s="4">
        <f>VLOOKUP(E671,Productos!$A$2:$D$13,4,TRUE)</f>
        <v>4.5</v>
      </c>
      <c r="I671" s="4" t="s">
        <v>17</v>
      </c>
      <c r="J671" s="4">
        <v>138</v>
      </c>
      <c r="K671" s="7">
        <v>42260</v>
      </c>
    </row>
    <row r="672" spans="1:11" x14ac:dyDescent="0.25">
      <c r="A672" s="4">
        <v>23932</v>
      </c>
      <c r="B672" s="4" t="s">
        <v>854</v>
      </c>
      <c r="C672" s="4" t="s">
        <v>307</v>
      </c>
      <c r="D672" s="4" t="str">
        <f>VLOOKUP(C672,Países!$A$1:$B$186,2,TRUE)</f>
        <v>Middle East and North Africa</v>
      </c>
      <c r="E672" s="4" t="s">
        <v>13</v>
      </c>
      <c r="F672" s="4" t="str">
        <f>VLOOKUP(E672,Productos!$A$2:$D$13,2,TRUE)</f>
        <v>botella 1l</v>
      </c>
      <c r="G672" s="4">
        <f>VLOOKUP(E672,Productos!$A$2:$D$13,3,TRUE)</f>
        <v>3.5</v>
      </c>
      <c r="H672" s="4">
        <f>VLOOKUP(E672,Productos!$A$2:$D$13,4,TRUE)</f>
        <v>6.5</v>
      </c>
      <c r="I672" s="4" t="s">
        <v>17</v>
      </c>
      <c r="J672" s="4">
        <v>115</v>
      </c>
      <c r="K672" s="7">
        <v>42284</v>
      </c>
    </row>
    <row r="673" spans="1:11" x14ac:dyDescent="0.25">
      <c r="A673" s="4">
        <v>23933</v>
      </c>
      <c r="B673" s="4" t="s">
        <v>855</v>
      </c>
      <c r="C673" s="4" t="s">
        <v>90</v>
      </c>
      <c r="D673" s="4" t="str">
        <f>VLOOKUP(C673,Países!$A$1:$B$186,2,TRUE)</f>
        <v>Europe</v>
      </c>
      <c r="E673" s="4" t="s">
        <v>20</v>
      </c>
      <c r="F673" s="4" t="str">
        <f>VLOOKUP(E673,Productos!$A$2:$D$13,2,TRUE)</f>
        <v>garrafa 4l</v>
      </c>
      <c r="G673" s="4">
        <f>VLOOKUP(E673,Productos!$A$2:$D$13,3,TRUE)</f>
        <v>5</v>
      </c>
      <c r="H673" s="4">
        <f>VLOOKUP(E673,Productos!$A$2:$D$13,4,TRUE)</f>
        <v>9.99</v>
      </c>
      <c r="I673" s="4" t="s">
        <v>10</v>
      </c>
      <c r="J673" s="4">
        <v>208</v>
      </c>
      <c r="K673" s="7">
        <v>42362</v>
      </c>
    </row>
    <row r="674" spans="1:11" x14ac:dyDescent="0.25">
      <c r="A674" s="4">
        <v>23934</v>
      </c>
      <c r="B674" s="4" t="s">
        <v>856</v>
      </c>
      <c r="C674" s="4" t="s">
        <v>86</v>
      </c>
      <c r="D674" s="4" t="str">
        <f>VLOOKUP(C674,Países!$A$1:$B$186,2,TRUE)</f>
        <v>Australia and Oceania</v>
      </c>
      <c r="E674" s="4" t="s">
        <v>26</v>
      </c>
      <c r="F674" s="4" t="str">
        <f>VLOOKUP(E674,Productos!$A$2:$D$13,2,TRUE)</f>
        <v>botellín 200cc</v>
      </c>
      <c r="G674" s="4">
        <f>VLOOKUP(E674,Productos!$A$2:$D$13,3,TRUE)</f>
        <v>1.5</v>
      </c>
      <c r="H674" s="4">
        <f>VLOOKUP(E674,Productos!$A$2:$D$13,4,TRUE)</f>
        <v>3</v>
      </c>
      <c r="I674" s="4" t="s">
        <v>59</v>
      </c>
      <c r="J674" s="4">
        <v>166</v>
      </c>
      <c r="K674" s="7">
        <v>42309</v>
      </c>
    </row>
    <row r="675" spans="1:11" x14ac:dyDescent="0.25">
      <c r="A675" s="4">
        <v>23935</v>
      </c>
      <c r="B675" s="4" t="s">
        <v>857</v>
      </c>
      <c r="C675" s="4" t="s">
        <v>25</v>
      </c>
      <c r="D675" s="4" t="str">
        <f>VLOOKUP(C675,Países!$A$1:$B$186,2,TRUE)</f>
        <v>Middle East and North Africa</v>
      </c>
      <c r="E675" s="4" t="s">
        <v>34</v>
      </c>
      <c r="F675" s="4" t="str">
        <f>VLOOKUP(E675,Productos!$A$2:$D$13,2,TRUE)</f>
        <v>garrafa 3l</v>
      </c>
      <c r="G675" s="4">
        <f>VLOOKUP(E675,Productos!$A$2:$D$13,3,TRUE)</f>
        <v>3.5</v>
      </c>
      <c r="H675" s="4">
        <f>VLOOKUP(E675,Productos!$A$2:$D$13,4,TRUE)</f>
        <v>6.99</v>
      </c>
      <c r="I675" s="4" t="s">
        <v>10</v>
      </c>
      <c r="J675" s="4">
        <v>17</v>
      </c>
      <c r="K675" s="7">
        <v>42295</v>
      </c>
    </row>
    <row r="676" spans="1:11" x14ac:dyDescent="0.25">
      <c r="A676" s="4">
        <v>23936</v>
      </c>
      <c r="B676" s="4" t="s">
        <v>858</v>
      </c>
      <c r="C676" s="4" t="s">
        <v>129</v>
      </c>
      <c r="D676" s="4" t="str">
        <f>VLOOKUP(C676,Países!$A$1:$B$186,2,TRUE)</f>
        <v>Central America and the Caribbean</v>
      </c>
      <c r="E676" s="4" t="s">
        <v>58</v>
      </c>
      <c r="F676" s="4" t="str">
        <f>VLOOKUP(E676,Productos!$A$2:$D$13,2,TRUE)</f>
        <v>garrafa 2l</v>
      </c>
      <c r="G676" s="4">
        <f>VLOOKUP(E676,Productos!$A$2:$D$13,3,TRUE)</f>
        <v>2.5</v>
      </c>
      <c r="H676" s="4">
        <f>VLOOKUP(E676,Productos!$A$2:$D$13,4,TRUE)</f>
        <v>4.5</v>
      </c>
      <c r="I676" s="4" t="s">
        <v>10</v>
      </c>
      <c r="J676" s="4">
        <v>195</v>
      </c>
      <c r="K676" s="7">
        <v>42305</v>
      </c>
    </row>
    <row r="677" spans="1:11" x14ac:dyDescent="0.25">
      <c r="A677" s="4">
        <v>23937</v>
      </c>
      <c r="B677" s="4" t="s">
        <v>859</v>
      </c>
      <c r="C677" s="4" t="s">
        <v>83</v>
      </c>
      <c r="D677" s="4" t="str">
        <f>VLOOKUP(C677,Países!$A$1:$B$186,2,TRUE)</f>
        <v>Sub-Saharan Africa</v>
      </c>
      <c r="E677" s="4" t="s">
        <v>16</v>
      </c>
      <c r="F677" s="4" t="str">
        <f>VLOOKUP(E677,Productos!$A$2:$D$13,2,TRUE)</f>
        <v>botella 5l</v>
      </c>
      <c r="G677" s="4">
        <f>VLOOKUP(E677,Productos!$A$2:$D$13,3,TRUE)</f>
        <v>6</v>
      </c>
      <c r="H677" s="4">
        <f>VLOOKUP(E677,Productos!$A$2:$D$13,4,TRUE)</f>
        <v>9</v>
      </c>
      <c r="I677" s="4" t="s">
        <v>17</v>
      </c>
      <c r="J677" s="4">
        <v>162</v>
      </c>
      <c r="K677" s="7">
        <v>42342</v>
      </c>
    </row>
    <row r="678" spans="1:11" x14ac:dyDescent="0.25">
      <c r="A678" s="4">
        <v>23938</v>
      </c>
      <c r="B678" s="4" t="s">
        <v>860</v>
      </c>
      <c r="C678" s="4" t="s">
        <v>203</v>
      </c>
      <c r="D678" s="4" t="str">
        <f>VLOOKUP(C678,Países!$A$1:$B$186,2,TRUE)</f>
        <v>Middle East and North Africa</v>
      </c>
      <c r="E678" s="4" t="s">
        <v>51</v>
      </c>
      <c r="F678" s="4" t="str">
        <f>VLOOKUP(E678,Productos!$A$2:$D$13,2,TRUE)</f>
        <v>garrafa 8l</v>
      </c>
      <c r="G678" s="4">
        <f>VLOOKUP(E678,Productos!$A$2:$D$13,3,TRUE)</f>
        <v>8</v>
      </c>
      <c r="H678" s="4">
        <f>VLOOKUP(E678,Productos!$A$2:$D$13,4,TRUE)</f>
        <v>14.5</v>
      </c>
      <c r="I678" s="4" t="s">
        <v>17</v>
      </c>
      <c r="J678" s="4">
        <v>45</v>
      </c>
      <c r="K678" s="7">
        <v>42307</v>
      </c>
    </row>
    <row r="679" spans="1:11" x14ac:dyDescent="0.25">
      <c r="A679" s="4">
        <v>23939</v>
      </c>
      <c r="B679" s="4" t="s">
        <v>861</v>
      </c>
      <c r="C679" s="4" t="s">
        <v>129</v>
      </c>
      <c r="D679" s="4" t="str">
        <f>VLOOKUP(C679,Países!$A$1:$B$186,2,TRUE)</f>
        <v>Central America and the Caribbean</v>
      </c>
      <c r="E679" s="4" t="s">
        <v>13</v>
      </c>
      <c r="F679" s="4" t="str">
        <f>VLOOKUP(E679,Productos!$A$2:$D$13,2,TRUE)</f>
        <v>botella 1l</v>
      </c>
      <c r="G679" s="4">
        <f>VLOOKUP(E679,Productos!$A$2:$D$13,3,TRUE)</f>
        <v>3.5</v>
      </c>
      <c r="H679" s="4">
        <f>VLOOKUP(E679,Productos!$A$2:$D$13,4,TRUE)</f>
        <v>6.5</v>
      </c>
      <c r="I679" s="4" t="s">
        <v>10</v>
      </c>
      <c r="J679" s="4">
        <v>163</v>
      </c>
      <c r="K679" s="7">
        <v>42269</v>
      </c>
    </row>
    <row r="680" spans="1:11" x14ac:dyDescent="0.25">
      <c r="A680" s="4">
        <v>23940</v>
      </c>
      <c r="B680" s="4" t="s">
        <v>862</v>
      </c>
      <c r="C680" s="4" t="s">
        <v>90</v>
      </c>
      <c r="D680" s="4" t="str">
        <f>VLOOKUP(C680,Países!$A$1:$B$186,2,TRUE)</f>
        <v>Europe</v>
      </c>
      <c r="E680" s="4" t="s">
        <v>26</v>
      </c>
      <c r="F680" s="4" t="str">
        <f>VLOOKUP(E680,Productos!$A$2:$D$13,2,TRUE)</f>
        <v>botellín 200cc</v>
      </c>
      <c r="G680" s="4">
        <f>VLOOKUP(E680,Productos!$A$2:$D$13,3,TRUE)</f>
        <v>1.5</v>
      </c>
      <c r="H680" s="4">
        <f>VLOOKUP(E680,Productos!$A$2:$D$13,4,TRUE)</f>
        <v>3</v>
      </c>
      <c r="I680" s="4" t="s">
        <v>10</v>
      </c>
      <c r="J680" s="4">
        <v>131</v>
      </c>
      <c r="K680" s="7">
        <v>42318</v>
      </c>
    </row>
    <row r="681" spans="1:11" x14ac:dyDescent="0.25">
      <c r="A681" s="4">
        <v>23941</v>
      </c>
      <c r="B681" s="4" t="s">
        <v>863</v>
      </c>
      <c r="C681" s="4" t="s">
        <v>188</v>
      </c>
      <c r="D681" s="4" t="str">
        <f>VLOOKUP(C681,Países!$A$1:$B$186,2,TRUE)</f>
        <v>Australia and Oceania</v>
      </c>
      <c r="E681" s="4" t="s">
        <v>58</v>
      </c>
      <c r="F681" s="4" t="str">
        <f>VLOOKUP(E681,Productos!$A$2:$D$13,2,TRUE)</f>
        <v>garrafa 2l</v>
      </c>
      <c r="G681" s="4">
        <f>VLOOKUP(E681,Productos!$A$2:$D$13,3,TRUE)</f>
        <v>2.5</v>
      </c>
      <c r="H681" s="4">
        <f>VLOOKUP(E681,Productos!$A$2:$D$13,4,TRUE)</f>
        <v>4.5</v>
      </c>
      <c r="I681" s="4" t="s">
        <v>10</v>
      </c>
      <c r="J681" s="4">
        <v>54</v>
      </c>
      <c r="K681" s="7">
        <v>42259</v>
      </c>
    </row>
    <row r="682" spans="1:11" x14ac:dyDescent="0.25">
      <c r="A682" s="4">
        <v>23942</v>
      </c>
      <c r="B682" s="4" t="s">
        <v>864</v>
      </c>
      <c r="C682" s="4" t="s">
        <v>295</v>
      </c>
      <c r="D682" s="4" t="str">
        <f>VLOOKUP(C682,Países!$A$1:$B$186,2,TRUE)</f>
        <v>Central America and the Caribbean</v>
      </c>
      <c r="E682" s="4" t="s">
        <v>51</v>
      </c>
      <c r="F682" s="4" t="str">
        <f>VLOOKUP(E682,Productos!$A$2:$D$13,2,TRUE)</f>
        <v>garrafa 8l</v>
      </c>
      <c r="G682" s="4">
        <f>VLOOKUP(E682,Productos!$A$2:$D$13,3,TRUE)</f>
        <v>8</v>
      </c>
      <c r="H682" s="4">
        <f>VLOOKUP(E682,Productos!$A$2:$D$13,4,TRUE)</f>
        <v>14.5</v>
      </c>
      <c r="I682" s="4" t="s">
        <v>10</v>
      </c>
      <c r="J682" s="4">
        <v>117</v>
      </c>
      <c r="K682" s="7">
        <v>42340</v>
      </c>
    </row>
    <row r="683" spans="1:11" x14ac:dyDescent="0.25">
      <c r="A683" s="4">
        <v>23943</v>
      </c>
      <c r="B683" s="4" t="s">
        <v>865</v>
      </c>
      <c r="C683" s="4" t="s">
        <v>152</v>
      </c>
      <c r="D683" s="4" t="str">
        <f>VLOOKUP(C683,Países!$A$1:$B$186,2,TRUE)</f>
        <v>Sub-Saharan Africa</v>
      </c>
      <c r="E683" s="4" t="s">
        <v>16</v>
      </c>
      <c r="F683" s="4" t="str">
        <f>VLOOKUP(E683,Productos!$A$2:$D$13,2,TRUE)</f>
        <v>botella 5l</v>
      </c>
      <c r="G683" s="4">
        <f>VLOOKUP(E683,Productos!$A$2:$D$13,3,TRUE)</f>
        <v>6</v>
      </c>
      <c r="H683" s="4">
        <f>VLOOKUP(E683,Productos!$A$2:$D$13,4,TRUE)</f>
        <v>9</v>
      </c>
      <c r="I683" s="4" t="s">
        <v>10</v>
      </c>
      <c r="J683" s="4">
        <v>128</v>
      </c>
      <c r="K683" s="7">
        <v>42359</v>
      </c>
    </row>
    <row r="684" spans="1:11" x14ac:dyDescent="0.25">
      <c r="A684" s="4">
        <v>23944</v>
      </c>
      <c r="B684" s="4" t="s">
        <v>866</v>
      </c>
      <c r="C684" s="4" t="s">
        <v>196</v>
      </c>
      <c r="D684" s="4" t="str">
        <f>VLOOKUP(C684,Países!$A$1:$B$186,2,TRUE)</f>
        <v>Europe</v>
      </c>
      <c r="E684" s="4" t="s">
        <v>13</v>
      </c>
      <c r="F684" s="4" t="str">
        <f>VLOOKUP(E684,Productos!$A$2:$D$13,2,TRUE)</f>
        <v>botella 1l</v>
      </c>
      <c r="G684" s="4">
        <f>VLOOKUP(E684,Productos!$A$2:$D$13,3,TRUE)</f>
        <v>3.5</v>
      </c>
      <c r="H684" s="4">
        <f>VLOOKUP(E684,Productos!$A$2:$D$13,4,TRUE)</f>
        <v>6.5</v>
      </c>
      <c r="I684" s="4" t="s">
        <v>10</v>
      </c>
      <c r="J684" s="4">
        <v>170</v>
      </c>
      <c r="K684" s="7">
        <v>42335</v>
      </c>
    </row>
    <row r="685" spans="1:11" x14ac:dyDescent="0.25">
      <c r="A685" s="4">
        <v>23945</v>
      </c>
      <c r="B685" s="4" t="s">
        <v>867</v>
      </c>
      <c r="C685" s="4" t="s">
        <v>181</v>
      </c>
      <c r="D685" s="4" t="str">
        <f>VLOOKUP(C685,Países!$A$1:$B$186,2,TRUE)</f>
        <v>Europe</v>
      </c>
      <c r="E685" s="4" t="s">
        <v>46</v>
      </c>
      <c r="F685" s="4" t="str">
        <f>VLOOKUP(E685,Productos!$A$2:$D$13,2,TRUE)</f>
        <v>botellín 500cc</v>
      </c>
      <c r="G685" s="4">
        <f>VLOOKUP(E685,Productos!$A$2:$D$13,3,TRUE)</f>
        <v>3.5</v>
      </c>
      <c r="H685" s="4">
        <f>VLOOKUP(E685,Productos!$A$2:$D$13,4,TRUE)</f>
        <v>6.5</v>
      </c>
      <c r="I685" s="4" t="s">
        <v>10</v>
      </c>
      <c r="J685" s="4">
        <v>183</v>
      </c>
      <c r="K685" s="7">
        <v>42318</v>
      </c>
    </row>
    <row r="686" spans="1:11" x14ac:dyDescent="0.25">
      <c r="A686" s="4">
        <v>23946</v>
      </c>
      <c r="B686" s="4" t="s">
        <v>868</v>
      </c>
      <c r="C686" s="4" t="s">
        <v>521</v>
      </c>
      <c r="D686" s="4" t="str">
        <f>VLOOKUP(C686,Países!$A$1:$B$186,2,TRUE)</f>
        <v>Sub-Saharan Africa</v>
      </c>
      <c r="E686" s="4" t="s">
        <v>29</v>
      </c>
      <c r="F686" s="4" t="str">
        <f>VLOOKUP(E686,Productos!$A$2:$D$13,2,TRUE)</f>
        <v>botella 0.5l</v>
      </c>
      <c r="G686" s="4">
        <f>VLOOKUP(E686,Productos!$A$2:$D$13,3,TRUE)</f>
        <v>3</v>
      </c>
      <c r="H686" s="4">
        <f>VLOOKUP(E686,Productos!$A$2:$D$13,4,TRUE)</f>
        <v>6</v>
      </c>
      <c r="I686" s="4" t="s">
        <v>10</v>
      </c>
      <c r="J686" s="4">
        <v>139</v>
      </c>
      <c r="K686" s="7">
        <v>42319</v>
      </c>
    </row>
    <row r="687" spans="1:11" x14ac:dyDescent="0.25">
      <c r="A687" s="4">
        <v>23947</v>
      </c>
      <c r="B687" s="4" t="s">
        <v>869</v>
      </c>
      <c r="C687" s="4" t="s">
        <v>40</v>
      </c>
      <c r="D687" s="4" t="str">
        <f>VLOOKUP(C687,Países!$A$1:$B$186,2,TRUE)</f>
        <v>Europe</v>
      </c>
      <c r="E687" s="4" t="s">
        <v>58</v>
      </c>
      <c r="F687" s="4" t="str">
        <f>VLOOKUP(E687,Productos!$A$2:$D$13,2,TRUE)</f>
        <v>garrafa 2l</v>
      </c>
      <c r="G687" s="4">
        <f>VLOOKUP(E687,Productos!$A$2:$D$13,3,TRUE)</f>
        <v>2.5</v>
      </c>
      <c r="H687" s="4">
        <f>VLOOKUP(E687,Productos!$A$2:$D$13,4,TRUE)</f>
        <v>4.5</v>
      </c>
      <c r="I687" s="4" t="s">
        <v>10</v>
      </c>
      <c r="J687" s="4">
        <v>113</v>
      </c>
      <c r="K687" s="7">
        <v>42363</v>
      </c>
    </row>
    <row r="688" spans="1:11" x14ac:dyDescent="0.25">
      <c r="A688" s="4">
        <v>23948</v>
      </c>
      <c r="B688" s="4" t="s">
        <v>870</v>
      </c>
      <c r="C688" s="4" t="s">
        <v>333</v>
      </c>
      <c r="D688" s="4" t="str">
        <f>VLOOKUP(C688,Países!$A$1:$B$186,2,TRUE)</f>
        <v>Asia</v>
      </c>
      <c r="E688" s="4" t="s">
        <v>26</v>
      </c>
      <c r="F688" s="4" t="str">
        <f>VLOOKUP(E688,Productos!$A$2:$D$13,2,TRUE)</f>
        <v>botellín 200cc</v>
      </c>
      <c r="G688" s="4">
        <f>VLOOKUP(E688,Productos!$A$2:$D$13,3,TRUE)</f>
        <v>1.5</v>
      </c>
      <c r="H688" s="4">
        <f>VLOOKUP(E688,Productos!$A$2:$D$13,4,TRUE)</f>
        <v>3</v>
      </c>
      <c r="I688" s="4" t="s">
        <v>10</v>
      </c>
      <c r="J688" s="4">
        <v>170</v>
      </c>
      <c r="K688" s="7">
        <v>42321</v>
      </c>
    </row>
    <row r="689" spans="1:11" x14ac:dyDescent="0.25">
      <c r="A689" s="4">
        <v>23949</v>
      </c>
      <c r="B689" s="4" t="s">
        <v>871</v>
      </c>
      <c r="C689" s="4" t="s">
        <v>166</v>
      </c>
      <c r="D689" s="4" t="str">
        <f>VLOOKUP(C689,Países!$A$1:$B$186,2,TRUE)</f>
        <v>Asia</v>
      </c>
      <c r="E689" s="4" t="s">
        <v>29</v>
      </c>
      <c r="F689" s="4" t="str">
        <f>VLOOKUP(E689,Productos!$A$2:$D$13,2,TRUE)</f>
        <v>botella 0.5l</v>
      </c>
      <c r="G689" s="4">
        <f>VLOOKUP(E689,Productos!$A$2:$D$13,3,TRUE)</f>
        <v>3</v>
      </c>
      <c r="H689" s="4">
        <f>VLOOKUP(E689,Productos!$A$2:$D$13,4,TRUE)</f>
        <v>6</v>
      </c>
      <c r="I689" s="4" t="s">
        <v>10</v>
      </c>
      <c r="J689" s="4">
        <v>19</v>
      </c>
      <c r="K689" s="7">
        <v>42254</v>
      </c>
    </row>
    <row r="690" spans="1:11" x14ac:dyDescent="0.25">
      <c r="A690" s="4">
        <v>23950</v>
      </c>
      <c r="B690" s="4" t="s">
        <v>872</v>
      </c>
      <c r="C690" s="4" t="s">
        <v>97</v>
      </c>
      <c r="D690" s="4" t="str">
        <f>VLOOKUP(C690,Países!$A$1:$B$186,2,TRUE)</f>
        <v>Sub-Saharan Africa</v>
      </c>
      <c r="E690" s="4" t="s">
        <v>23</v>
      </c>
      <c r="F690" s="4" t="str">
        <f>VLOOKUP(E690,Productos!$A$2:$D$13,2,TRUE)</f>
        <v>botellín 400cc</v>
      </c>
      <c r="G690" s="4">
        <f>VLOOKUP(E690,Productos!$A$2:$D$13,3,TRUE)</f>
        <v>2.2999999999999998</v>
      </c>
      <c r="H690" s="4">
        <f>VLOOKUP(E690,Productos!$A$2:$D$13,4,TRUE)</f>
        <v>4.5</v>
      </c>
      <c r="I690" s="4" t="s">
        <v>17</v>
      </c>
      <c r="J690" s="4">
        <v>93</v>
      </c>
      <c r="K690" s="7">
        <v>42339</v>
      </c>
    </row>
    <row r="691" spans="1:11" x14ac:dyDescent="0.25">
      <c r="A691" s="4">
        <v>23951</v>
      </c>
      <c r="B691" s="4" t="s">
        <v>873</v>
      </c>
      <c r="C691" s="4" t="s">
        <v>316</v>
      </c>
      <c r="D691" s="4" t="str">
        <f>VLOOKUP(C691,Países!$A$1:$B$186,2,TRUE)</f>
        <v>Australia and Oceania</v>
      </c>
      <c r="E691" s="4" t="s">
        <v>46</v>
      </c>
      <c r="F691" s="4" t="str">
        <f>VLOOKUP(E691,Productos!$A$2:$D$13,2,TRUE)</f>
        <v>botellín 500cc</v>
      </c>
      <c r="G691" s="4">
        <f>VLOOKUP(E691,Productos!$A$2:$D$13,3,TRUE)</f>
        <v>3.5</v>
      </c>
      <c r="H691" s="4">
        <f>VLOOKUP(E691,Productos!$A$2:$D$13,4,TRUE)</f>
        <v>6.5</v>
      </c>
      <c r="I691" s="4" t="s">
        <v>10</v>
      </c>
      <c r="J691" s="4">
        <v>10</v>
      </c>
      <c r="K691" s="7">
        <v>42366</v>
      </c>
    </row>
    <row r="692" spans="1:11" x14ac:dyDescent="0.25">
      <c r="A692" s="4">
        <v>23952</v>
      </c>
      <c r="B692" s="4" t="s">
        <v>874</v>
      </c>
      <c r="C692" s="4" t="s">
        <v>164</v>
      </c>
      <c r="D692" s="4" t="str">
        <f>VLOOKUP(C692,Países!$A$1:$B$186,2,TRUE)</f>
        <v>Europe</v>
      </c>
      <c r="E692" s="4" t="s">
        <v>46</v>
      </c>
      <c r="F692" s="4" t="str">
        <f>VLOOKUP(E692,Productos!$A$2:$D$13,2,TRUE)</f>
        <v>botellín 500cc</v>
      </c>
      <c r="G692" s="4">
        <f>VLOOKUP(E692,Productos!$A$2:$D$13,3,TRUE)</f>
        <v>3.5</v>
      </c>
      <c r="H692" s="4">
        <f>VLOOKUP(E692,Productos!$A$2:$D$13,4,TRUE)</f>
        <v>6.5</v>
      </c>
      <c r="I692" s="4" t="s">
        <v>17</v>
      </c>
      <c r="J692" s="4">
        <v>81</v>
      </c>
      <c r="K692" s="7">
        <v>42334</v>
      </c>
    </row>
    <row r="693" spans="1:11" x14ac:dyDescent="0.25">
      <c r="A693" s="4">
        <v>23953</v>
      </c>
      <c r="B693" s="4" t="s">
        <v>875</v>
      </c>
      <c r="C693" s="4" t="s">
        <v>83</v>
      </c>
      <c r="D693" s="4" t="str">
        <f>VLOOKUP(C693,Países!$A$1:$B$186,2,TRUE)</f>
        <v>Sub-Saharan Africa</v>
      </c>
      <c r="E693" s="4" t="s">
        <v>26</v>
      </c>
      <c r="F693" s="4" t="str">
        <f>VLOOKUP(E693,Productos!$A$2:$D$13,2,TRUE)</f>
        <v>botellín 200cc</v>
      </c>
      <c r="G693" s="4">
        <f>VLOOKUP(E693,Productos!$A$2:$D$13,3,TRUE)</f>
        <v>1.5</v>
      </c>
      <c r="H693" s="4">
        <f>VLOOKUP(E693,Productos!$A$2:$D$13,4,TRUE)</f>
        <v>3</v>
      </c>
      <c r="I693" s="4" t="s">
        <v>10</v>
      </c>
      <c r="J693" s="4">
        <v>164</v>
      </c>
      <c r="K693" s="7">
        <v>42252</v>
      </c>
    </row>
    <row r="694" spans="1:11" x14ac:dyDescent="0.25">
      <c r="A694" s="4">
        <v>23954</v>
      </c>
      <c r="B694" s="4" t="s">
        <v>876</v>
      </c>
      <c r="C694" s="4" t="s">
        <v>155</v>
      </c>
      <c r="D694" s="4" t="str">
        <f>VLOOKUP(C694,Países!$A$1:$B$186,2,TRUE)</f>
        <v>Middle East and North Africa</v>
      </c>
      <c r="E694" s="4" t="s">
        <v>26</v>
      </c>
      <c r="F694" s="4" t="str">
        <f>VLOOKUP(E694,Productos!$A$2:$D$13,2,TRUE)</f>
        <v>botellín 200cc</v>
      </c>
      <c r="G694" s="4">
        <f>VLOOKUP(E694,Productos!$A$2:$D$13,3,TRUE)</f>
        <v>1.5</v>
      </c>
      <c r="H694" s="4">
        <f>VLOOKUP(E694,Productos!$A$2:$D$13,4,TRUE)</f>
        <v>3</v>
      </c>
      <c r="I694" s="4" t="s">
        <v>10</v>
      </c>
      <c r="J694" s="4">
        <v>106</v>
      </c>
      <c r="K694" s="7">
        <v>42301</v>
      </c>
    </row>
    <row r="695" spans="1:11" x14ac:dyDescent="0.25">
      <c r="A695" s="4">
        <v>23955</v>
      </c>
      <c r="B695" s="4" t="s">
        <v>877</v>
      </c>
      <c r="C695" s="4" t="s">
        <v>756</v>
      </c>
      <c r="D695" s="4" t="str">
        <f>VLOOKUP(C695,Países!$A$1:$B$186,2,TRUE)</f>
        <v>Europe</v>
      </c>
      <c r="E695" s="4" t="s">
        <v>23</v>
      </c>
      <c r="F695" s="4" t="str">
        <f>VLOOKUP(E695,Productos!$A$2:$D$13,2,TRUE)</f>
        <v>botellín 400cc</v>
      </c>
      <c r="G695" s="4">
        <f>VLOOKUP(E695,Productos!$A$2:$D$13,3,TRUE)</f>
        <v>2.2999999999999998</v>
      </c>
      <c r="H695" s="4">
        <f>VLOOKUP(E695,Productos!$A$2:$D$13,4,TRUE)</f>
        <v>4.5</v>
      </c>
      <c r="I695" s="4" t="s">
        <v>10</v>
      </c>
      <c r="J695" s="4">
        <v>26</v>
      </c>
      <c r="K695" s="7">
        <v>42302</v>
      </c>
    </row>
    <row r="696" spans="1:11" x14ac:dyDescent="0.25">
      <c r="A696" s="4">
        <v>23956</v>
      </c>
      <c r="B696" s="4" t="s">
        <v>878</v>
      </c>
      <c r="C696" s="4" t="s">
        <v>152</v>
      </c>
      <c r="D696" s="4" t="str">
        <f>VLOOKUP(C696,Países!$A$1:$B$186,2,TRUE)</f>
        <v>Sub-Saharan Africa</v>
      </c>
      <c r="E696" s="4" t="s">
        <v>29</v>
      </c>
      <c r="F696" s="4" t="str">
        <f>VLOOKUP(E696,Productos!$A$2:$D$13,2,TRUE)</f>
        <v>botella 0.5l</v>
      </c>
      <c r="G696" s="4">
        <f>VLOOKUP(E696,Productos!$A$2:$D$13,3,TRUE)</f>
        <v>3</v>
      </c>
      <c r="H696" s="4">
        <f>VLOOKUP(E696,Productos!$A$2:$D$13,4,TRUE)</f>
        <v>6</v>
      </c>
      <c r="I696" s="4" t="s">
        <v>17</v>
      </c>
      <c r="J696" s="4">
        <v>183</v>
      </c>
      <c r="K696" s="7">
        <v>42313</v>
      </c>
    </row>
    <row r="697" spans="1:11" x14ac:dyDescent="0.25">
      <c r="A697" s="4">
        <v>23957</v>
      </c>
      <c r="B697" s="4" t="s">
        <v>879</v>
      </c>
      <c r="C697" s="4" t="s">
        <v>188</v>
      </c>
      <c r="D697" s="4" t="str">
        <f>VLOOKUP(C697,Países!$A$1:$B$186,2,TRUE)</f>
        <v>Australia and Oceania</v>
      </c>
      <c r="E697" s="4" t="s">
        <v>9</v>
      </c>
      <c r="F697" s="4" t="str">
        <f>VLOOKUP(E697,Productos!$A$2:$D$13,2,TRUE)</f>
        <v>garrafa 1l</v>
      </c>
      <c r="G697" s="4">
        <f>VLOOKUP(E697,Productos!$A$2:$D$13,3,TRUE)</f>
        <v>1</v>
      </c>
      <c r="H697" s="4">
        <f>VLOOKUP(E697,Productos!$A$2:$D$13,4,TRUE)</f>
        <v>2</v>
      </c>
      <c r="I697" s="4" t="s">
        <v>17</v>
      </c>
      <c r="J697" s="4">
        <v>81</v>
      </c>
      <c r="K697" s="7">
        <v>42302</v>
      </c>
    </row>
    <row r="698" spans="1:11" x14ac:dyDescent="0.25">
      <c r="A698" s="4">
        <v>23958</v>
      </c>
      <c r="B698" s="4" t="s">
        <v>880</v>
      </c>
      <c r="C698" s="4" t="s">
        <v>152</v>
      </c>
      <c r="D698" s="4" t="str">
        <f>VLOOKUP(C698,Países!$A$1:$B$186,2,TRUE)</f>
        <v>Sub-Saharan Africa</v>
      </c>
      <c r="E698" s="4" t="s">
        <v>16</v>
      </c>
      <c r="F698" s="4" t="str">
        <f>VLOOKUP(E698,Productos!$A$2:$D$13,2,TRUE)</f>
        <v>botella 5l</v>
      </c>
      <c r="G698" s="4">
        <f>VLOOKUP(E698,Productos!$A$2:$D$13,3,TRUE)</f>
        <v>6</v>
      </c>
      <c r="H698" s="4">
        <f>VLOOKUP(E698,Productos!$A$2:$D$13,4,TRUE)</f>
        <v>9</v>
      </c>
      <c r="I698" s="4" t="s">
        <v>10</v>
      </c>
      <c r="J698" s="4">
        <v>45</v>
      </c>
      <c r="K698" s="7">
        <v>42352</v>
      </c>
    </row>
    <row r="699" spans="1:11" x14ac:dyDescent="0.25">
      <c r="A699" s="4">
        <v>23959</v>
      </c>
      <c r="B699" s="4" t="s">
        <v>881</v>
      </c>
      <c r="C699" s="4" t="s">
        <v>48</v>
      </c>
      <c r="D699" s="4" t="str">
        <f>VLOOKUP(C699,Países!$A$1:$B$186,2,TRUE)</f>
        <v>Middle East and North Africa</v>
      </c>
      <c r="E699" s="4" t="s">
        <v>9</v>
      </c>
      <c r="F699" s="4" t="str">
        <f>VLOOKUP(E699,Productos!$A$2:$D$13,2,TRUE)</f>
        <v>garrafa 1l</v>
      </c>
      <c r="G699" s="4">
        <f>VLOOKUP(E699,Productos!$A$2:$D$13,3,TRUE)</f>
        <v>1</v>
      </c>
      <c r="H699" s="4">
        <f>VLOOKUP(E699,Productos!$A$2:$D$13,4,TRUE)</f>
        <v>2</v>
      </c>
      <c r="I699" s="4" t="s">
        <v>17</v>
      </c>
      <c r="J699" s="4">
        <v>148</v>
      </c>
      <c r="K699" s="7">
        <v>42341</v>
      </c>
    </row>
    <row r="700" spans="1:11" x14ac:dyDescent="0.25">
      <c r="A700" s="4">
        <v>23960</v>
      </c>
      <c r="B700" s="4" t="s">
        <v>882</v>
      </c>
      <c r="C700" s="4" t="s">
        <v>57</v>
      </c>
      <c r="D700" s="4" t="str">
        <f>VLOOKUP(C700,Países!$A$1:$B$186,2,TRUE)</f>
        <v>Sub-Saharan Africa</v>
      </c>
      <c r="E700" s="4" t="s">
        <v>20</v>
      </c>
      <c r="F700" s="4" t="str">
        <f>VLOOKUP(E700,Productos!$A$2:$D$13,2,TRUE)</f>
        <v>garrafa 4l</v>
      </c>
      <c r="G700" s="4">
        <f>VLOOKUP(E700,Productos!$A$2:$D$13,3,TRUE)</f>
        <v>5</v>
      </c>
      <c r="H700" s="4">
        <f>VLOOKUP(E700,Productos!$A$2:$D$13,4,TRUE)</f>
        <v>9.99</v>
      </c>
      <c r="I700" s="4" t="s">
        <v>10</v>
      </c>
      <c r="J700" s="4">
        <v>78</v>
      </c>
      <c r="K700" s="7">
        <v>42270</v>
      </c>
    </row>
    <row r="701" spans="1:11" x14ac:dyDescent="0.25">
      <c r="A701" s="4">
        <v>23961</v>
      </c>
      <c r="B701" s="4" t="s">
        <v>883</v>
      </c>
      <c r="C701" s="4" t="s">
        <v>357</v>
      </c>
      <c r="D701" s="4" t="str">
        <f>VLOOKUP(C701,Países!$A$1:$B$186,2,TRUE)</f>
        <v>Asia</v>
      </c>
      <c r="E701" s="4" t="s">
        <v>13</v>
      </c>
      <c r="F701" s="4" t="str">
        <f>VLOOKUP(E701,Productos!$A$2:$D$13,2,TRUE)</f>
        <v>botella 1l</v>
      </c>
      <c r="G701" s="4">
        <f>VLOOKUP(E701,Productos!$A$2:$D$13,3,TRUE)</f>
        <v>3.5</v>
      </c>
      <c r="H701" s="4">
        <f>VLOOKUP(E701,Productos!$A$2:$D$13,4,TRUE)</f>
        <v>6.5</v>
      </c>
      <c r="I701" s="4" t="s">
        <v>10</v>
      </c>
      <c r="J701" s="4">
        <v>133</v>
      </c>
      <c r="K701" s="7">
        <v>42347</v>
      </c>
    </row>
    <row r="702" spans="1:11" x14ac:dyDescent="0.25">
      <c r="A702" s="4">
        <v>23962</v>
      </c>
      <c r="B702" s="4" t="s">
        <v>884</v>
      </c>
      <c r="C702" s="4" t="s">
        <v>190</v>
      </c>
      <c r="D702" s="4" t="str">
        <f>VLOOKUP(C702,Países!$A$1:$B$186,2,TRUE)</f>
        <v>Sub-Saharan Africa</v>
      </c>
      <c r="E702" s="4" t="s">
        <v>46</v>
      </c>
      <c r="F702" s="4" t="str">
        <f>VLOOKUP(E702,Productos!$A$2:$D$13,2,TRUE)</f>
        <v>botellín 500cc</v>
      </c>
      <c r="G702" s="4">
        <f>VLOOKUP(E702,Productos!$A$2:$D$13,3,TRUE)</f>
        <v>3.5</v>
      </c>
      <c r="H702" s="4">
        <f>VLOOKUP(E702,Productos!$A$2:$D$13,4,TRUE)</f>
        <v>6.5</v>
      </c>
      <c r="I702" s="4" t="s">
        <v>17</v>
      </c>
      <c r="J702" s="4">
        <v>17</v>
      </c>
      <c r="K702" s="7">
        <v>42274</v>
      </c>
    </row>
    <row r="703" spans="1:11" x14ac:dyDescent="0.25">
      <c r="A703" s="4">
        <v>23963</v>
      </c>
      <c r="B703" s="4" t="s">
        <v>885</v>
      </c>
      <c r="C703" s="4" t="s">
        <v>422</v>
      </c>
      <c r="D703" s="4" t="str">
        <f>VLOOKUP(C703,Países!$A$1:$B$186,2,TRUE)</f>
        <v>Asia</v>
      </c>
      <c r="E703" s="4" t="s">
        <v>46</v>
      </c>
      <c r="F703" s="4" t="str">
        <f>VLOOKUP(E703,Productos!$A$2:$D$13,2,TRUE)</f>
        <v>botellín 500cc</v>
      </c>
      <c r="G703" s="4">
        <f>VLOOKUP(E703,Productos!$A$2:$D$13,3,TRUE)</f>
        <v>3.5</v>
      </c>
      <c r="H703" s="4">
        <f>VLOOKUP(E703,Productos!$A$2:$D$13,4,TRUE)</f>
        <v>6.5</v>
      </c>
      <c r="I703" s="4" t="s">
        <v>10</v>
      </c>
      <c r="J703" s="4">
        <v>145</v>
      </c>
      <c r="K703" s="7">
        <v>42366</v>
      </c>
    </row>
    <row r="704" spans="1:11" x14ac:dyDescent="0.25">
      <c r="A704" s="4">
        <v>23964</v>
      </c>
      <c r="B704" s="4" t="s">
        <v>886</v>
      </c>
      <c r="C704" s="4" t="s">
        <v>119</v>
      </c>
      <c r="D704" s="4" t="str">
        <f>VLOOKUP(C704,Países!$A$1:$B$186,2,TRUE)</f>
        <v>Sub-Saharan Africa</v>
      </c>
      <c r="E704" s="4" t="s">
        <v>26</v>
      </c>
      <c r="F704" s="4" t="str">
        <f>VLOOKUP(E704,Productos!$A$2:$D$13,2,TRUE)</f>
        <v>botellín 200cc</v>
      </c>
      <c r="G704" s="4">
        <f>VLOOKUP(E704,Productos!$A$2:$D$13,3,TRUE)</f>
        <v>1.5</v>
      </c>
      <c r="H704" s="4">
        <f>VLOOKUP(E704,Productos!$A$2:$D$13,4,TRUE)</f>
        <v>3</v>
      </c>
      <c r="I704" s="4" t="s">
        <v>59</v>
      </c>
      <c r="J704" s="4">
        <v>141</v>
      </c>
      <c r="K704" s="7">
        <v>42299</v>
      </c>
    </row>
    <row r="705" spans="1:11" x14ac:dyDescent="0.25">
      <c r="A705" s="4">
        <v>23965</v>
      </c>
      <c r="B705" s="4" t="s">
        <v>887</v>
      </c>
      <c r="C705" s="4" t="s">
        <v>136</v>
      </c>
      <c r="D705" s="4" t="str">
        <f>VLOOKUP(C705,Países!$A$1:$B$186,2,TRUE)</f>
        <v>Asia</v>
      </c>
      <c r="E705" s="4" t="s">
        <v>13</v>
      </c>
      <c r="F705" s="4" t="str">
        <f>VLOOKUP(E705,Productos!$A$2:$D$13,2,TRUE)</f>
        <v>botella 1l</v>
      </c>
      <c r="G705" s="4">
        <f>VLOOKUP(E705,Productos!$A$2:$D$13,3,TRUE)</f>
        <v>3.5</v>
      </c>
      <c r="H705" s="4">
        <f>VLOOKUP(E705,Productos!$A$2:$D$13,4,TRUE)</f>
        <v>6.5</v>
      </c>
      <c r="I705" s="4" t="s">
        <v>10</v>
      </c>
      <c r="J705" s="4">
        <v>44</v>
      </c>
      <c r="K705" s="7">
        <v>42283</v>
      </c>
    </row>
    <row r="706" spans="1:11" x14ac:dyDescent="0.25">
      <c r="A706" s="4">
        <v>23966</v>
      </c>
      <c r="B706" s="4" t="s">
        <v>888</v>
      </c>
      <c r="C706" s="4" t="s">
        <v>397</v>
      </c>
      <c r="D706" s="4" t="str">
        <f>VLOOKUP(C706,Países!$A$1:$B$186,2,TRUE)</f>
        <v>Sub-Saharan Africa</v>
      </c>
      <c r="E706" s="4" t="s">
        <v>34</v>
      </c>
      <c r="F706" s="4" t="str">
        <f>VLOOKUP(E706,Productos!$A$2:$D$13,2,TRUE)</f>
        <v>garrafa 3l</v>
      </c>
      <c r="G706" s="4">
        <f>VLOOKUP(E706,Productos!$A$2:$D$13,3,TRUE)</f>
        <v>3.5</v>
      </c>
      <c r="H706" s="4">
        <f>VLOOKUP(E706,Productos!$A$2:$D$13,4,TRUE)</f>
        <v>6.99</v>
      </c>
      <c r="I706" s="4" t="s">
        <v>10</v>
      </c>
      <c r="J706" s="4">
        <v>167</v>
      </c>
      <c r="K706" s="7">
        <v>42315</v>
      </c>
    </row>
    <row r="707" spans="1:11" x14ac:dyDescent="0.25">
      <c r="A707" s="4">
        <v>23967</v>
      </c>
      <c r="B707" s="4" t="s">
        <v>889</v>
      </c>
      <c r="C707" s="4" t="s">
        <v>106</v>
      </c>
      <c r="D707" s="4" t="str">
        <f>VLOOKUP(C707,Países!$A$1:$B$186,2,TRUE)</f>
        <v>Central America and the Caribbean</v>
      </c>
      <c r="E707" s="4" t="s">
        <v>20</v>
      </c>
      <c r="F707" s="4" t="str">
        <f>VLOOKUP(E707,Productos!$A$2:$D$13,2,TRUE)</f>
        <v>garrafa 4l</v>
      </c>
      <c r="G707" s="4">
        <f>VLOOKUP(E707,Productos!$A$2:$D$13,3,TRUE)</f>
        <v>5</v>
      </c>
      <c r="H707" s="4">
        <f>VLOOKUP(E707,Productos!$A$2:$D$13,4,TRUE)</f>
        <v>9.99</v>
      </c>
      <c r="I707" s="4" t="s">
        <v>10</v>
      </c>
      <c r="J707" s="4">
        <v>143</v>
      </c>
      <c r="K707" s="7">
        <v>42263</v>
      </c>
    </row>
    <row r="708" spans="1:11" x14ac:dyDescent="0.25">
      <c r="A708" s="4">
        <v>23968</v>
      </c>
      <c r="B708" s="4" t="s">
        <v>890</v>
      </c>
      <c r="C708" s="4" t="s">
        <v>228</v>
      </c>
      <c r="D708" s="4" t="str">
        <f>VLOOKUP(C708,Países!$A$1:$B$186,2,TRUE)</f>
        <v>Europe</v>
      </c>
      <c r="E708" s="4" t="s">
        <v>29</v>
      </c>
      <c r="F708" s="4" t="str">
        <f>VLOOKUP(E708,Productos!$A$2:$D$13,2,TRUE)</f>
        <v>botella 0.5l</v>
      </c>
      <c r="G708" s="4">
        <f>VLOOKUP(E708,Productos!$A$2:$D$13,3,TRUE)</f>
        <v>3</v>
      </c>
      <c r="H708" s="4">
        <f>VLOOKUP(E708,Productos!$A$2:$D$13,4,TRUE)</f>
        <v>6</v>
      </c>
      <c r="I708" s="4" t="s">
        <v>59</v>
      </c>
      <c r="J708" s="4">
        <v>208</v>
      </c>
      <c r="K708" s="7">
        <v>42269</v>
      </c>
    </row>
    <row r="709" spans="1:11" x14ac:dyDescent="0.25">
      <c r="A709" s="4">
        <v>23969</v>
      </c>
      <c r="B709" s="4" t="s">
        <v>891</v>
      </c>
      <c r="C709" s="4" t="s">
        <v>892</v>
      </c>
      <c r="D709" s="4" t="str">
        <f>VLOOKUP(C709,Países!$A$1:$B$186,2,TRUE)</f>
        <v>Central America and the Caribbean</v>
      </c>
      <c r="E709" s="4" t="s">
        <v>26</v>
      </c>
      <c r="F709" s="4" t="str">
        <f>VLOOKUP(E709,Productos!$A$2:$D$13,2,TRUE)</f>
        <v>botellín 200cc</v>
      </c>
      <c r="G709" s="4">
        <f>VLOOKUP(E709,Productos!$A$2:$D$13,3,TRUE)</f>
        <v>1.5</v>
      </c>
      <c r="H709" s="4">
        <f>VLOOKUP(E709,Productos!$A$2:$D$13,4,TRUE)</f>
        <v>3</v>
      </c>
      <c r="I709" s="4" t="s">
        <v>10</v>
      </c>
      <c r="J709" s="4">
        <v>124</v>
      </c>
      <c r="K709" s="7">
        <v>42342</v>
      </c>
    </row>
    <row r="710" spans="1:11" x14ac:dyDescent="0.25">
      <c r="A710" s="4">
        <v>23970</v>
      </c>
      <c r="B710" s="4" t="s">
        <v>893</v>
      </c>
      <c r="C710" s="4" t="s">
        <v>263</v>
      </c>
      <c r="D710" s="4" t="str">
        <f>VLOOKUP(C710,Países!$A$1:$B$186,2,TRUE)</f>
        <v>Central America and the Caribbean</v>
      </c>
      <c r="E710" s="4" t="s">
        <v>26</v>
      </c>
      <c r="F710" s="4" t="str">
        <f>VLOOKUP(E710,Productos!$A$2:$D$13,2,TRUE)</f>
        <v>botellín 200cc</v>
      </c>
      <c r="G710" s="4">
        <f>VLOOKUP(E710,Productos!$A$2:$D$13,3,TRUE)</f>
        <v>1.5</v>
      </c>
      <c r="H710" s="4">
        <f>VLOOKUP(E710,Productos!$A$2:$D$13,4,TRUE)</f>
        <v>3</v>
      </c>
      <c r="I710" s="4" t="s">
        <v>17</v>
      </c>
      <c r="J710" s="4">
        <v>148</v>
      </c>
      <c r="K710" s="7">
        <v>42333</v>
      </c>
    </row>
    <row r="711" spans="1:11" x14ac:dyDescent="0.25">
      <c r="A711" s="4">
        <v>23971</v>
      </c>
      <c r="B711" s="4" t="s">
        <v>894</v>
      </c>
      <c r="C711" s="4" t="s">
        <v>125</v>
      </c>
      <c r="D711" s="4" t="str">
        <f>VLOOKUP(C711,Países!$A$1:$B$186,2,TRUE)</f>
        <v>Sub-Saharan Africa</v>
      </c>
      <c r="E711" s="4" t="s">
        <v>23</v>
      </c>
      <c r="F711" s="4" t="str">
        <f>VLOOKUP(E711,Productos!$A$2:$D$13,2,TRUE)</f>
        <v>botellín 400cc</v>
      </c>
      <c r="G711" s="4">
        <f>VLOOKUP(E711,Productos!$A$2:$D$13,3,TRUE)</f>
        <v>2.2999999999999998</v>
      </c>
      <c r="H711" s="4">
        <f>VLOOKUP(E711,Productos!$A$2:$D$13,4,TRUE)</f>
        <v>4.5</v>
      </c>
      <c r="I711" s="4" t="s">
        <v>59</v>
      </c>
      <c r="J711" s="4">
        <v>114</v>
      </c>
      <c r="K711" s="7">
        <v>42329</v>
      </c>
    </row>
    <row r="712" spans="1:11" x14ac:dyDescent="0.25">
      <c r="A712" s="4">
        <v>23972</v>
      </c>
      <c r="B712" s="4" t="s">
        <v>895</v>
      </c>
      <c r="C712" s="4" t="s">
        <v>63</v>
      </c>
      <c r="D712" s="4" t="str">
        <f>VLOOKUP(C712,Países!$A$1:$B$186,2,TRUE)</f>
        <v>Australia and Oceania</v>
      </c>
      <c r="E712" s="4" t="s">
        <v>58</v>
      </c>
      <c r="F712" s="4" t="str">
        <f>VLOOKUP(E712,Productos!$A$2:$D$13,2,TRUE)</f>
        <v>garrafa 2l</v>
      </c>
      <c r="G712" s="4">
        <f>VLOOKUP(E712,Productos!$A$2:$D$13,3,TRUE)</f>
        <v>2.5</v>
      </c>
      <c r="H712" s="4">
        <f>VLOOKUP(E712,Productos!$A$2:$D$13,4,TRUE)</f>
        <v>4.5</v>
      </c>
      <c r="I712" s="4" t="s">
        <v>10</v>
      </c>
      <c r="J712" s="4">
        <v>192</v>
      </c>
      <c r="K712" s="7">
        <v>42248</v>
      </c>
    </row>
    <row r="713" spans="1:11" x14ac:dyDescent="0.25">
      <c r="A713" s="4">
        <v>23973</v>
      </c>
      <c r="B713" s="4" t="s">
        <v>896</v>
      </c>
      <c r="C713" s="4" t="s">
        <v>133</v>
      </c>
      <c r="D713" s="4" t="str">
        <f>VLOOKUP(C713,Países!$A$1:$B$186,2,TRUE)</f>
        <v>Middle East and North Africa</v>
      </c>
      <c r="E713" s="4" t="s">
        <v>26</v>
      </c>
      <c r="F713" s="4" t="str">
        <f>VLOOKUP(E713,Productos!$A$2:$D$13,2,TRUE)</f>
        <v>botellín 200cc</v>
      </c>
      <c r="G713" s="4">
        <f>VLOOKUP(E713,Productos!$A$2:$D$13,3,TRUE)</f>
        <v>1.5</v>
      </c>
      <c r="H713" s="4">
        <f>VLOOKUP(E713,Productos!$A$2:$D$13,4,TRUE)</f>
        <v>3</v>
      </c>
      <c r="I713" s="4" t="s">
        <v>17</v>
      </c>
      <c r="J713" s="4">
        <v>142</v>
      </c>
      <c r="K713" s="7">
        <v>42339</v>
      </c>
    </row>
    <row r="714" spans="1:11" x14ac:dyDescent="0.25">
      <c r="A714" s="4">
        <v>23974</v>
      </c>
      <c r="B714" s="4" t="s">
        <v>897</v>
      </c>
      <c r="C714" s="4" t="s">
        <v>110</v>
      </c>
      <c r="D714" s="4" t="str">
        <f>VLOOKUP(C714,Países!$A$1:$B$186,2,TRUE)</f>
        <v>Sub-Saharan Africa</v>
      </c>
      <c r="E714" s="4" t="s">
        <v>58</v>
      </c>
      <c r="F714" s="4" t="str">
        <f>VLOOKUP(E714,Productos!$A$2:$D$13,2,TRUE)</f>
        <v>garrafa 2l</v>
      </c>
      <c r="G714" s="4">
        <f>VLOOKUP(E714,Productos!$A$2:$D$13,3,TRUE)</f>
        <v>2.5</v>
      </c>
      <c r="H714" s="4">
        <f>VLOOKUP(E714,Productos!$A$2:$D$13,4,TRUE)</f>
        <v>4.5</v>
      </c>
      <c r="I714" s="4" t="s">
        <v>17</v>
      </c>
      <c r="J714" s="4">
        <v>156</v>
      </c>
      <c r="K714" s="7">
        <v>42355</v>
      </c>
    </row>
    <row r="715" spans="1:11" x14ac:dyDescent="0.25">
      <c r="A715" s="4">
        <v>23975</v>
      </c>
      <c r="B715" s="4" t="s">
        <v>898</v>
      </c>
      <c r="C715" s="4" t="s">
        <v>164</v>
      </c>
      <c r="D715" s="4" t="str">
        <f>VLOOKUP(C715,Países!$A$1:$B$186,2,TRUE)</f>
        <v>Europe</v>
      </c>
      <c r="E715" s="4" t="s">
        <v>29</v>
      </c>
      <c r="F715" s="4" t="str">
        <f>VLOOKUP(E715,Productos!$A$2:$D$13,2,TRUE)</f>
        <v>botella 0.5l</v>
      </c>
      <c r="G715" s="4">
        <f>VLOOKUP(E715,Productos!$A$2:$D$13,3,TRUE)</f>
        <v>3</v>
      </c>
      <c r="H715" s="4">
        <f>VLOOKUP(E715,Productos!$A$2:$D$13,4,TRUE)</f>
        <v>6</v>
      </c>
      <c r="I715" s="4" t="s">
        <v>59</v>
      </c>
      <c r="J715" s="4">
        <v>123</v>
      </c>
      <c r="K715" s="7">
        <v>42326</v>
      </c>
    </row>
    <row r="716" spans="1:11" x14ac:dyDescent="0.25">
      <c r="A716" s="4">
        <v>23976</v>
      </c>
      <c r="B716" s="4" t="s">
        <v>899</v>
      </c>
      <c r="C716" s="4" t="s">
        <v>131</v>
      </c>
      <c r="D716" s="4" t="str">
        <f>VLOOKUP(C716,Países!$A$1:$B$186,2,TRUE)</f>
        <v>Asia</v>
      </c>
      <c r="E716" s="4" t="s">
        <v>9</v>
      </c>
      <c r="F716" s="4" t="str">
        <f>VLOOKUP(E716,Productos!$A$2:$D$13,2,TRUE)</f>
        <v>garrafa 1l</v>
      </c>
      <c r="G716" s="4">
        <f>VLOOKUP(E716,Productos!$A$2:$D$13,3,TRUE)</f>
        <v>1</v>
      </c>
      <c r="H716" s="4">
        <f>VLOOKUP(E716,Productos!$A$2:$D$13,4,TRUE)</f>
        <v>2</v>
      </c>
      <c r="I716" s="4" t="s">
        <v>10</v>
      </c>
      <c r="J716" s="4">
        <v>70</v>
      </c>
      <c r="K716" s="7">
        <v>42366</v>
      </c>
    </row>
    <row r="717" spans="1:11" x14ac:dyDescent="0.25">
      <c r="A717" s="4">
        <v>23977</v>
      </c>
      <c r="B717" s="4" t="s">
        <v>900</v>
      </c>
      <c r="C717" s="4" t="s">
        <v>274</v>
      </c>
      <c r="D717" s="4" t="str">
        <f>VLOOKUP(C717,Países!$A$1:$B$186,2,TRUE)</f>
        <v>Sub-Saharan Africa</v>
      </c>
      <c r="E717" s="4" t="s">
        <v>26</v>
      </c>
      <c r="F717" s="4" t="str">
        <f>VLOOKUP(E717,Productos!$A$2:$D$13,2,TRUE)</f>
        <v>botellín 200cc</v>
      </c>
      <c r="G717" s="4">
        <f>VLOOKUP(E717,Productos!$A$2:$D$13,3,TRUE)</f>
        <v>1.5</v>
      </c>
      <c r="H717" s="4">
        <f>VLOOKUP(E717,Productos!$A$2:$D$13,4,TRUE)</f>
        <v>3</v>
      </c>
      <c r="I717" s="4" t="s">
        <v>10</v>
      </c>
      <c r="J717" s="4">
        <v>161</v>
      </c>
      <c r="K717" s="7">
        <v>42316</v>
      </c>
    </row>
    <row r="718" spans="1:11" x14ac:dyDescent="0.25">
      <c r="A718" s="4">
        <v>23978</v>
      </c>
      <c r="B718" s="4" t="s">
        <v>901</v>
      </c>
      <c r="C718" s="4" t="s">
        <v>380</v>
      </c>
      <c r="D718" s="4" t="str">
        <f>VLOOKUP(C718,Países!$A$1:$B$186,2,TRUE)</f>
        <v>Asia</v>
      </c>
      <c r="E718" s="4" t="s">
        <v>16</v>
      </c>
      <c r="F718" s="4" t="str">
        <f>VLOOKUP(E718,Productos!$A$2:$D$13,2,TRUE)</f>
        <v>botella 5l</v>
      </c>
      <c r="G718" s="4">
        <f>VLOOKUP(E718,Productos!$A$2:$D$13,3,TRUE)</f>
        <v>6</v>
      </c>
      <c r="H718" s="4">
        <f>VLOOKUP(E718,Productos!$A$2:$D$13,4,TRUE)</f>
        <v>9</v>
      </c>
      <c r="I718" s="4" t="s">
        <v>10</v>
      </c>
      <c r="J718" s="4">
        <v>16</v>
      </c>
      <c r="K718" s="7">
        <v>42356</v>
      </c>
    </row>
    <row r="719" spans="1:11" x14ac:dyDescent="0.25">
      <c r="A719" s="4">
        <v>23979</v>
      </c>
      <c r="B719" s="4" t="s">
        <v>902</v>
      </c>
      <c r="C719" s="4" t="s">
        <v>83</v>
      </c>
      <c r="D719" s="4" t="str">
        <f>VLOOKUP(C719,Países!$A$1:$B$186,2,TRUE)</f>
        <v>Sub-Saharan Africa</v>
      </c>
      <c r="E719" s="4" t="s">
        <v>23</v>
      </c>
      <c r="F719" s="4" t="str">
        <f>VLOOKUP(E719,Productos!$A$2:$D$13,2,TRUE)</f>
        <v>botellín 400cc</v>
      </c>
      <c r="G719" s="4">
        <f>VLOOKUP(E719,Productos!$A$2:$D$13,3,TRUE)</f>
        <v>2.2999999999999998</v>
      </c>
      <c r="H719" s="4">
        <f>VLOOKUP(E719,Productos!$A$2:$D$13,4,TRUE)</f>
        <v>4.5</v>
      </c>
      <c r="I719" s="4" t="s">
        <v>10</v>
      </c>
      <c r="J719" s="4">
        <v>163</v>
      </c>
      <c r="K719" s="7">
        <v>42323</v>
      </c>
    </row>
    <row r="720" spans="1:11" x14ac:dyDescent="0.25">
      <c r="A720" s="4">
        <v>23980</v>
      </c>
      <c r="B720" s="4" t="s">
        <v>903</v>
      </c>
      <c r="C720" s="4" t="s">
        <v>453</v>
      </c>
      <c r="D720" s="4" t="str">
        <f>VLOOKUP(C720,Países!$A$1:$B$186,2,TRUE)</f>
        <v>Europe</v>
      </c>
      <c r="E720" s="4" t="s">
        <v>9</v>
      </c>
      <c r="F720" s="4" t="str">
        <f>VLOOKUP(E720,Productos!$A$2:$D$13,2,TRUE)</f>
        <v>garrafa 1l</v>
      </c>
      <c r="G720" s="4">
        <f>VLOOKUP(E720,Productos!$A$2:$D$13,3,TRUE)</f>
        <v>1</v>
      </c>
      <c r="H720" s="4">
        <f>VLOOKUP(E720,Productos!$A$2:$D$13,4,TRUE)</f>
        <v>2</v>
      </c>
      <c r="I720" s="4" t="s">
        <v>10</v>
      </c>
      <c r="J720" s="4">
        <v>52</v>
      </c>
      <c r="K720" s="7">
        <v>42315</v>
      </c>
    </row>
    <row r="721" spans="1:11" x14ac:dyDescent="0.25">
      <c r="A721" s="4">
        <v>23981</v>
      </c>
      <c r="B721" s="4" t="s">
        <v>904</v>
      </c>
      <c r="C721" s="4" t="s">
        <v>472</v>
      </c>
      <c r="D721" s="4" t="str">
        <f>VLOOKUP(C721,Países!$A$1:$B$186,2,TRUE)</f>
        <v>Sub-Saharan Africa</v>
      </c>
      <c r="E721" s="4" t="s">
        <v>20</v>
      </c>
      <c r="F721" s="4" t="str">
        <f>VLOOKUP(E721,Productos!$A$2:$D$13,2,TRUE)</f>
        <v>garrafa 4l</v>
      </c>
      <c r="G721" s="4">
        <f>VLOOKUP(E721,Productos!$A$2:$D$13,3,TRUE)</f>
        <v>5</v>
      </c>
      <c r="H721" s="4">
        <f>VLOOKUP(E721,Productos!$A$2:$D$13,4,TRUE)</f>
        <v>9.99</v>
      </c>
      <c r="I721" s="4" t="s">
        <v>17</v>
      </c>
      <c r="J721" s="4">
        <v>39</v>
      </c>
      <c r="K721" s="7">
        <v>42346</v>
      </c>
    </row>
    <row r="722" spans="1:11" x14ac:dyDescent="0.25">
      <c r="A722" s="4">
        <v>23982</v>
      </c>
      <c r="B722" s="4" t="s">
        <v>561</v>
      </c>
      <c r="C722" s="4" t="s">
        <v>538</v>
      </c>
      <c r="D722" s="4" t="str">
        <f>VLOOKUP(C722,Países!$A$1:$B$186,2,TRUE)</f>
        <v>Australia and Oceania</v>
      </c>
      <c r="E722" s="4" t="s">
        <v>51</v>
      </c>
      <c r="F722" s="4" t="str">
        <f>VLOOKUP(E722,Productos!$A$2:$D$13,2,TRUE)</f>
        <v>garrafa 8l</v>
      </c>
      <c r="G722" s="4">
        <f>VLOOKUP(E722,Productos!$A$2:$D$13,3,TRUE)</f>
        <v>8</v>
      </c>
      <c r="H722" s="4">
        <f>VLOOKUP(E722,Productos!$A$2:$D$13,4,TRUE)</f>
        <v>14.5</v>
      </c>
      <c r="I722" s="4" t="s">
        <v>17</v>
      </c>
      <c r="J722" s="4">
        <v>67</v>
      </c>
      <c r="K722" s="7">
        <v>42277</v>
      </c>
    </row>
    <row r="723" spans="1:11" x14ac:dyDescent="0.25">
      <c r="A723" s="4">
        <v>23983</v>
      </c>
      <c r="B723" s="4" t="s">
        <v>905</v>
      </c>
      <c r="C723" s="4" t="s">
        <v>100</v>
      </c>
      <c r="D723" s="4" t="str">
        <f>VLOOKUP(C723,Países!$A$1:$B$186,2,TRUE)</f>
        <v>Asia</v>
      </c>
      <c r="E723" s="4" t="s">
        <v>13</v>
      </c>
      <c r="F723" s="4" t="str">
        <f>VLOOKUP(E723,Productos!$A$2:$D$13,2,TRUE)</f>
        <v>botella 1l</v>
      </c>
      <c r="G723" s="4">
        <f>VLOOKUP(E723,Productos!$A$2:$D$13,3,TRUE)</f>
        <v>3.5</v>
      </c>
      <c r="H723" s="4">
        <f>VLOOKUP(E723,Productos!$A$2:$D$13,4,TRUE)</f>
        <v>6.5</v>
      </c>
      <c r="I723" s="4" t="s">
        <v>10</v>
      </c>
      <c r="J723" s="4">
        <v>30</v>
      </c>
      <c r="K723" s="7">
        <v>42281</v>
      </c>
    </row>
    <row r="724" spans="1:11" x14ac:dyDescent="0.25">
      <c r="A724" s="4">
        <v>23984</v>
      </c>
      <c r="B724" s="4" t="s">
        <v>906</v>
      </c>
      <c r="C724" s="4" t="s">
        <v>422</v>
      </c>
      <c r="D724" s="4" t="str">
        <f>VLOOKUP(C724,Países!$A$1:$B$186,2,TRUE)</f>
        <v>Asia</v>
      </c>
      <c r="E724" s="4" t="s">
        <v>34</v>
      </c>
      <c r="F724" s="4" t="str">
        <f>VLOOKUP(E724,Productos!$A$2:$D$13,2,TRUE)</f>
        <v>garrafa 3l</v>
      </c>
      <c r="G724" s="4">
        <f>VLOOKUP(E724,Productos!$A$2:$D$13,3,TRUE)</f>
        <v>3.5</v>
      </c>
      <c r="H724" s="4">
        <f>VLOOKUP(E724,Productos!$A$2:$D$13,4,TRUE)</f>
        <v>6.99</v>
      </c>
      <c r="I724" s="4" t="s">
        <v>10</v>
      </c>
      <c r="J724" s="4">
        <v>32</v>
      </c>
      <c r="K724" s="7">
        <v>42361</v>
      </c>
    </row>
    <row r="725" spans="1:11" x14ac:dyDescent="0.25">
      <c r="A725" s="4">
        <v>23985</v>
      </c>
      <c r="B725" s="4" t="s">
        <v>907</v>
      </c>
      <c r="C725" s="4" t="s">
        <v>606</v>
      </c>
      <c r="D725" s="4" t="str">
        <f>VLOOKUP(C725,Países!$A$1:$B$186,2,TRUE)</f>
        <v>Australia and Oceania</v>
      </c>
      <c r="E725" s="4" t="s">
        <v>51</v>
      </c>
      <c r="F725" s="4" t="str">
        <f>VLOOKUP(E725,Productos!$A$2:$D$13,2,TRUE)</f>
        <v>garrafa 8l</v>
      </c>
      <c r="G725" s="4">
        <f>VLOOKUP(E725,Productos!$A$2:$D$13,3,TRUE)</f>
        <v>8</v>
      </c>
      <c r="H725" s="4">
        <f>VLOOKUP(E725,Productos!$A$2:$D$13,4,TRUE)</f>
        <v>14.5</v>
      </c>
      <c r="I725" s="4" t="s">
        <v>17</v>
      </c>
      <c r="J725" s="4">
        <v>48</v>
      </c>
      <c r="K725" s="7">
        <v>42310</v>
      </c>
    </row>
    <row r="726" spans="1:11" x14ac:dyDescent="0.25">
      <c r="A726" s="4">
        <v>23986</v>
      </c>
      <c r="B726" s="4" t="s">
        <v>908</v>
      </c>
      <c r="C726" s="4" t="s">
        <v>196</v>
      </c>
      <c r="D726" s="4" t="str">
        <f>VLOOKUP(C726,Países!$A$1:$B$186,2,TRUE)</f>
        <v>Europe</v>
      </c>
      <c r="E726" s="4" t="s">
        <v>26</v>
      </c>
      <c r="F726" s="4" t="str">
        <f>VLOOKUP(E726,Productos!$A$2:$D$13,2,TRUE)</f>
        <v>botellín 200cc</v>
      </c>
      <c r="G726" s="4">
        <f>VLOOKUP(E726,Productos!$A$2:$D$13,3,TRUE)</f>
        <v>1.5</v>
      </c>
      <c r="H726" s="4">
        <f>VLOOKUP(E726,Productos!$A$2:$D$13,4,TRUE)</f>
        <v>3</v>
      </c>
      <c r="I726" s="4" t="s">
        <v>17</v>
      </c>
      <c r="J726" s="4">
        <v>61</v>
      </c>
      <c r="K726" s="7">
        <v>42331</v>
      </c>
    </row>
    <row r="727" spans="1:11" x14ac:dyDescent="0.25">
      <c r="A727" s="4">
        <v>23987</v>
      </c>
      <c r="B727" s="4" t="s">
        <v>909</v>
      </c>
      <c r="C727" s="4" t="s">
        <v>288</v>
      </c>
      <c r="D727" s="4" t="str">
        <f>VLOOKUP(C727,Países!$A$1:$B$186,2,TRUE)</f>
        <v>Europe</v>
      </c>
      <c r="E727" s="4" t="s">
        <v>9</v>
      </c>
      <c r="F727" s="4" t="str">
        <f>VLOOKUP(E727,Productos!$A$2:$D$13,2,TRUE)</f>
        <v>garrafa 1l</v>
      </c>
      <c r="G727" s="4">
        <f>VLOOKUP(E727,Productos!$A$2:$D$13,3,TRUE)</f>
        <v>1</v>
      </c>
      <c r="H727" s="4">
        <f>VLOOKUP(E727,Productos!$A$2:$D$13,4,TRUE)</f>
        <v>2</v>
      </c>
      <c r="I727" s="4" t="s">
        <v>10</v>
      </c>
      <c r="J727" s="4">
        <v>35</v>
      </c>
      <c r="K727" s="7">
        <v>42281</v>
      </c>
    </row>
    <row r="728" spans="1:11" x14ac:dyDescent="0.25">
      <c r="A728" s="4">
        <v>23988</v>
      </c>
      <c r="B728" s="4" t="s">
        <v>910</v>
      </c>
      <c r="C728" s="4" t="s">
        <v>255</v>
      </c>
      <c r="D728" s="4" t="str">
        <f>VLOOKUP(C728,Países!$A$1:$B$186,2,TRUE)</f>
        <v>Australia and Oceania</v>
      </c>
      <c r="E728" s="4" t="s">
        <v>20</v>
      </c>
      <c r="F728" s="4" t="str">
        <f>VLOOKUP(E728,Productos!$A$2:$D$13,2,TRUE)</f>
        <v>garrafa 4l</v>
      </c>
      <c r="G728" s="4">
        <f>VLOOKUP(E728,Productos!$A$2:$D$13,3,TRUE)</f>
        <v>5</v>
      </c>
      <c r="H728" s="4">
        <f>VLOOKUP(E728,Productos!$A$2:$D$13,4,TRUE)</f>
        <v>9.99</v>
      </c>
      <c r="I728" s="4" t="s">
        <v>59</v>
      </c>
      <c r="J728" s="4">
        <v>81</v>
      </c>
      <c r="K728" s="7">
        <v>42250</v>
      </c>
    </row>
    <row r="729" spans="1:11" x14ac:dyDescent="0.25">
      <c r="A729" s="4">
        <v>23989</v>
      </c>
      <c r="B729" s="4" t="s">
        <v>911</v>
      </c>
      <c r="C729" s="4" t="s">
        <v>274</v>
      </c>
      <c r="D729" s="4" t="str">
        <f>VLOOKUP(C729,Países!$A$1:$B$186,2,TRUE)</f>
        <v>Sub-Saharan Africa</v>
      </c>
      <c r="E729" s="4" t="s">
        <v>16</v>
      </c>
      <c r="F729" s="4" t="str">
        <f>VLOOKUP(E729,Productos!$A$2:$D$13,2,TRUE)</f>
        <v>botella 5l</v>
      </c>
      <c r="G729" s="4">
        <f>VLOOKUP(E729,Productos!$A$2:$D$13,3,TRUE)</f>
        <v>6</v>
      </c>
      <c r="H729" s="4">
        <f>VLOOKUP(E729,Productos!$A$2:$D$13,4,TRUE)</f>
        <v>9</v>
      </c>
      <c r="I729" s="4" t="s">
        <v>10</v>
      </c>
      <c r="J729" s="4">
        <v>58</v>
      </c>
      <c r="K729" s="7">
        <v>42249</v>
      </c>
    </row>
    <row r="730" spans="1:11" x14ac:dyDescent="0.25">
      <c r="A730" s="4">
        <v>23990</v>
      </c>
      <c r="B730" s="4" t="s">
        <v>912</v>
      </c>
      <c r="C730" s="4" t="s">
        <v>442</v>
      </c>
      <c r="D730" s="4" t="str">
        <f>VLOOKUP(C730,Países!$A$1:$B$186,2,TRUE)</f>
        <v>Asia</v>
      </c>
      <c r="E730" s="4" t="s">
        <v>29</v>
      </c>
      <c r="F730" s="4" t="str">
        <f>VLOOKUP(E730,Productos!$A$2:$D$13,2,TRUE)</f>
        <v>botella 0.5l</v>
      </c>
      <c r="G730" s="4">
        <f>VLOOKUP(E730,Productos!$A$2:$D$13,3,TRUE)</f>
        <v>3</v>
      </c>
      <c r="H730" s="4">
        <f>VLOOKUP(E730,Productos!$A$2:$D$13,4,TRUE)</f>
        <v>6</v>
      </c>
      <c r="I730" s="4" t="s">
        <v>17</v>
      </c>
      <c r="J730" s="4">
        <v>71</v>
      </c>
      <c r="K730" s="7">
        <v>42272</v>
      </c>
    </row>
    <row r="731" spans="1:11" x14ac:dyDescent="0.25">
      <c r="A731" s="4">
        <v>23991</v>
      </c>
      <c r="B731" s="4" t="s">
        <v>913</v>
      </c>
      <c r="C731" s="4" t="s">
        <v>412</v>
      </c>
      <c r="D731" s="4" t="str">
        <f>VLOOKUP(C731,Países!$A$1:$B$186,2,TRUE)</f>
        <v>Central America and the Caribbean</v>
      </c>
      <c r="E731" s="4" t="s">
        <v>9</v>
      </c>
      <c r="F731" s="4" t="str">
        <f>VLOOKUP(E731,Productos!$A$2:$D$13,2,TRUE)</f>
        <v>garrafa 1l</v>
      </c>
      <c r="G731" s="4">
        <f>VLOOKUP(E731,Productos!$A$2:$D$13,3,TRUE)</f>
        <v>1</v>
      </c>
      <c r="H731" s="4">
        <f>VLOOKUP(E731,Productos!$A$2:$D$13,4,TRUE)</f>
        <v>2</v>
      </c>
      <c r="I731" s="4" t="s">
        <v>17</v>
      </c>
      <c r="J731" s="4">
        <v>55</v>
      </c>
      <c r="K731" s="7">
        <v>42266</v>
      </c>
    </row>
    <row r="732" spans="1:11" x14ac:dyDescent="0.25">
      <c r="A732" s="4">
        <v>23992</v>
      </c>
      <c r="B732" s="4" t="s">
        <v>914</v>
      </c>
      <c r="C732" s="4" t="s">
        <v>92</v>
      </c>
      <c r="D732" s="4" t="str">
        <f>VLOOKUP(C732,Países!$A$1:$B$186,2,TRUE)</f>
        <v>Asia</v>
      </c>
      <c r="E732" s="4" t="s">
        <v>29</v>
      </c>
      <c r="F732" s="4" t="str">
        <f>VLOOKUP(E732,Productos!$A$2:$D$13,2,TRUE)</f>
        <v>botella 0.5l</v>
      </c>
      <c r="G732" s="4">
        <f>VLOOKUP(E732,Productos!$A$2:$D$13,3,TRUE)</f>
        <v>3</v>
      </c>
      <c r="H732" s="4">
        <f>VLOOKUP(E732,Productos!$A$2:$D$13,4,TRUE)</f>
        <v>6</v>
      </c>
      <c r="I732" s="4" t="s">
        <v>17</v>
      </c>
      <c r="J732" s="4">
        <v>34</v>
      </c>
      <c r="K732" s="7">
        <v>42276</v>
      </c>
    </row>
    <row r="733" spans="1:11" x14ac:dyDescent="0.25">
      <c r="A733" s="4">
        <v>23993</v>
      </c>
      <c r="B733" s="4" t="s">
        <v>915</v>
      </c>
      <c r="C733" s="4" t="s">
        <v>444</v>
      </c>
      <c r="D733" s="4" t="str">
        <f>VLOOKUP(C733,Países!$A$1:$B$186,2,TRUE)</f>
        <v>Europe</v>
      </c>
      <c r="E733" s="4" t="s">
        <v>26</v>
      </c>
      <c r="F733" s="4" t="str">
        <f>VLOOKUP(E733,Productos!$A$2:$D$13,2,TRUE)</f>
        <v>botellín 200cc</v>
      </c>
      <c r="G733" s="4">
        <f>VLOOKUP(E733,Productos!$A$2:$D$13,3,TRUE)</f>
        <v>1.5</v>
      </c>
      <c r="H733" s="4">
        <f>VLOOKUP(E733,Productos!$A$2:$D$13,4,TRUE)</f>
        <v>3</v>
      </c>
      <c r="I733" s="4" t="s">
        <v>17</v>
      </c>
      <c r="J733" s="4">
        <v>161</v>
      </c>
      <c r="K733" s="7">
        <v>42264</v>
      </c>
    </row>
    <row r="734" spans="1:11" x14ac:dyDescent="0.25">
      <c r="A734" s="4">
        <v>23994</v>
      </c>
      <c r="B734" s="4" t="s">
        <v>916</v>
      </c>
      <c r="C734" s="4" t="s">
        <v>290</v>
      </c>
      <c r="D734" s="4" t="str">
        <f>VLOOKUP(C734,Países!$A$1:$B$186,2,TRUE)</f>
        <v>Europe</v>
      </c>
      <c r="E734" s="4" t="s">
        <v>13</v>
      </c>
      <c r="F734" s="4" t="str">
        <f>VLOOKUP(E734,Productos!$A$2:$D$13,2,TRUE)</f>
        <v>botella 1l</v>
      </c>
      <c r="G734" s="4">
        <f>VLOOKUP(E734,Productos!$A$2:$D$13,3,TRUE)</f>
        <v>3.5</v>
      </c>
      <c r="H734" s="4">
        <f>VLOOKUP(E734,Productos!$A$2:$D$13,4,TRUE)</f>
        <v>6.5</v>
      </c>
      <c r="I734" s="4" t="s">
        <v>17</v>
      </c>
      <c r="J734" s="4">
        <v>171</v>
      </c>
      <c r="K734" s="7">
        <v>42290</v>
      </c>
    </row>
    <row r="735" spans="1:11" x14ac:dyDescent="0.25">
      <c r="A735" s="4">
        <v>23995</v>
      </c>
      <c r="B735" s="4" t="s">
        <v>917</v>
      </c>
      <c r="C735" s="4" t="s">
        <v>140</v>
      </c>
      <c r="D735" s="4" t="str">
        <f>VLOOKUP(C735,Países!$A$1:$B$186,2,TRUE)</f>
        <v>Sub-Saharan Africa</v>
      </c>
      <c r="E735" s="4" t="s">
        <v>13</v>
      </c>
      <c r="F735" s="4" t="str">
        <f>VLOOKUP(E735,Productos!$A$2:$D$13,2,TRUE)</f>
        <v>botella 1l</v>
      </c>
      <c r="G735" s="4">
        <f>VLOOKUP(E735,Productos!$A$2:$D$13,3,TRUE)</f>
        <v>3.5</v>
      </c>
      <c r="H735" s="4">
        <f>VLOOKUP(E735,Productos!$A$2:$D$13,4,TRUE)</f>
        <v>6.5</v>
      </c>
      <c r="I735" s="4" t="s">
        <v>10</v>
      </c>
      <c r="J735" s="4">
        <v>188</v>
      </c>
      <c r="K735" s="7">
        <v>42351</v>
      </c>
    </row>
    <row r="736" spans="1:11" x14ac:dyDescent="0.25">
      <c r="A736" s="4">
        <v>23996</v>
      </c>
      <c r="B736" s="4" t="s">
        <v>918</v>
      </c>
      <c r="C736" s="4" t="s">
        <v>611</v>
      </c>
      <c r="D736" s="4" t="str">
        <f>VLOOKUP(C736,Países!$A$1:$B$186,2,TRUE)</f>
        <v>Middle East and North Africa</v>
      </c>
      <c r="E736" s="4" t="s">
        <v>26</v>
      </c>
      <c r="F736" s="4" t="str">
        <f>VLOOKUP(E736,Productos!$A$2:$D$13,2,TRUE)</f>
        <v>botellín 200cc</v>
      </c>
      <c r="G736" s="4">
        <f>VLOOKUP(E736,Productos!$A$2:$D$13,3,TRUE)</f>
        <v>1.5</v>
      </c>
      <c r="H736" s="4">
        <f>VLOOKUP(E736,Productos!$A$2:$D$13,4,TRUE)</f>
        <v>3</v>
      </c>
      <c r="I736" s="4" t="s">
        <v>59</v>
      </c>
      <c r="J736" s="4">
        <v>58</v>
      </c>
      <c r="K736" s="7">
        <v>42342</v>
      </c>
    </row>
    <row r="737" spans="1:11" x14ac:dyDescent="0.25">
      <c r="A737" s="4">
        <v>23997</v>
      </c>
      <c r="B737" s="4" t="s">
        <v>919</v>
      </c>
      <c r="C737" s="4" t="s">
        <v>198</v>
      </c>
      <c r="D737" s="4" t="str">
        <f>VLOOKUP(C737,Países!$A$1:$B$186,2,TRUE)</f>
        <v>Middle East and North Africa</v>
      </c>
      <c r="E737" s="4" t="s">
        <v>23</v>
      </c>
      <c r="F737" s="4" t="str">
        <f>VLOOKUP(E737,Productos!$A$2:$D$13,2,TRUE)</f>
        <v>botellín 400cc</v>
      </c>
      <c r="G737" s="4">
        <f>VLOOKUP(E737,Productos!$A$2:$D$13,3,TRUE)</f>
        <v>2.2999999999999998</v>
      </c>
      <c r="H737" s="4">
        <f>VLOOKUP(E737,Productos!$A$2:$D$13,4,TRUE)</f>
        <v>4.5</v>
      </c>
      <c r="I737" s="4" t="s">
        <v>17</v>
      </c>
      <c r="J737" s="4">
        <v>161</v>
      </c>
      <c r="K737" s="7">
        <v>42257</v>
      </c>
    </row>
    <row r="738" spans="1:11" x14ac:dyDescent="0.25">
      <c r="A738" s="4">
        <v>23998</v>
      </c>
      <c r="B738" s="4" t="s">
        <v>920</v>
      </c>
      <c r="C738" s="4" t="s">
        <v>40</v>
      </c>
      <c r="D738" s="4" t="str">
        <f>VLOOKUP(C738,Países!$A$1:$B$186,2,TRUE)</f>
        <v>Europe</v>
      </c>
      <c r="E738" s="4" t="s">
        <v>23</v>
      </c>
      <c r="F738" s="4" t="str">
        <f>VLOOKUP(E738,Productos!$A$2:$D$13,2,TRUE)</f>
        <v>botellín 400cc</v>
      </c>
      <c r="G738" s="4">
        <f>VLOOKUP(E738,Productos!$A$2:$D$13,3,TRUE)</f>
        <v>2.2999999999999998</v>
      </c>
      <c r="H738" s="4">
        <f>VLOOKUP(E738,Productos!$A$2:$D$13,4,TRUE)</f>
        <v>4.5</v>
      </c>
      <c r="I738" s="4" t="s">
        <v>17</v>
      </c>
      <c r="J738" s="4">
        <v>127</v>
      </c>
      <c r="K738" s="7">
        <v>42270</v>
      </c>
    </row>
    <row r="739" spans="1:11" x14ac:dyDescent="0.25">
      <c r="A739" s="4">
        <v>23999</v>
      </c>
      <c r="B739" s="4" t="s">
        <v>921</v>
      </c>
      <c r="C739" s="4" t="s">
        <v>114</v>
      </c>
      <c r="D739" s="4" t="str">
        <f>VLOOKUP(C739,Países!$A$1:$B$186,2,TRUE)</f>
        <v>Sub-Saharan Africa</v>
      </c>
      <c r="E739" s="4" t="s">
        <v>34</v>
      </c>
      <c r="F739" s="4" t="str">
        <f>VLOOKUP(E739,Productos!$A$2:$D$13,2,TRUE)</f>
        <v>garrafa 3l</v>
      </c>
      <c r="G739" s="4">
        <f>VLOOKUP(E739,Productos!$A$2:$D$13,3,TRUE)</f>
        <v>3.5</v>
      </c>
      <c r="H739" s="4">
        <f>VLOOKUP(E739,Productos!$A$2:$D$13,4,TRUE)</f>
        <v>6.99</v>
      </c>
      <c r="I739" s="4" t="s">
        <v>59</v>
      </c>
      <c r="J739" s="4">
        <v>94</v>
      </c>
      <c r="K739" s="7">
        <v>42264</v>
      </c>
    </row>
    <row r="740" spans="1:11" x14ac:dyDescent="0.25">
      <c r="A740" s="4">
        <v>24000</v>
      </c>
      <c r="B740" s="4" t="s">
        <v>922</v>
      </c>
      <c r="C740" s="4" t="s">
        <v>923</v>
      </c>
      <c r="D740" s="4" t="str">
        <f>VLOOKUP(C740,Países!$A$1:$B$186,2,TRUE)</f>
        <v>Europe</v>
      </c>
      <c r="E740" s="4" t="s">
        <v>46</v>
      </c>
      <c r="F740" s="4" t="str">
        <f>VLOOKUP(E740,Productos!$A$2:$D$13,2,TRUE)</f>
        <v>botellín 500cc</v>
      </c>
      <c r="G740" s="4">
        <f>VLOOKUP(E740,Productos!$A$2:$D$13,3,TRUE)</f>
        <v>3.5</v>
      </c>
      <c r="H740" s="4">
        <f>VLOOKUP(E740,Productos!$A$2:$D$13,4,TRUE)</f>
        <v>6.5</v>
      </c>
      <c r="I740" s="4" t="s">
        <v>17</v>
      </c>
      <c r="J740" s="4">
        <v>4</v>
      </c>
      <c r="K740" s="7">
        <v>42348</v>
      </c>
    </row>
    <row r="741" spans="1:11" x14ac:dyDescent="0.25">
      <c r="A741" s="4">
        <v>24001</v>
      </c>
      <c r="B741" s="4" t="s">
        <v>924</v>
      </c>
      <c r="C741" s="4" t="s">
        <v>164</v>
      </c>
      <c r="D741" s="4" t="str">
        <f>VLOOKUP(C741,Países!$A$1:$B$186,2,TRUE)</f>
        <v>Europe</v>
      </c>
      <c r="E741" s="4" t="s">
        <v>23</v>
      </c>
      <c r="F741" s="4" t="str">
        <f>VLOOKUP(E741,Productos!$A$2:$D$13,2,TRUE)</f>
        <v>botellín 400cc</v>
      </c>
      <c r="G741" s="4">
        <f>VLOOKUP(E741,Productos!$A$2:$D$13,3,TRUE)</f>
        <v>2.2999999999999998</v>
      </c>
      <c r="H741" s="4">
        <f>VLOOKUP(E741,Productos!$A$2:$D$13,4,TRUE)</f>
        <v>4.5</v>
      </c>
      <c r="I741" s="4" t="s">
        <v>10</v>
      </c>
      <c r="J741" s="4">
        <v>83</v>
      </c>
      <c r="K741" s="7">
        <v>42348</v>
      </c>
    </row>
    <row r="742" spans="1:11" x14ac:dyDescent="0.25">
      <c r="A742" s="4">
        <v>24002</v>
      </c>
      <c r="B742" s="4" t="s">
        <v>925</v>
      </c>
      <c r="C742" s="4" t="s">
        <v>926</v>
      </c>
      <c r="D742" s="4" t="str">
        <f>VLOOKUP(C742,Países!$A$1:$B$186,2,TRUE)</f>
        <v>Sub-Saharan Africa</v>
      </c>
      <c r="E742" s="4" t="s">
        <v>23</v>
      </c>
      <c r="F742" s="4" t="str">
        <f>VLOOKUP(E742,Productos!$A$2:$D$13,2,TRUE)</f>
        <v>botellín 400cc</v>
      </c>
      <c r="G742" s="4">
        <f>VLOOKUP(E742,Productos!$A$2:$D$13,3,TRUE)</f>
        <v>2.2999999999999998</v>
      </c>
      <c r="H742" s="4">
        <f>VLOOKUP(E742,Productos!$A$2:$D$13,4,TRUE)</f>
        <v>4.5</v>
      </c>
      <c r="I742" s="4" t="s">
        <v>10</v>
      </c>
      <c r="J742" s="4">
        <v>22</v>
      </c>
      <c r="K742" s="7">
        <v>42260</v>
      </c>
    </row>
    <row r="743" spans="1:11" x14ac:dyDescent="0.25">
      <c r="A743" s="4">
        <v>24003</v>
      </c>
      <c r="B743" s="4" t="s">
        <v>927</v>
      </c>
      <c r="C743" s="4" t="s">
        <v>267</v>
      </c>
      <c r="D743" s="4" t="str">
        <f>VLOOKUP(C743,Países!$A$1:$B$186,2,TRUE)</f>
        <v>Sub-Saharan Africa</v>
      </c>
      <c r="E743" s="4" t="s">
        <v>20</v>
      </c>
      <c r="F743" s="4" t="str">
        <f>VLOOKUP(E743,Productos!$A$2:$D$13,2,TRUE)</f>
        <v>garrafa 4l</v>
      </c>
      <c r="G743" s="4">
        <f>VLOOKUP(E743,Productos!$A$2:$D$13,3,TRUE)</f>
        <v>5</v>
      </c>
      <c r="H743" s="4">
        <f>VLOOKUP(E743,Productos!$A$2:$D$13,4,TRUE)</f>
        <v>9.99</v>
      </c>
      <c r="I743" s="4" t="s">
        <v>59</v>
      </c>
      <c r="J743" s="4">
        <v>62</v>
      </c>
      <c r="K743" s="7">
        <v>42269</v>
      </c>
    </row>
    <row r="744" spans="1:11" x14ac:dyDescent="0.25">
      <c r="A744" s="4">
        <v>24004</v>
      </c>
      <c r="B744" s="4" t="s">
        <v>928</v>
      </c>
      <c r="C744" s="4" t="s">
        <v>136</v>
      </c>
      <c r="D744" s="4" t="str">
        <f>VLOOKUP(C744,Países!$A$1:$B$186,2,TRUE)</f>
        <v>Asia</v>
      </c>
      <c r="E744" s="4" t="s">
        <v>16</v>
      </c>
      <c r="F744" s="4" t="str">
        <f>VLOOKUP(E744,Productos!$A$2:$D$13,2,TRUE)</f>
        <v>botella 5l</v>
      </c>
      <c r="G744" s="4">
        <f>VLOOKUP(E744,Productos!$A$2:$D$13,3,TRUE)</f>
        <v>6</v>
      </c>
      <c r="H744" s="4">
        <f>VLOOKUP(E744,Productos!$A$2:$D$13,4,TRUE)</f>
        <v>9</v>
      </c>
      <c r="I744" s="4" t="s">
        <v>17</v>
      </c>
      <c r="J744" s="4">
        <v>140</v>
      </c>
      <c r="K744" s="7">
        <v>42336</v>
      </c>
    </row>
    <row r="745" spans="1:11" x14ac:dyDescent="0.25">
      <c r="A745" s="4">
        <v>24005</v>
      </c>
      <c r="B745" s="4" t="s">
        <v>929</v>
      </c>
      <c r="C745" s="4" t="s">
        <v>408</v>
      </c>
      <c r="D745" s="4" t="str">
        <f>VLOOKUP(C745,Países!$A$1:$B$186,2,TRUE)</f>
        <v>Europe</v>
      </c>
      <c r="E745" s="4" t="s">
        <v>13</v>
      </c>
      <c r="F745" s="4" t="str">
        <f>VLOOKUP(E745,Productos!$A$2:$D$13,2,TRUE)</f>
        <v>botella 1l</v>
      </c>
      <c r="G745" s="4">
        <f>VLOOKUP(E745,Productos!$A$2:$D$13,3,TRUE)</f>
        <v>3.5</v>
      </c>
      <c r="H745" s="4">
        <f>VLOOKUP(E745,Productos!$A$2:$D$13,4,TRUE)</f>
        <v>6.5</v>
      </c>
      <c r="I745" s="4" t="s">
        <v>10</v>
      </c>
      <c r="J745" s="4">
        <v>203</v>
      </c>
      <c r="K745" s="7">
        <v>42347</v>
      </c>
    </row>
    <row r="746" spans="1:11" x14ac:dyDescent="0.25">
      <c r="A746" s="4">
        <v>24006</v>
      </c>
      <c r="B746" s="4" t="s">
        <v>930</v>
      </c>
      <c r="C746" s="4" t="s">
        <v>127</v>
      </c>
      <c r="D746" s="4" t="str">
        <f>VLOOKUP(C746,Países!$A$1:$B$186,2,TRUE)</f>
        <v>Europe</v>
      </c>
      <c r="E746" s="4" t="s">
        <v>16</v>
      </c>
      <c r="F746" s="4" t="str">
        <f>VLOOKUP(E746,Productos!$A$2:$D$13,2,TRUE)</f>
        <v>botella 5l</v>
      </c>
      <c r="G746" s="4">
        <f>VLOOKUP(E746,Productos!$A$2:$D$13,3,TRUE)</f>
        <v>6</v>
      </c>
      <c r="H746" s="4">
        <f>VLOOKUP(E746,Productos!$A$2:$D$13,4,TRUE)</f>
        <v>9</v>
      </c>
      <c r="I746" s="4" t="s">
        <v>17</v>
      </c>
      <c r="J746" s="4">
        <v>94</v>
      </c>
      <c r="K746" s="7">
        <v>42294</v>
      </c>
    </row>
    <row r="747" spans="1:11" x14ac:dyDescent="0.25">
      <c r="A747" s="4">
        <v>24007</v>
      </c>
      <c r="B747" s="4" t="s">
        <v>931</v>
      </c>
      <c r="C747" s="4" t="s">
        <v>97</v>
      </c>
      <c r="D747" s="4" t="str">
        <f>VLOOKUP(C747,Países!$A$1:$B$186,2,TRUE)</f>
        <v>Sub-Saharan Africa</v>
      </c>
      <c r="E747" s="4" t="s">
        <v>16</v>
      </c>
      <c r="F747" s="4" t="str">
        <f>VLOOKUP(E747,Productos!$A$2:$D$13,2,TRUE)</f>
        <v>botella 5l</v>
      </c>
      <c r="G747" s="4">
        <f>VLOOKUP(E747,Productos!$A$2:$D$13,3,TRUE)</f>
        <v>6</v>
      </c>
      <c r="H747" s="4">
        <f>VLOOKUP(E747,Productos!$A$2:$D$13,4,TRUE)</f>
        <v>9</v>
      </c>
      <c r="I747" s="4" t="s">
        <v>10</v>
      </c>
      <c r="J747" s="4">
        <v>57</v>
      </c>
      <c r="K747" s="7">
        <v>42282</v>
      </c>
    </row>
    <row r="748" spans="1:11" x14ac:dyDescent="0.25">
      <c r="A748" s="4">
        <v>24008</v>
      </c>
      <c r="B748" s="4" t="s">
        <v>932</v>
      </c>
      <c r="C748" s="4" t="s">
        <v>174</v>
      </c>
      <c r="D748" s="4" t="str">
        <f>VLOOKUP(C748,Países!$A$1:$B$186,2,TRUE)</f>
        <v>Europe</v>
      </c>
      <c r="E748" s="4" t="s">
        <v>23</v>
      </c>
      <c r="F748" s="4" t="str">
        <f>VLOOKUP(E748,Productos!$A$2:$D$13,2,TRUE)</f>
        <v>botellín 400cc</v>
      </c>
      <c r="G748" s="4">
        <f>VLOOKUP(E748,Productos!$A$2:$D$13,3,TRUE)</f>
        <v>2.2999999999999998</v>
      </c>
      <c r="H748" s="4">
        <f>VLOOKUP(E748,Productos!$A$2:$D$13,4,TRUE)</f>
        <v>4.5</v>
      </c>
      <c r="I748" s="4" t="s">
        <v>59</v>
      </c>
      <c r="J748" s="4">
        <v>139</v>
      </c>
      <c r="K748" s="7">
        <v>42261</v>
      </c>
    </row>
    <row r="749" spans="1:11" x14ac:dyDescent="0.25">
      <c r="A749" s="4">
        <v>24009</v>
      </c>
      <c r="B749" s="4" t="s">
        <v>933</v>
      </c>
      <c r="C749" s="4" t="s">
        <v>172</v>
      </c>
      <c r="D749" s="4" t="str">
        <f>VLOOKUP(C749,Países!$A$1:$B$186,2,TRUE)</f>
        <v>Middle East and North Africa</v>
      </c>
      <c r="E749" s="4" t="s">
        <v>58</v>
      </c>
      <c r="F749" s="4" t="str">
        <f>VLOOKUP(E749,Productos!$A$2:$D$13,2,TRUE)</f>
        <v>garrafa 2l</v>
      </c>
      <c r="G749" s="4">
        <f>VLOOKUP(E749,Productos!$A$2:$D$13,3,TRUE)</f>
        <v>2.5</v>
      </c>
      <c r="H749" s="4">
        <f>VLOOKUP(E749,Productos!$A$2:$D$13,4,TRUE)</f>
        <v>4.5</v>
      </c>
      <c r="I749" s="4" t="s">
        <v>10</v>
      </c>
      <c r="J749" s="4">
        <v>92</v>
      </c>
      <c r="K749" s="7">
        <v>42317</v>
      </c>
    </row>
    <row r="750" spans="1:11" x14ac:dyDescent="0.25">
      <c r="A750" s="4">
        <v>24010</v>
      </c>
      <c r="B750" s="4" t="s">
        <v>934</v>
      </c>
      <c r="C750" s="4" t="s">
        <v>515</v>
      </c>
      <c r="D750" s="4" t="str">
        <f>VLOOKUP(C750,Países!$A$1:$B$186,2,TRUE)</f>
        <v>Sub-Saharan Africa</v>
      </c>
      <c r="E750" s="4" t="s">
        <v>58</v>
      </c>
      <c r="F750" s="4" t="str">
        <f>VLOOKUP(E750,Productos!$A$2:$D$13,2,TRUE)</f>
        <v>garrafa 2l</v>
      </c>
      <c r="G750" s="4">
        <f>VLOOKUP(E750,Productos!$A$2:$D$13,3,TRUE)</f>
        <v>2.5</v>
      </c>
      <c r="H750" s="4">
        <f>VLOOKUP(E750,Productos!$A$2:$D$13,4,TRUE)</f>
        <v>4.5</v>
      </c>
      <c r="I750" s="4" t="s">
        <v>17</v>
      </c>
      <c r="J750" s="4">
        <v>23</v>
      </c>
      <c r="K750" s="7">
        <v>42289</v>
      </c>
    </row>
    <row r="751" spans="1:11" x14ac:dyDescent="0.25">
      <c r="A751" s="4">
        <v>24011</v>
      </c>
      <c r="B751" s="4" t="s">
        <v>935</v>
      </c>
      <c r="C751" s="4" t="s">
        <v>146</v>
      </c>
      <c r="D751" s="4" t="str">
        <f>VLOOKUP(C751,Países!$A$1:$B$186,2,TRUE)</f>
        <v>Europe</v>
      </c>
      <c r="E751" s="4" t="s">
        <v>26</v>
      </c>
      <c r="F751" s="4" t="str">
        <f>VLOOKUP(E751,Productos!$A$2:$D$13,2,TRUE)</f>
        <v>botellín 200cc</v>
      </c>
      <c r="G751" s="4">
        <f>VLOOKUP(E751,Productos!$A$2:$D$13,3,TRUE)</f>
        <v>1.5</v>
      </c>
      <c r="H751" s="4">
        <f>VLOOKUP(E751,Productos!$A$2:$D$13,4,TRUE)</f>
        <v>3</v>
      </c>
      <c r="I751" s="4" t="s">
        <v>17</v>
      </c>
      <c r="J751" s="4">
        <v>60</v>
      </c>
      <c r="K751" s="7">
        <v>42288</v>
      </c>
    </row>
    <row r="752" spans="1:11" x14ac:dyDescent="0.25">
      <c r="A752" s="4">
        <v>24012</v>
      </c>
      <c r="B752" s="4" t="s">
        <v>936</v>
      </c>
      <c r="C752" s="4" t="s">
        <v>295</v>
      </c>
      <c r="D752" s="4" t="str">
        <f>VLOOKUP(C752,Países!$A$1:$B$186,2,TRUE)</f>
        <v>Central America and the Caribbean</v>
      </c>
      <c r="E752" s="4" t="s">
        <v>9</v>
      </c>
      <c r="F752" s="4" t="str">
        <f>VLOOKUP(E752,Productos!$A$2:$D$13,2,TRUE)</f>
        <v>garrafa 1l</v>
      </c>
      <c r="G752" s="4">
        <f>VLOOKUP(E752,Productos!$A$2:$D$13,3,TRUE)</f>
        <v>1</v>
      </c>
      <c r="H752" s="4">
        <f>VLOOKUP(E752,Productos!$A$2:$D$13,4,TRUE)</f>
        <v>2</v>
      </c>
      <c r="I752" s="4" t="s">
        <v>17</v>
      </c>
      <c r="J752" s="4">
        <v>133</v>
      </c>
      <c r="K752" s="7">
        <v>42297</v>
      </c>
    </row>
    <row r="753" spans="1:11" x14ac:dyDescent="0.25">
      <c r="A753" s="4">
        <v>24013</v>
      </c>
      <c r="B753" s="4" t="s">
        <v>937</v>
      </c>
      <c r="C753" s="4" t="s">
        <v>938</v>
      </c>
      <c r="D753" s="4" t="str">
        <f>VLOOKUP(C753,Países!$A$1:$B$186,2,TRUE)</f>
        <v>Middle East and North Africa</v>
      </c>
      <c r="E753" s="4" t="s">
        <v>20</v>
      </c>
      <c r="F753" s="4" t="str">
        <f>VLOOKUP(E753,Productos!$A$2:$D$13,2,TRUE)</f>
        <v>garrafa 4l</v>
      </c>
      <c r="G753" s="4">
        <f>VLOOKUP(E753,Productos!$A$2:$D$13,3,TRUE)</f>
        <v>5</v>
      </c>
      <c r="H753" s="4">
        <f>VLOOKUP(E753,Productos!$A$2:$D$13,4,TRUE)</f>
        <v>9.99</v>
      </c>
      <c r="I753" s="4" t="s">
        <v>17</v>
      </c>
      <c r="J753" s="4">
        <v>68</v>
      </c>
      <c r="K753" s="7">
        <v>42338</v>
      </c>
    </row>
    <row r="754" spans="1:11" x14ac:dyDescent="0.25">
      <c r="A754" s="4">
        <v>24014</v>
      </c>
      <c r="B754" s="4" t="s">
        <v>939</v>
      </c>
      <c r="C754" s="4" t="s">
        <v>140</v>
      </c>
      <c r="D754" s="4" t="str">
        <f>VLOOKUP(C754,Países!$A$1:$B$186,2,TRUE)</f>
        <v>Sub-Saharan Africa</v>
      </c>
      <c r="E754" s="4" t="s">
        <v>58</v>
      </c>
      <c r="F754" s="4" t="str">
        <f>VLOOKUP(E754,Productos!$A$2:$D$13,2,TRUE)</f>
        <v>garrafa 2l</v>
      </c>
      <c r="G754" s="4">
        <f>VLOOKUP(E754,Productos!$A$2:$D$13,3,TRUE)</f>
        <v>2.5</v>
      </c>
      <c r="H754" s="4">
        <f>VLOOKUP(E754,Productos!$A$2:$D$13,4,TRUE)</f>
        <v>4.5</v>
      </c>
      <c r="I754" s="4" t="s">
        <v>17</v>
      </c>
      <c r="J754" s="4">
        <v>38</v>
      </c>
      <c r="K754" s="7">
        <v>42259</v>
      </c>
    </row>
    <row r="755" spans="1:11" x14ac:dyDescent="0.25">
      <c r="A755" s="4">
        <v>24015</v>
      </c>
      <c r="B755" s="4" t="s">
        <v>940</v>
      </c>
      <c r="C755" s="4" t="s">
        <v>164</v>
      </c>
      <c r="D755" s="4" t="str">
        <f>VLOOKUP(C755,Países!$A$1:$B$186,2,TRUE)</f>
        <v>Europe</v>
      </c>
      <c r="E755" s="4" t="s">
        <v>16</v>
      </c>
      <c r="F755" s="4" t="str">
        <f>VLOOKUP(E755,Productos!$A$2:$D$13,2,TRUE)</f>
        <v>botella 5l</v>
      </c>
      <c r="G755" s="4">
        <f>VLOOKUP(E755,Productos!$A$2:$D$13,3,TRUE)</f>
        <v>6</v>
      </c>
      <c r="H755" s="4">
        <f>VLOOKUP(E755,Productos!$A$2:$D$13,4,TRUE)</f>
        <v>9</v>
      </c>
      <c r="I755" s="4" t="s">
        <v>17</v>
      </c>
      <c r="J755" s="4">
        <v>70</v>
      </c>
      <c r="K755" s="7">
        <v>42358</v>
      </c>
    </row>
    <row r="756" spans="1:11" x14ac:dyDescent="0.25">
      <c r="A756" s="4">
        <v>24016</v>
      </c>
      <c r="B756" s="4" t="s">
        <v>941</v>
      </c>
      <c r="C756" s="4" t="s">
        <v>127</v>
      </c>
      <c r="D756" s="4" t="str">
        <f>VLOOKUP(C756,Países!$A$1:$B$186,2,TRUE)</f>
        <v>Europe</v>
      </c>
      <c r="E756" s="4" t="s">
        <v>9</v>
      </c>
      <c r="F756" s="4" t="str">
        <f>VLOOKUP(E756,Productos!$A$2:$D$13,2,TRUE)</f>
        <v>garrafa 1l</v>
      </c>
      <c r="G756" s="4">
        <f>VLOOKUP(E756,Productos!$A$2:$D$13,3,TRUE)</f>
        <v>1</v>
      </c>
      <c r="H756" s="4">
        <f>VLOOKUP(E756,Productos!$A$2:$D$13,4,TRUE)</f>
        <v>2</v>
      </c>
      <c r="I756" s="4" t="s">
        <v>17</v>
      </c>
      <c r="J756" s="4">
        <v>63</v>
      </c>
      <c r="K756" s="7">
        <v>42353</v>
      </c>
    </row>
    <row r="757" spans="1:11" x14ac:dyDescent="0.25">
      <c r="A757" s="4">
        <v>24017</v>
      </c>
      <c r="B757" s="4" t="s">
        <v>942</v>
      </c>
      <c r="C757" s="4" t="s">
        <v>88</v>
      </c>
      <c r="D757" s="4" t="str">
        <f>VLOOKUP(C757,Países!$A$1:$B$186,2,TRUE)</f>
        <v>Europe</v>
      </c>
      <c r="E757" s="4" t="s">
        <v>23</v>
      </c>
      <c r="F757" s="4" t="str">
        <f>VLOOKUP(E757,Productos!$A$2:$D$13,2,TRUE)</f>
        <v>botellín 400cc</v>
      </c>
      <c r="G757" s="4">
        <f>VLOOKUP(E757,Productos!$A$2:$D$13,3,TRUE)</f>
        <v>2.2999999999999998</v>
      </c>
      <c r="H757" s="4">
        <f>VLOOKUP(E757,Productos!$A$2:$D$13,4,TRUE)</f>
        <v>4.5</v>
      </c>
      <c r="I757" s="4" t="s">
        <v>59</v>
      </c>
      <c r="J757" s="4">
        <v>208</v>
      </c>
      <c r="K757" s="7">
        <v>42320</v>
      </c>
    </row>
    <row r="758" spans="1:11" x14ac:dyDescent="0.25">
      <c r="A758" s="4">
        <v>24018</v>
      </c>
      <c r="B758" s="4" t="s">
        <v>943</v>
      </c>
      <c r="C758" s="4" t="s">
        <v>112</v>
      </c>
      <c r="D758" s="4" t="str">
        <f>VLOOKUP(C758,Países!$A$1:$B$186,2,TRUE)</f>
        <v>North America</v>
      </c>
      <c r="E758" s="4" t="s">
        <v>34</v>
      </c>
      <c r="F758" s="4" t="str">
        <f>VLOOKUP(E758,Productos!$A$2:$D$13,2,TRUE)</f>
        <v>garrafa 3l</v>
      </c>
      <c r="G758" s="4">
        <f>VLOOKUP(E758,Productos!$A$2:$D$13,3,TRUE)</f>
        <v>3.5</v>
      </c>
      <c r="H758" s="4">
        <f>VLOOKUP(E758,Productos!$A$2:$D$13,4,TRUE)</f>
        <v>6.99</v>
      </c>
      <c r="I758" s="4" t="s">
        <v>10</v>
      </c>
      <c r="J758" s="4">
        <v>37</v>
      </c>
      <c r="K758" s="7">
        <v>42291</v>
      </c>
    </row>
    <row r="759" spans="1:11" x14ac:dyDescent="0.25">
      <c r="A759" s="4">
        <v>24019</v>
      </c>
      <c r="B759" s="4" t="s">
        <v>944</v>
      </c>
      <c r="C759" s="4" t="s">
        <v>157</v>
      </c>
      <c r="D759" s="4" t="str">
        <f>VLOOKUP(C759,Países!$A$1:$B$186,2,TRUE)</f>
        <v>Sub-Saharan Africa</v>
      </c>
      <c r="E759" s="4" t="s">
        <v>51</v>
      </c>
      <c r="F759" s="4" t="str">
        <f>VLOOKUP(E759,Productos!$A$2:$D$13,2,TRUE)</f>
        <v>garrafa 8l</v>
      </c>
      <c r="G759" s="4">
        <f>VLOOKUP(E759,Productos!$A$2:$D$13,3,TRUE)</f>
        <v>8</v>
      </c>
      <c r="H759" s="4">
        <f>VLOOKUP(E759,Productos!$A$2:$D$13,4,TRUE)</f>
        <v>14.5</v>
      </c>
      <c r="I759" s="4" t="s">
        <v>17</v>
      </c>
      <c r="J759" s="4">
        <v>52</v>
      </c>
      <c r="K759" s="7">
        <v>42275</v>
      </c>
    </row>
    <row r="760" spans="1:11" x14ac:dyDescent="0.25">
      <c r="A760" s="4">
        <v>24020</v>
      </c>
      <c r="B760" s="4" t="s">
        <v>945</v>
      </c>
      <c r="C760" s="4" t="s">
        <v>57</v>
      </c>
      <c r="D760" s="4" t="str">
        <f>VLOOKUP(C760,Países!$A$1:$B$186,2,TRUE)</f>
        <v>Sub-Saharan Africa</v>
      </c>
      <c r="E760" s="4" t="s">
        <v>46</v>
      </c>
      <c r="F760" s="4" t="str">
        <f>VLOOKUP(E760,Productos!$A$2:$D$13,2,TRUE)</f>
        <v>botellín 500cc</v>
      </c>
      <c r="G760" s="4">
        <f>VLOOKUP(E760,Productos!$A$2:$D$13,3,TRUE)</f>
        <v>3.5</v>
      </c>
      <c r="H760" s="4">
        <f>VLOOKUP(E760,Productos!$A$2:$D$13,4,TRUE)</f>
        <v>6.5</v>
      </c>
      <c r="I760" s="4" t="s">
        <v>17</v>
      </c>
      <c r="J760" s="4">
        <v>138</v>
      </c>
      <c r="K760" s="7">
        <v>42367</v>
      </c>
    </row>
    <row r="761" spans="1:11" x14ac:dyDescent="0.25">
      <c r="A761" s="4">
        <v>24021</v>
      </c>
      <c r="B761" s="4" t="s">
        <v>946</v>
      </c>
      <c r="C761" s="4" t="s">
        <v>547</v>
      </c>
      <c r="D761" s="4" t="str">
        <f>VLOOKUP(C761,Países!$A$1:$B$186,2,TRUE)</f>
        <v>Sub-Saharan Africa</v>
      </c>
      <c r="E761" s="4" t="s">
        <v>51</v>
      </c>
      <c r="F761" s="4" t="str">
        <f>VLOOKUP(E761,Productos!$A$2:$D$13,2,TRUE)</f>
        <v>garrafa 8l</v>
      </c>
      <c r="G761" s="4">
        <f>VLOOKUP(E761,Productos!$A$2:$D$13,3,TRUE)</f>
        <v>8</v>
      </c>
      <c r="H761" s="4">
        <f>VLOOKUP(E761,Productos!$A$2:$D$13,4,TRUE)</f>
        <v>14.5</v>
      </c>
      <c r="I761" s="4" t="s">
        <v>17</v>
      </c>
      <c r="J761" s="4">
        <v>182</v>
      </c>
      <c r="K761" s="7">
        <v>42275</v>
      </c>
    </row>
    <row r="762" spans="1:11" x14ac:dyDescent="0.25">
      <c r="A762" s="4">
        <v>24022</v>
      </c>
      <c r="B762" s="4" t="s">
        <v>947</v>
      </c>
      <c r="C762" s="4" t="s">
        <v>257</v>
      </c>
      <c r="D762" s="4" t="str">
        <f>VLOOKUP(C762,Países!$A$1:$B$186,2,TRUE)</f>
        <v>Central America and the Caribbean</v>
      </c>
      <c r="E762" s="4" t="s">
        <v>26</v>
      </c>
      <c r="F762" s="4" t="str">
        <f>VLOOKUP(E762,Productos!$A$2:$D$13,2,TRUE)</f>
        <v>botellín 200cc</v>
      </c>
      <c r="G762" s="4">
        <f>VLOOKUP(E762,Productos!$A$2:$D$13,3,TRUE)</f>
        <v>1.5</v>
      </c>
      <c r="H762" s="4">
        <f>VLOOKUP(E762,Productos!$A$2:$D$13,4,TRUE)</f>
        <v>3</v>
      </c>
      <c r="I762" s="4" t="s">
        <v>10</v>
      </c>
      <c r="J762" s="4">
        <v>84</v>
      </c>
      <c r="K762" s="7">
        <v>42271</v>
      </c>
    </row>
    <row r="763" spans="1:11" x14ac:dyDescent="0.25">
      <c r="A763" s="4">
        <v>24023</v>
      </c>
      <c r="B763" s="4" t="s">
        <v>948</v>
      </c>
      <c r="C763" s="4" t="s">
        <v>926</v>
      </c>
      <c r="D763" s="4" t="str">
        <f>VLOOKUP(C763,Países!$A$1:$B$186,2,TRUE)</f>
        <v>Sub-Saharan Africa</v>
      </c>
      <c r="E763" s="4" t="s">
        <v>29</v>
      </c>
      <c r="F763" s="4" t="str">
        <f>VLOOKUP(E763,Productos!$A$2:$D$13,2,TRUE)</f>
        <v>botella 0.5l</v>
      </c>
      <c r="G763" s="4">
        <f>VLOOKUP(E763,Productos!$A$2:$D$13,3,TRUE)</f>
        <v>3</v>
      </c>
      <c r="H763" s="4">
        <f>VLOOKUP(E763,Productos!$A$2:$D$13,4,TRUE)</f>
        <v>6</v>
      </c>
      <c r="I763" s="4" t="s">
        <v>17</v>
      </c>
      <c r="J763" s="4">
        <v>172</v>
      </c>
      <c r="K763" s="7">
        <v>42359</v>
      </c>
    </row>
    <row r="764" spans="1:11" x14ac:dyDescent="0.25">
      <c r="A764" s="4">
        <v>24024</v>
      </c>
      <c r="B764" s="4" t="s">
        <v>949</v>
      </c>
      <c r="C764" s="4" t="s">
        <v>75</v>
      </c>
      <c r="D764" s="4" t="str">
        <f>VLOOKUP(C764,Países!$A$1:$B$186,2,TRUE)</f>
        <v>Asia</v>
      </c>
      <c r="E764" s="4" t="s">
        <v>23</v>
      </c>
      <c r="F764" s="4" t="str">
        <f>VLOOKUP(E764,Productos!$A$2:$D$13,2,TRUE)</f>
        <v>botellín 400cc</v>
      </c>
      <c r="G764" s="4">
        <f>VLOOKUP(E764,Productos!$A$2:$D$13,3,TRUE)</f>
        <v>2.2999999999999998</v>
      </c>
      <c r="H764" s="4">
        <f>VLOOKUP(E764,Productos!$A$2:$D$13,4,TRUE)</f>
        <v>4.5</v>
      </c>
      <c r="I764" s="4" t="s">
        <v>10</v>
      </c>
      <c r="J764" s="4">
        <v>208</v>
      </c>
      <c r="K764" s="7">
        <v>42250</v>
      </c>
    </row>
    <row r="765" spans="1:11" x14ac:dyDescent="0.25">
      <c r="A765" s="4">
        <v>24025</v>
      </c>
      <c r="B765" s="4" t="s">
        <v>942</v>
      </c>
      <c r="C765" s="4" t="s">
        <v>244</v>
      </c>
      <c r="D765" s="4" t="str">
        <f>VLOOKUP(C765,Países!$A$1:$B$186,2,TRUE)</f>
        <v>Europe</v>
      </c>
      <c r="E765" s="4" t="s">
        <v>16</v>
      </c>
      <c r="F765" s="4" t="str">
        <f>VLOOKUP(E765,Productos!$A$2:$D$13,2,TRUE)</f>
        <v>botella 5l</v>
      </c>
      <c r="G765" s="4">
        <f>VLOOKUP(E765,Productos!$A$2:$D$13,3,TRUE)</f>
        <v>6</v>
      </c>
      <c r="H765" s="4">
        <f>VLOOKUP(E765,Productos!$A$2:$D$13,4,TRUE)</f>
        <v>9</v>
      </c>
      <c r="I765" s="4" t="s">
        <v>10</v>
      </c>
      <c r="J765" s="4">
        <v>44</v>
      </c>
      <c r="K765" s="7">
        <v>42290</v>
      </c>
    </row>
    <row r="766" spans="1:11" x14ac:dyDescent="0.25">
      <c r="A766" s="4">
        <v>24026</v>
      </c>
      <c r="B766" s="4" t="s">
        <v>950</v>
      </c>
      <c r="C766" s="4" t="s">
        <v>8</v>
      </c>
      <c r="D766" s="4" t="str">
        <f>VLOOKUP(C766,Países!$A$1:$B$186,2,TRUE)</f>
        <v>Sub-Saharan Africa</v>
      </c>
      <c r="E766" s="4" t="s">
        <v>26</v>
      </c>
      <c r="F766" s="4" t="str">
        <f>VLOOKUP(E766,Productos!$A$2:$D$13,2,TRUE)</f>
        <v>botellín 200cc</v>
      </c>
      <c r="G766" s="4">
        <f>VLOOKUP(E766,Productos!$A$2:$D$13,3,TRUE)</f>
        <v>1.5</v>
      </c>
      <c r="H766" s="4">
        <f>VLOOKUP(E766,Productos!$A$2:$D$13,4,TRUE)</f>
        <v>3</v>
      </c>
      <c r="I766" s="4" t="s">
        <v>17</v>
      </c>
      <c r="J766" s="4">
        <v>210</v>
      </c>
      <c r="K766" s="7">
        <v>42268</v>
      </c>
    </row>
    <row r="767" spans="1:11" x14ac:dyDescent="0.25">
      <c r="A767" s="4">
        <v>24027</v>
      </c>
      <c r="B767" s="4" t="s">
        <v>951</v>
      </c>
      <c r="C767" s="4" t="s">
        <v>19</v>
      </c>
      <c r="D767" s="4" t="str">
        <f>VLOOKUP(C767,Países!$A$1:$B$186,2,TRUE)</f>
        <v>Sub-Saharan Africa</v>
      </c>
      <c r="E767" s="4" t="s">
        <v>34</v>
      </c>
      <c r="F767" s="4" t="str">
        <f>VLOOKUP(E767,Productos!$A$2:$D$13,2,TRUE)</f>
        <v>garrafa 3l</v>
      </c>
      <c r="G767" s="4">
        <f>VLOOKUP(E767,Productos!$A$2:$D$13,3,TRUE)</f>
        <v>3.5</v>
      </c>
      <c r="H767" s="4">
        <f>VLOOKUP(E767,Productos!$A$2:$D$13,4,TRUE)</f>
        <v>6.99</v>
      </c>
      <c r="I767" s="4" t="s">
        <v>17</v>
      </c>
      <c r="J767" s="4">
        <v>156</v>
      </c>
      <c r="K767" s="7">
        <v>42304</v>
      </c>
    </row>
    <row r="768" spans="1:11" x14ac:dyDescent="0.25">
      <c r="A768" s="4">
        <v>24028</v>
      </c>
      <c r="B768" s="4" t="s">
        <v>952</v>
      </c>
      <c r="C768" s="4" t="s">
        <v>938</v>
      </c>
      <c r="D768" s="4" t="str">
        <f>VLOOKUP(C768,Países!$A$1:$B$186,2,TRUE)</f>
        <v>Middle East and North Africa</v>
      </c>
      <c r="E768" s="4" t="s">
        <v>58</v>
      </c>
      <c r="F768" s="4" t="str">
        <f>VLOOKUP(E768,Productos!$A$2:$D$13,2,TRUE)</f>
        <v>garrafa 2l</v>
      </c>
      <c r="G768" s="4">
        <f>VLOOKUP(E768,Productos!$A$2:$D$13,3,TRUE)</f>
        <v>2.5</v>
      </c>
      <c r="H768" s="4">
        <f>VLOOKUP(E768,Productos!$A$2:$D$13,4,TRUE)</f>
        <v>4.5</v>
      </c>
      <c r="I768" s="4" t="s">
        <v>17</v>
      </c>
      <c r="J768" s="4">
        <v>181</v>
      </c>
      <c r="K768" s="7">
        <v>42310</v>
      </c>
    </row>
    <row r="769" spans="1:11" x14ac:dyDescent="0.25">
      <c r="A769" s="4">
        <v>24029</v>
      </c>
      <c r="B769" s="4" t="s">
        <v>953</v>
      </c>
      <c r="C769" s="4" t="s">
        <v>352</v>
      </c>
      <c r="D769" s="4" t="str">
        <f>VLOOKUP(C769,Países!$A$1:$B$186,2,TRUE)</f>
        <v>Europe</v>
      </c>
      <c r="E769" s="4" t="s">
        <v>26</v>
      </c>
      <c r="F769" s="4" t="str">
        <f>VLOOKUP(E769,Productos!$A$2:$D$13,2,TRUE)</f>
        <v>botellín 200cc</v>
      </c>
      <c r="G769" s="4">
        <f>VLOOKUP(E769,Productos!$A$2:$D$13,3,TRUE)</f>
        <v>1.5</v>
      </c>
      <c r="H769" s="4">
        <f>VLOOKUP(E769,Productos!$A$2:$D$13,4,TRUE)</f>
        <v>3</v>
      </c>
      <c r="I769" s="4" t="s">
        <v>10</v>
      </c>
      <c r="J769" s="4">
        <v>98</v>
      </c>
      <c r="K769" s="7">
        <v>42314</v>
      </c>
    </row>
    <row r="770" spans="1:11" x14ac:dyDescent="0.25">
      <c r="A770" s="4">
        <v>24030</v>
      </c>
      <c r="B770" s="4" t="s">
        <v>954</v>
      </c>
      <c r="C770" s="4" t="s">
        <v>456</v>
      </c>
      <c r="D770" s="4" t="str">
        <f>VLOOKUP(C770,Países!$A$1:$B$186,2,TRUE)</f>
        <v>Europe</v>
      </c>
      <c r="E770" s="4" t="s">
        <v>13</v>
      </c>
      <c r="F770" s="4" t="str">
        <f>VLOOKUP(E770,Productos!$A$2:$D$13,2,TRUE)</f>
        <v>botella 1l</v>
      </c>
      <c r="G770" s="4">
        <f>VLOOKUP(E770,Productos!$A$2:$D$13,3,TRUE)</f>
        <v>3.5</v>
      </c>
      <c r="H770" s="4">
        <f>VLOOKUP(E770,Productos!$A$2:$D$13,4,TRUE)</f>
        <v>6.5</v>
      </c>
      <c r="I770" s="4" t="s">
        <v>17</v>
      </c>
      <c r="J770" s="4">
        <v>118</v>
      </c>
      <c r="K770" s="7">
        <v>42309</v>
      </c>
    </row>
    <row r="771" spans="1:11" x14ac:dyDescent="0.25">
      <c r="A771" s="4">
        <v>24031</v>
      </c>
      <c r="B771" s="4" t="s">
        <v>955</v>
      </c>
      <c r="C771" s="4" t="s">
        <v>228</v>
      </c>
      <c r="D771" s="4" t="str">
        <f>VLOOKUP(C771,Países!$A$1:$B$186,2,TRUE)</f>
        <v>Europe</v>
      </c>
      <c r="E771" s="4" t="s">
        <v>29</v>
      </c>
      <c r="F771" s="4" t="str">
        <f>VLOOKUP(E771,Productos!$A$2:$D$13,2,TRUE)</f>
        <v>botella 0.5l</v>
      </c>
      <c r="G771" s="4">
        <f>VLOOKUP(E771,Productos!$A$2:$D$13,3,TRUE)</f>
        <v>3</v>
      </c>
      <c r="H771" s="4">
        <f>VLOOKUP(E771,Productos!$A$2:$D$13,4,TRUE)</f>
        <v>6</v>
      </c>
      <c r="I771" s="4" t="s">
        <v>59</v>
      </c>
      <c r="J771" s="4">
        <v>161</v>
      </c>
      <c r="K771" s="7">
        <v>42307</v>
      </c>
    </row>
    <row r="772" spans="1:11" x14ac:dyDescent="0.25">
      <c r="A772" s="4">
        <v>24032</v>
      </c>
      <c r="B772" s="4" t="s">
        <v>956</v>
      </c>
      <c r="C772" s="4" t="s">
        <v>92</v>
      </c>
      <c r="D772" s="4" t="str">
        <f>VLOOKUP(C772,Países!$A$1:$B$186,2,TRUE)</f>
        <v>Asia</v>
      </c>
      <c r="E772" s="4" t="s">
        <v>29</v>
      </c>
      <c r="F772" s="4" t="str">
        <f>VLOOKUP(E772,Productos!$A$2:$D$13,2,TRUE)</f>
        <v>botella 0.5l</v>
      </c>
      <c r="G772" s="4">
        <f>VLOOKUP(E772,Productos!$A$2:$D$13,3,TRUE)</f>
        <v>3</v>
      </c>
      <c r="H772" s="4">
        <f>VLOOKUP(E772,Productos!$A$2:$D$13,4,TRUE)</f>
        <v>6</v>
      </c>
      <c r="I772" s="4" t="s">
        <v>17</v>
      </c>
      <c r="J772" s="4">
        <v>196</v>
      </c>
      <c r="K772" s="7">
        <v>42272</v>
      </c>
    </row>
    <row r="773" spans="1:11" x14ac:dyDescent="0.25">
      <c r="A773" s="4">
        <v>24033</v>
      </c>
      <c r="B773" s="4" t="s">
        <v>957</v>
      </c>
      <c r="C773" s="4" t="s">
        <v>515</v>
      </c>
      <c r="D773" s="4" t="str">
        <f>VLOOKUP(C773,Países!$A$1:$B$186,2,TRUE)</f>
        <v>Sub-Saharan Africa</v>
      </c>
      <c r="E773" s="4" t="s">
        <v>34</v>
      </c>
      <c r="F773" s="4" t="str">
        <f>VLOOKUP(E773,Productos!$A$2:$D$13,2,TRUE)</f>
        <v>garrafa 3l</v>
      </c>
      <c r="G773" s="4">
        <f>VLOOKUP(E773,Productos!$A$2:$D$13,3,TRUE)</f>
        <v>3.5</v>
      </c>
      <c r="H773" s="4">
        <f>VLOOKUP(E773,Productos!$A$2:$D$13,4,TRUE)</f>
        <v>6.99</v>
      </c>
      <c r="I773" s="4" t="s">
        <v>10</v>
      </c>
      <c r="J773" s="4">
        <v>35</v>
      </c>
      <c r="K773" s="7">
        <v>42360</v>
      </c>
    </row>
    <row r="774" spans="1:11" x14ac:dyDescent="0.25">
      <c r="A774" s="4">
        <v>24034</v>
      </c>
      <c r="B774" s="4" t="s">
        <v>958</v>
      </c>
      <c r="C774" s="4" t="s">
        <v>297</v>
      </c>
      <c r="D774" s="4" t="str">
        <f>VLOOKUP(C774,Países!$A$1:$B$186,2,TRUE)</f>
        <v>Central America and the Caribbean</v>
      </c>
      <c r="E774" s="4" t="s">
        <v>29</v>
      </c>
      <c r="F774" s="4" t="str">
        <f>VLOOKUP(E774,Productos!$A$2:$D$13,2,TRUE)</f>
        <v>botella 0.5l</v>
      </c>
      <c r="G774" s="4">
        <f>VLOOKUP(E774,Productos!$A$2:$D$13,3,TRUE)</f>
        <v>3</v>
      </c>
      <c r="H774" s="4">
        <f>VLOOKUP(E774,Productos!$A$2:$D$13,4,TRUE)</f>
        <v>6</v>
      </c>
      <c r="I774" s="4" t="s">
        <v>17</v>
      </c>
      <c r="J774" s="4">
        <v>47</v>
      </c>
      <c r="K774" s="7">
        <v>42339</v>
      </c>
    </row>
    <row r="775" spans="1:11" x14ac:dyDescent="0.25">
      <c r="A775" s="4">
        <v>24035</v>
      </c>
      <c r="B775" s="4" t="s">
        <v>506</v>
      </c>
      <c r="C775" s="4" t="s">
        <v>22</v>
      </c>
      <c r="D775" s="4" t="str">
        <f>VLOOKUP(C775,Países!$A$1:$B$186,2,TRUE)</f>
        <v>Sub-Saharan Africa</v>
      </c>
      <c r="E775" s="4" t="s">
        <v>20</v>
      </c>
      <c r="F775" s="4" t="str">
        <f>VLOOKUP(E775,Productos!$A$2:$D$13,2,TRUE)</f>
        <v>garrafa 4l</v>
      </c>
      <c r="G775" s="4">
        <f>VLOOKUP(E775,Productos!$A$2:$D$13,3,TRUE)</f>
        <v>5</v>
      </c>
      <c r="H775" s="4">
        <f>VLOOKUP(E775,Productos!$A$2:$D$13,4,TRUE)</f>
        <v>9.99</v>
      </c>
      <c r="I775" s="4" t="s">
        <v>10</v>
      </c>
      <c r="J775" s="4">
        <v>91</v>
      </c>
      <c r="K775" s="7">
        <v>42363</v>
      </c>
    </row>
    <row r="776" spans="1:11" x14ac:dyDescent="0.25">
      <c r="A776" s="4">
        <v>24036</v>
      </c>
      <c r="B776" s="4" t="s">
        <v>959</v>
      </c>
      <c r="C776" s="4" t="s">
        <v>40</v>
      </c>
      <c r="D776" s="4" t="str">
        <f>VLOOKUP(C776,Países!$A$1:$B$186,2,TRUE)</f>
        <v>Europe</v>
      </c>
      <c r="E776" s="4" t="s">
        <v>23</v>
      </c>
      <c r="F776" s="4" t="str">
        <f>VLOOKUP(E776,Productos!$A$2:$D$13,2,TRUE)</f>
        <v>botellín 400cc</v>
      </c>
      <c r="G776" s="4">
        <f>VLOOKUP(E776,Productos!$A$2:$D$13,3,TRUE)</f>
        <v>2.2999999999999998</v>
      </c>
      <c r="H776" s="4">
        <f>VLOOKUP(E776,Productos!$A$2:$D$13,4,TRUE)</f>
        <v>4.5</v>
      </c>
      <c r="I776" s="4" t="s">
        <v>17</v>
      </c>
      <c r="J776" s="4">
        <v>173</v>
      </c>
      <c r="K776" s="7">
        <v>42324</v>
      </c>
    </row>
    <row r="777" spans="1:11" x14ac:dyDescent="0.25">
      <c r="A777" s="4">
        <v>24037</v>
      </c>
      <c r="B777" s="4" t="s">
        <v>960</v>
      </c>
      <c r="C777" s="4" t="s">
        <v>244</v>
      </c>
      <c r="D777" s="4" t="str">
        <f>VLOOKUP(C777,Países!$A$1:$B$186,2,TRUE)</f>
        <v>Europe</v>
      </c>
      <c r="E777" s="4" t="s">
        <v>13</v>
      </c>
      <c r="F777" s="4" t="str">
        <f>VLOOKUP(E777,Productos!$A$2:$D$13,2,TRUE)</f>
        <v>botella 1l</v>
      </c>
      <c r="G777" s="4">
        <f>VLOOKUP(E777,Productos!$A$2:$D$13,3,TRUE)</f>
        <v>3.5</v>
      </c>
      <c r="H777" s="4">
        <f>VLOOKUP(E777,Productos!$A$2:$D$13,4,TRUE)</f>
        <v>6.5</v>
      </c>
      <c r="I777" s="4" t="s">
        <v>10</v>
      </c>
      <c r="J777" s="4">
        <v>43</v>
      </c>
      <c r="K777" s="7">
        <v>42288</v>
      </c>
    </row>
    <row r="778" spans="1:11" x14ac:dyDescent="0.25">
      <c r="A778" s="4">
        <v>24038</v>
      </c>
      <c r="B778" s="4" t="s">
        <v>961</v>
      </c>
      <c r="C778" s="4" t="s">
        <v>333</v>
      </c>
      <c r="D778" s="4" t="str">
        <f>VLOOKUP(C778,Países!$A$1:$B$186,2,TRUE)</f>
        <v>Asia</v>
      </c>
      <c r="E778" s="4" t="s">
        <v>26</v>
      </c>
      <c r="F778" s="4" t="str">
        <f>VLOOKUP(E778,Productos!$A$2:$D$13,2,TRUE)</f>
        <v>botellín 200cc</v>
      </c>
      <c r="G778" s="4">
        <f>VLOOKUP(E778,Productos!$A$2:$D$13,3,TRUE)</f>
        <v>1.5</v>
      </c>
      <c r="H778" s="4">
        <f>VLOOKUP(E778,Productos!$A$2:$D$13,4,TRUE)</f>
        <v>3</v>
      </c>
      <c r="I778" s="4" t="s">
        <v>17</v>
      </c>
      <c r="J778" s="4">
        <v>115</v>
      </c>
      <c r="K778" s="7">
        <v>42329</v>
      </c>
    </row>
    <row r="779" spans="1:11" x14ac:dyDescent="0.25">
      <c r="A779" s="4">
        <v>24039</v>
      </c>
      <c r="B779" s="4" t="s">
        <v>962</v>
      </c>
      <c r="C779" s="4" t="s">
        <v>40</v>
      </c>
      <c r="D779" s="4" t="str">
        <f>VLOOKUP(C779,Países!$A$1:$B$186,2,TRUE)</f>
        <v>Europe</v>
      </c>
      <c r="E779" s="4" t="s">
        <v>16</v>
      </c>
      <c r="F779" s="4" t="str">
        <f>VLOOKUP(E779,Productos!$A$2:$D$13,2,TRUE)</f>
        <v>botella 5l</v>
      </c>
      <c r="G779" s="4">
        <f>VLOOKUP(E779,Productos!$A$2:$D$13,3,TRUE)</f>
        <v>6</v>
      </c>
      <c r="H779" s="4">
        <f>VLOOKUP(E779,Productos!$A$2:$D$13,4,TRUE)</f>
        <v>9</v>
      </c>
      <c r="I779" s="4" t="s">
        <v>10</v>
      </c>
      <c r="J779" s="4">
        <v>102</v>
      </c>
      <c r="K779" s="7">
        <v>42263</v>
      </c>
    </row>
    <row r="780" spans="1:11" x14ac:dyDescent="0.25">
      <c r="A780" s="4">
        <v>24040</v>
      </c>
      <c r="B780" s="4" t="s">
        <v>963</v>
      </c>
      <c r="C780" s="4" t="s">
        <v>196</v>
      </c>
      <c r="D780" s="4" t="str">
        <f>VLOOKUP(C780,Países!$A$1:$B$186,2,TRUE)</f>
        <v>Europe</v>
      </c>
      <c r="E780" s="4" t="s">
        <v>34</v>
      </c>
      <c r="F780" s="4" t="str">
        <f>VLOOKUP(E780,Productos!$A$2:$D$13,2,TRUE)</f>
        <v>garrafa 3l</v>
      </c>
      <c r="G780" s="4">
        <f>VLOOKUP(E780,Productos!$A$2:$D$13,3,TRUE)</f>
        <v>3.5</v>
      </c>
      <c r="H780" s="4">
        <f>VLOOKUP(E780,Productos!$A$2:$D$13,4,TRUE)</f>
        <v>6.99</v>
      </c>
      <c r="I780" s="4" t="s">
        <v>10</v>
      </c>
      <c r="J780" s="4">
        <v>155</v>
      </c>
      <c r="K780" s="7">
        <v>42318</v>
      </c>
    </row>
    <row r="781" spans="1:11" x14ac:dyDescent="0.25">
      <c r="A781" s="4">
        <v>24041</v>
      </c>
      <c r="B781" s="4" t="s">
        <v>964</v>
      </c>
      <c r="C781" s="4" t="s">
        <v>329</v>
      </c>
      <c r="D781" s="4" t="str">
        <f>VLOOKUP(C781,Países!$A$1:$B$186,2,TRUE)</f>
        <v>Central America and the Caribbean</v>
      </c>
      <c r="E781" s="4" t="s">
        <v>46</v>
      </c>
      <c r="F781" s="4" t="str">
        <f>VLOOKUP(E781,Productos!$A$2:$D$13,2,TRUE)</f>
        <v>botellín 500cc</v>
      </c>
      <c r="G781" s="4">
        <f>VLOOKUP(E781,Productos!$A$2:$D$13,3,TRUE)</f>
        <v>3.5</v>
      </c>
      <c r="H781" s="4">
        <f>VLOOKUP(E781,Productos!$A$2:$D$13,4,TRUE)</f>
        <v>6.5</v>
      </c>
      <c r="I781" s="4" t="s">
        <v>17</v>
      </c>
      <c r="J781" s="4">
        <v>35</v>
      </c>
      <c r="K781" s="7">
        <v>42365</v>
      </c>
    </row>
    <row r="782" spans="1:11" x14ac:dyDescent="0.25">
      <c r="A782" s="4">
        <v>24042</v>
      </c>
      <c r="B782" s="4" t="s">
        <v>965</v>
      </c>
      <c r="C782" s="4" t="s">
        <v>390</v>
      </c>
      <c r="D782" s="4" t="str">
        <f>VLOOKUP(C782,Países!$A$1:$B$186,2,TRUE)</f>
        <v>Australia and Oceania</v>
      </c>
      <c r="E782" s="4" t="s">
        <v>23</v>
      </c>
      <c r="F782" s="4" t="str">
        <f>VLOOKUP(E782,Productos!$A$2:$D$13,2,TRUE)</f>
        <v>botellín 400cc</v>
      </c>
      <c r="G782" s="4">
        <f>VLOOKUP(E782,Productos!$A$2:$D$13,3,TRUE)</f>
        <v>2.2999999999999998</v>
      </c>
      <c r="H782" s="4">
        <f>VLOOKUP(E782,Productos!$A$2:$D$13,4,TRUE)</f>
        <v>4.5</v>
      </c>
      <c r="I782" s="4" t="s">
        <v>10</v>
      </c>
      <c r="J782" s="4">
        <v>170</v>
      </c>
      <c r="K782" s="7">
        <v>42318</v>
      </c>
    </row>
    <row r="783" spans="1:11" x14ac:dyDescent="0.25">
      <c r="A783" s="4">
        <v>24043</v>
      </c>
      <c r="B783" s="4" t="s">
        <v>966</v>
      </c>
      <c r="C783" s="4" t="s">
        <v>129</v>
      </c>
      <c r="D783" s="4" t="str">
        <f>VLOOKUP(C783,Países!$A$1:$B$186,2,TRUE)</f>
        <v>Central America and the Caribbean</v>
      </c>
      <c r="E783" s="4" t="s">
        <v>9</v>
      </c>
      <c r="F783" s="4" t="str">
        <f>VLOOKUP(E783,Productos!$A$2:$D$13,2,TRUE)</f>
        <v>garrafa 1l</v>
      </c>
      <c r="G783" s="4">
        <f>VLOOKUP(E783,Productos!$A$2:$D$13,3,TRUE)</f>
        <v>1</v>
      </c>
      <c r="H783" s="4">
        <f>VLOOKUP(E783,Productos!$A$2:$D$13,4,TRUE)</f>
        <v>2</v>
      </c>
      <c r="I783" s="4" t="s">
        <v>17</v>
      </c>
      <c r="J783" s="4">
        <v>42</v>
      </c>
      <c r="K783" s="7">
        <v>42346</v>
      </c>
    </row>
    <row r="784" spans="1:11" x14ac:dyDescent="0.25">
      <c r="A784" s="4">
        <v>24044</v>
      </c>
      <c r="B784" s="4" t="s">
        <v>967</v>
      </c>
      <c r="C784" s="4" t="s">
        <v>83</v>
      </c>
      <c r="D784" s="4" t="str">
        <f>VLOOKUP(C784,Países!$A$1:$B$186,2,TRUE)</f>
        <v>Sub-Saharan Africa</v>
      </c>
      <c r="E784" s="4" t="s">
        <v>23</v>
      </c>
      <c r="F784" s="4" t="str">
        <f>VLOOKUP(E784,Productos!$A$2:$D$13,2,TRUE)</f>
        <v>botellín 400cc</v>
      </c>
      <c r="G784" s="4">
        <f>VLOOKUP(E784,Productos!$A$2:$D$13,3,TRUE)</f>
        <v>2.2999999999999998</v>
      </c>
      <c r="H784" s="4">
        <f>VLOOKUP(E784,Productos!$A$2:$D$13,4,TRUE)</f>
        <v>4.5</v>
      </c>
      <c r="I784" s="4" t="s">
        <v>10</v>
      </c>
      <c r="J784" s="4">
        <v>82</v>
      </c>
      <c r="K784" s="7">
        <v>42278</v>
      </c>
    </row>
    <row r="785" spans="1:11" x14ac:dyDescent="0.25">
      <c r="A785" s="4">
        <v>24045</v>
      </c>
      <c r="B785" s="4" t="s">
        <v>968</v>
      </c>
      <c r="C785" s="4" t="s">
        <v>40</v>
      </c>
      <c r="D785" s="4" t="str">
        <f>VLOOKUP(C785,Países!$A$1:$B$186,2,TRUE)</f>
        <v>Europe</v>
      </c>
      <c r="E785" s="4" t="s">
        <v>16</v>
      </c>
      <c r="F785" s="4" t="str">
        <f>VLOOKUP(E785,Productos!$A$2:$D$13,2,TRUE)</f>
        <v>botella 5l</v>
      </c>
      <c r="G785" s="4">
        <f>VLOOKUP(E785,Productos!$A$2:$D$13,3,TRUE)</f>
        <v>6</v>
      </c>
      <c r="H785" s="4">
        <f>VLOOKUP(E785,Productos!$A$2:$D$13,4,TRUE)</f>
        <v>9</v>
      </c>
      <c r="I785" s="4" t="s">
        <v>10</v>
      </c>
      <c r="J785" s="4">
        <v>3</v>
      </c>
      <c r="K785" s="7">
        <v>42321</v>
      </c>
    </row>
    <row r="786" spans="1:11" x14ac:dyDescent="0.25">
      <c r="A786" s="4">
        <v>24046</v>
      </c>
      <c r="B786" s="4" t="s">
        <v>660</v>
      </c>
      <c r="C786" s="4" t="s">
        <v>28</v>
      </c>
      <c r="D786" s="4" t="str">
        <f>VLOOKUP(C786,Países!$A$1:$B$186,2,TRUE)</f>
        <v>Central America and the Caribbean</v>
      </c>
      <c r="E786" s="4" t="s">
        <v>46</v>
      </c>
      <c r="F786" s="4" t="str">
        <f>VLOOKUP(E786,Productos!$A$2:$D$13,2,TRUE)</f>
        <v>botellín 500cc</v>
      </c>
      <c r="G786" s="4">
        <f>VLOOKUP(E786,Productos!$A$2:$D$13,3,TRUE)</f>
        <v>3.5</v>
      </c>
      <c r="H786" s="4">
        <f>VLOOKUP(E786,Productos!$A$2:$D$13,4,TRUE)</f>
        <v>6.5</v>
      </c>
      <c r="I786" s="4" t="s">
        <v>17</v>
      </c>
      <c r="J786" s="4">
        <v>68</v>
      </c>
      <c r="K786" s="7">
        <v>42315</v>
      </c>
    </row>
    <row r="787" spans="1:11" x14ac:dyDescent="0.25">
      <c r="A787" s="4">
        <v>24047</v>
      </c>
      <c r="B787" s="4" t="s">
        <v>969</v>
      </c>
      <c r="C787" s="4" t="s">
        <v>65</v>
      </c>
      <c r="D787" s="4" t="str">
        <f>VLOOKUP(C787,Países!$A$1:$B$186,2,TRUE)</f>
        <v>Australia and Oceania</v>
      </c>
      <c r="E787" s="4" t="s">
        <v>20</v>
      </c>
      <c r="F787" s="4" t="str">
        <f>VLOOKUP(E787,Productos!$A$2:$D$13,2,TRUE)</f>
        <v>garrafa 4l</v>
      </c>
      <c r="G787" s="4">
        <f>VLOOKUP(E787,Productos!$A$2:$D$13,3,TRUE)</f>
        <v>5</v>
      </c>
      <c r="H787" s="4">
        <f>VLOOKUP(E787,Productos!$A$2:$D$13,4,TRUE)</f>
        <v>9.99</v>
      </c>
      <c r="I787" s="4" t="s">
        <v>10</v>
      </c>
      <c r="J787" s="4">
        <v>58</v>
      </c>
      <c r="K787" s="7">
        <v>42299</v>
      </c>
    </row>
    <row r="788" spans="1:11" x14ac:dyDescent="0.25">
      <c r="A788" s="4">
        <v>24048</v>
      </c>
      <c r="B788" s="4" t="s">
        <v>955</v>
      </c>
      <c r="C788" s="4" t="s">
        <v>25</v>
      </c>
      <c r="D788" s="4" t="str">
        <f>VLOOKUP(C788,Países!$A$1:$B$186,2,TRUE)</f>
        <v>Middle East and North Africa</v>
      </c>
      <c r="E788" s="4" t="s">
        <v>13</v>
      </c>
      <c r="F788" s="4" t="str">
        <f>VLOOKUP(E788,Productos!$A$2:$D$13,2,TRUE)</f>
        <v>botella 1l</v>
      </c>
      <c r="G788" s="4">
        <f>VLOOKUP(E788,Productos!$A$2:$D$13,3,TRUE)</f>
        <v>3.5</v>
      </c>
      <c r="H788" s="4">
        <f>VLOOKUP(E788,Productos!$A$2:$D$13,4,TRUE)</f>
        <v>6.5</v>
      </c>
      <c r="I788" s="4" t="s">
        <v>10</v>
      </c>
      <c r="J788" s="4">
        <v>178</v>
      </c>
      <c r="K788" s="7">
        <v>42268</v>
      </c>
    </row>
    <row r="789" spans="1:11" x14ac:dyDescent="0.25">
      <c r="A789" s="4">
        <v>24049</v>
      </c>
      <c r="B789" s="4" t="s">
        <v>970</v>
      </c>
      <c r="C789" s="4" t="s">
        <v>196</v>
      </c>
      <c r="D789" s="4" t="str">
        <f>VLOOKUP(C789,Países!$A$1:$B$186,2,TRUE)</f>
        <v>Europe</v>
      </c>
      <c r="E789" s="4" t="s">
        <v>29</v>
      </c>
      <c r="F789" s="4" t="str">
        <f>VLOOKUP(E789,Productos!$A$2:$D$13,2,TRUE)</f>
        <v>botella 0.5l</v>
      </c>
      <c r="G789" s="4">
        <f>VLOOKUP(E789,Productos!$A$2:$D$13,3,TRUE)</f>
        <v>3</v>
      </c>
      <c r="H789" s="4">
        <f>VLOOKUP(E789,Productos!$A$2:$D$13,4,TRUE)</f>
        <v>6</v>
      </c>
      <c r="I789" s="4" t="s">
        <v>10</v>
      </c>
      <c r="J789" s="4">
        <v>156</v>
      </c>
      <c r="K789" s="7">
        <v>42345</v>
      </c>
    </row>
    <row r="790" spans="1:11" x14ac:dyDescent="0.25">
      <c r="A790" s="4">
        <v>24050</v>
      </c>
      <c r="B790" s="4" t="s">
        <v>971</v>
      </c>
      <c r="C790" s="4" t="s">
        <v>606</v>
      </c>
      <c r="D790" s="4" t="str">
        <f>VLOOKUP(C790,Países!$A$1:$B$186,2,TRUE)</f>
        <v>Australia and Oceania</v>
      </c>
      <c r="E790" s="4" t="s">
        <v>58</v>
      </c>
      <c r="F790" s="4" t="str">
        <f>VLOOKUP(E790,Productos!$A$2:$D$13,2,TRUE)</f>
        <v>garrafa 2l</v>
      </c>
      <c r="G790" s="4">
        <f>VLOOKUP(E790,Productos!$A$2:$D$13,3,TRUE)</f>
        <v>2.5</v>
      </c>
      <c r="H790" s="4">
        <f>VLOOKUP(E790,Productos!$A$2:$D$13,4,TRUE)</f>
        <v>4.5</v>
      </c>
      <c r="I790" s="4" t="s">
        <v>17</v>
      </c>
      <c r="J790" s="4">
        <v>147</v>
      </c>
      <c r="K790" s="7">
        <v>42355</v>
      </c>
    </row>
    <row r="791" spans="1:11" x14ac:dyDescent="0.25">
      <c r="A791" s="4">
        <v>24051</v>
      </c>
      <c r="B791" s="4" t="s">
        <v>972</v>
      </c>
      <c r="C791" s="4" t="s">
        <v>228</v>
      </c>
      <c r="D791" s="4" t="str">
        <f>VLOOKUP(C791,Países!$A$1:$B$186,2,TRUE)</f>
        <v>Europe</v>
      </c>
      <c r="E791" s="4" t="s">
        <v>9</v>
      </c>
      <c r="F791" s="4" t="str">
        <f>VLOOKUP(E791,Productos!$A$2:$D$13,2,TRUE)</f>
        <v>garrafa 1l</v>
      </c>
      <c r="G791" s="4">
        <f>VLOOKUP(E791,Productos!$A$2:$D$13,3,TRUE)</f>
        <v>1</v>
      </c>
      <c r="H791" s="4">
        <f>VLOOKUP(E791,Productos!$A$2:$D$13,4,TRUE)</f>
        <v>2</v>
      </c>
      <c r="I791" s="4" t="s">
        <v>17</v>
      </c>
      <c r="J791" s="4">
        <v>74</v>
      </c>
      <c r="K791" s="7">
        <v>42315</v>
      </c>
    </row>
    <row r="792" spans="1:11" x14ac:dyDescent="0.25">
      <c r="A792" s="4">
        <v>24052</v>
      </c>
      <c r="B792" s="4" t="s">
        <v>973</v>
      </c>
      <c r="C792" s="4" t="s">
        <v>401</v>
      </c>
      <c r="D792" s="4" t="str">
        <f>VLOOKUP(C792,Países!$A$1:$B$186,2,TRUE)</f>
        <v>Sub-Saharan Africa</v>
      </c>
      <c r="E792" s="4" t="s">
        <v>9</v>
      </c>
      <c r="F792" s="4" t="str">
        <f>VLOOKUP(E792,Productos!$A$2:$D$13,2,TRUE)</f>
        <v>garrafa 1l</v>
      </c>
      <c r="G792" s="4">
        <f>VLOOKUP(E792,Productos!$A$2:$D$13,3,TRUE)</f>
        <v>1</v>
      </c>
      <c r="H792" s="4">
        <f>VLOOKUP(E792,Productos!$A$2:$D$13,4,TRUE)</f>
        <v>2</v>
      </c>
      <c r="I792" s="4" t="s">
        <v>59</v>
      </c>
      <c r="J792" s="4">
        <v>189</v>
      </c>
      <c r="K792" s="7">
        <v>42318</v>
      </c>
    </row>
    <row r="793" spans="1:11" x14ac:dyDescent="0.25">
      <c r="A793" s="4">
        <v>24053</v>
      </c>
      <c r="B793" s="4" t="s">
        <v>974</v>
      </c>
      <c r="C793" s="4" t="s">
        <v>384</v>
      </c>
      <c r="D793" s="4" t="str">
        <f>VLOOKUP(C793,Países!$A$1:$B$186,2,TRUE)</f>
        <v>North America</v>
      </c>
      <c r="E793" s="4" t="s">
        <v>23</v>
      </c>
      <c r="F793" s="4" t="str">
        <f>VLOOKUP(E793,Productos!$A$2:$D$13,2,TRUE)</f>
        <v>botellín 400cc</v>
      </c>
      <c r="G793" s="4">
        <f>VLOOKUP(E793,Productos!$A$2:$D$13,3,TRUE)</f>
        <v>2.2999999999999998</v>
      </c>
      <c r="H793" s="4">
        <f>VLOOKUP(E793,Productos!$A$2:$D$13,4,TRUE)</f>
        <v>4.5</v>
      </c>
      <c r="I793" s="4" t="s">
        <v>17</v>
      </c>
      <c r="J793" s="4">
        <v>104</v>
      </c>
      <c r="K793" s="7">
        <v>42340</v>
      </c>
    </row>
    <row r="794" spans="1:11" x14ac:dyDescent="0.25">
      <c r="A794" s="4">
        <v>24054</v>
      </c>
      <c r="B794" s="4" t="s">
        <v>975</v>
      </c>
      <c r="C794" s="4" t="s">
        <v>119</v>
      </c>
      <c r="D794" s="4" t="str">
        <f>VLOOKUP(C794,Países!$A$1:$B$186,2,TRUE)</f>
        <v>Sub-Saharan Africa</v>
      </c>
      <c r="E794" s="4" t="s">
        <v>20</v>
      </c>
      <c r="F794" s="4" t="str">
        <f>VLOOKUP(E794,Productos!$A$2:$D$13,2,TRUE)</f>
        <v>garrafa 4l</v>
      </c>
      <c r="G794" s="4">
        <f>VLOOKUP(E794,Productos!$A$2:$D$13,3,TRUE)</f>
        <v>5</v>
      </c>
      <c r="H794" s="4">
        <f>VLOOKUP(E794,Productos!$A$2:$D$13,4,TRUE)</f>
        <v>9.99</v>
      </c>
      <c r="I794" s="4" t="s">
        <v>10</v>
      </c>
      <c r="J794" s="4">
        <v>56</v>
      </c>
      <c r="K794" s="7">
        <v>42344</v>
      </c>
    </row>
    <row r="795" spans="1:11" x14ac:dyDescent="0.25">
      <c r="A795" s="4">
        <v>24055</v>
      </c>
      <c r="B795" s="4" t="s">
        <v>976</v>
      </c>
      <c r="C795" s="4" t="s">
        <v>114</v>
      </c>
      <c r="D795" s="4" t="str">
        <f>VLOOKUP(C795,Países!$A$1:$B$186,2,TRUE)</f>
        <v>Sub-Saharan Africa</v>
      </c>
      <c r="E795" s="4" t="s">
        <v>13</v>
      </c>
      <c r="F795" s="4" t="str">
        <f>VLOOKUP(E795,Productos!$A$2:$D$13,2,TRUE)</f>
        <v>botella 1l</v>
      </c>
      <c r="G795" s="4">
        <f>VLOOKUP(E795,Productos!$A$2:$D$13,3,TRUE)</f>
        <v>3.5</v>
      </c>
      <c r="H795" s="4">
        <f>VLOOKUP(E795,Productos!$A$2:$D$13,4,TRUE)</f>
        <v>6.5</v>
      </c>
      <c r="I795" s="4" t="s">
        <v>59</v>
      </c>
      <c r="J795" s="4">
        <v>33</v>
      </c>
      <c r="K795" s="7">
        <v>42282</v>
      </c>
    </row>
    <row r="796" spans="1:11" x14ac:dyDescent="0.25">
      <c r="A796" s="4">
        <v>24056</v>
      </c>
      <c r="B796" s="4" t="s">
        <v>977</v>
      </c>
      <c r="C796" s="4" t="s">
        <v>442</v>
      </c>
      <c r="D796" s="4" t="str">
        <f>VLOOKUP(C796,Países!$A$1:$B$186,2,TRUE)</f>
        <v>Asia</v>
      </c>
      <c r="E796" s="4" t="s">
        <v>34</v>
      </c>
      <c r="F796" s="4" t="str">
        <f>VLOOKUP(E796,Productos!$A$2:$D$13,2,TRUE)</f>
        <v>garrafa 3l</v>
      </c>
      <c r="G796" s="4">
        <f>VLOOKUP(E796,Productos!$A$2:$D$13,3,TRUE)</f>
        <v>3.5</v>
      </c>
      <c r="H796" s="4">
        <f>VLOOKUP(E796,Productos!$A$2:$D$13,4,TRUE)</f>
        <v>6.99</v>
      </c>
      <c r="I796" s="4" t="s">
        <v>17</v>
      </c>
      <c r="J796" s="4">
        <v>204</v>
      </c>
      <c r="K796" s="7">
        <v>42307</v>
      </c>
    </row>
    <row r="797" spans="1:11" x14ac:dyDescent="0.25">
      <c r="A797" s="4">
        <v>24057</v>
      </c>
      <c r="B797" s="4" t="s">
        <v>978</v>
      </c>
      <c r="C797" s="4" t="s">
        <v>217</v>
      </c>
      <c r="D797" s="4" t="str">
        <f>VLOOKUP(C797,Países!$A$1:$B$186,2,TRUE)</f>
        <v>Europe</v>
      </c>
      <c r="E797" s="4" t="s">
        <v>9</v>
      </c>
      <c r="F797" s="4" t="str">
        <f>VLOOKUP(E797,Productos!$A$2:$D$13,2,TRUE)</f>
        <v>garrafa 1l</v>
      </c>
      <c r="G797" s="4">
        <f>VLOOKUP(E797,Productos!$A$2:$D$13,3,TRUE)</f>
        <v>1</v>
      </c>
      <c r="H797" s="4">
        <f>VLOOKUP(E797,Productos!$A$2:$D$13,4,TRUE)</f>
        <v>2</v>
      </c>
      <c r="I797" s="4" t="s">
        <v>17</v>
      </c>
      <c r="J797" s="4">
        <v>5</v>
      </c>
      <c r="K797" s="7">
        <v>42359</v>
      </c>
    </row>
    <row r="798" spans="1:11" x14ac:dyDescent="0.25">
      <c r="A798" s="4">
        <v>24058</v>
      </c>
      <c r="B798" s="4" t="s">
        <v>979</v>
      </c>
      <c r="C798" s="4" t="s">
        <v>48</v>
      </c>
      <c r="D798" s="4" t="str">
        <f>VLOOKUP(C798,Países!$A$1:$B$186,2,TRUE)</f>
        <v>Middle East and North Africa</v>
      </c>
      <c r="E798" s="4" t="s">
        <v>23</v>
      </c>
      <c r="F798" s="4" t="str">
        <f>VLOOKUP(E798,Productos!$A$2:$D$13,2,TRUE)</f>
        <v>botellín 400cc</v>
      </c>
      <c r="G798" s="4">
        <f>VLOOKUP(E798,Productos!$A$2:$D$13,3,TRUE)</f>
        <v>2.2999999999999998</v>
      </c>
      <c r="H798" s="4">
        <f>VLOOKUP(E798,Productos!$A$2:$D$13,4,TRUE)</f>
        <v>4.5</v>
      </c>
      <c r="I798" s="4" t="s">
        <v>59</v>
      </c>
      <c r="J798" s="4">
        <v>199</v>
      </c>
      <c r="K798" s="7">
        <v>42349</v>
      </c>
    </row>
    <row r="799" spans="1:11" x14ac:dyDescent="0.25">
      <c r="A799" s="4">
        <v>24059</v>
      </c>
      <c r="B799" s="4" t="s">
        <v>980</v>
      </c>
      <c r="C799" s="4" t="s">
        <v>412</v>
      </c>
      <c r="D799" s="4" t="str">
        <f>VLOOKUP(C799,Países!$A$1:$B$186,2,TRUE)</f>
        <v>Central America and the Caribbean</v>
      </c>
      <c r="E799" s="4" t="s">
        <v>9</v>
      </c>
      <c r="F799" s="4" t="str">
        <f>VLOOKUP(E799,Productos!$A$2:$D$13,2,TRUE)</f>
        <v>garrafa 1l</v>
      </c>
      <c r="G799" s="4">
        <f>VLOOKUP(E799,Productos!$A$2:$D$13,3,TRUE)</f>
        <v>1</v>
      </c>
      <c r="H799" s="4">
        <f>VLOOKUP(E799,Productos!$A$2:$D$13,4,TRUE)</f>
        <v>2</v>
      </c>
      <c r="I799" s="4" t="s">
        <v>10</v>
      </c>
      <c r="J799" s="4">
        <v>129</v>
      </c>
      <c r="K799" s="7">
        <v>42346</v>
      </c>
    </row>
    <row r="800" spans="1:11" x14ac:dyDescent="0.25">
      <c r="A800" s="4">
        <v>24060</v>
      </c>
      <c r="B800" s="4" t="s">
        <v>981</v>
      </c>
      <c r="C800" s="4" t="s">
        <v>178</v>
      </c>
      <c r="D800" s="4" t="str">
        <f>VLOOKUP(C800,Países!$A$1:$B$186,2,TRUE)</f>
        <v>Sub-Saharan Africa</v>
      </c>
      <c r="E800" s="4" t="s">
        <v>26</v>
      </c>
      <c r="F800" s="4" t="str">
        <f>VLOOKUP(E800,Productos!$A$2:$D$13,2,TRUE)</f>
        <v>botellín 200cc</v>
      </c>
      <c r="G800" s="4">
        <f>VLOOKUP(E800,Productos!$A$2:$D$13,3,TRUE)</f>
        <v>1.5</v>
      </c>
      <c r="H800" s="4">
        <f>VLOOKUP(E800,Productos!$A$2:$D$13,4,TRUE)</f>
        <v>3</v>
      </c>
      <c r="I800" s="4" t="s">
        <v>10</v>
      </c>
      <c r="J800" s="4">
        <v>14</v>
      </c>
      <c r="K800" s="7">
        <v>42239</v>
      </c>
    </row>
    <row r="801" spans="1:11" x14ac:dyDescent="0.25">
      <c r="A801" s="4">
        <v>24061</v>
      </c>
      <c r="B801" s="4" t="s">
        <v>982</v>
      </c>
      <c r="C801" s="4" t="s">
        <v>136</v>
      </c>
      <c r="D801" s="4" t="str">
        <f>VLOOKUP(C801,Países!$A$1:$B$186,2,TRUE)</f>
        <v>Asia</v>
      </c>
      <c r="E801" s="4" t="s">
        <v>13</v>
      </c>
      <c r="F801" s="4" t="str">
        <f>VLOOKUP(E801,Productos!$A$2:$D$13,2,TRUE)</f>
        <v>botella 1l</v>
      </c>
      <c r="G801" s="4">
        <f>VLOOKUP(E801,Productos!$A$2:$D$13,3,TRUE)</f>
        <v>3.5</v>
      </c>
      <c r="H801" s="4">
        <f>VLOOKUP(E801,Productos!$A$2:$D$13,4,TRUE)</f>
        <v>6.5</v>
      </c>
      <c r="I801" s="4" t="s">
        <v>10</v>
      </c>
      <c r="J801" s="4">
        <v>91</v>
      </c>
      <c r="K801" s="7">
        <v>42216</v>
      </c>
    </row>
    <row r="802" spans="1:11" x14ac:dyDescent="0.25">
      <c r="A802" s="4">
        <v>24062</v>
      </c>
      <c r="B802" s="4" t="s">
        <v>983</v>
      </c>
      <c r="C802" s="4" t="s">
        <v>316</v>
      </c>
      <c r="D802" s="4" t="str">
        <f>VLOOKUP(C802,Países!$A$1:$B$186,2,TRUE)</f>
        <v>Australia and Oceania</v>
      </c>
      <c r="E802" s="4" t="s">
        <v>51</v>
      </c>
      <c r="F802" s="4" t="str">
        <f>VLOOKUP(E802,Productos!$A$2:$D$13,2,TRUE)</f>
        <v>garrafa 8l</v>
      </c>
      <c r="G802" s="4">
        <f>VLOOKUP(E802,Productos!$A$2:$D$13,3,TRUE)</f>
        <v>8</v>
      </c>
      <c r="H802" s="4">
        <f>VLOOKUP(E802,Productos!$A$2:$D$13,4,TRUE)</f>
        <v>14.5</v>
      </c>
      <c r="I802" s="4" t="s">
        <v>10</v>
      </c>
      <c r="J802" s="4">
        <v>43</v>
      </c>
      <c r="K802" s="7">
        <v>42054</v>
      </c>
    </row>
    <row r="803" spans="1:11" x14ac:dyDescent="0.25">
      <c r="A803" s="4">
        <v>24063</v>
      </c>
      <c r="B803" s="4" t="s">
        <v>984</v>
      </c>
      <c r="C803" s="4" t="s">
        <v>121</v>
      </c>
      <c r="D803" s="4" t="str">
        <f>VLOOKUP(C803,Países!$A$1:$B$186,2,TRUE)</f>
        <v>Europe</v>
      </c>
      <c r="E803" s="4" t="s">
        <v>16</v>
      </c>
      <c r="F803" s="4" t="str">
        <f>VLOOKUP(E803,Productos!$A$2:$D$13,2,TRUE)</f>
        <v>botella 5l</v>
      </c>
      <c r="G803" s="4">
        <f>VLOOKUP(E803,Productos!$A$2:$D$13,3,TRUE)</f>
        <v>6</v>
      </c>
      <c r="H803" s="4">
        <f>VLOOKUP(E803,Productos!$A$2:$D$13,4,TRUE)</f>
        <v>9</v>
      </c>
      <c r="I803" s="4" t="s">
        <v>17</v>
      </c>
      <c r="J803" s="4">
        <v>140</v>
      </c>
      <c r="K803" s="7">
        <v>42122</v>
      </c>
    </row>
    <row r="804" spans="1:11" x14ac:dyDescent="0.25">
      <c r="A804" s="4">
        <v>24064</v>
      </c>
      <c r="B804" s="4" t="s">
        <v>985</v>
      </c>
      <c r="C804" s="4" t="s">
        <v>246</v>
      </c>
      <c r="D804" s="4" t="str">
        <f>VLOOKUP(C804,Países!$A$1:$B$186,2,TRUE)</f>
        <v>Europe</v>
      </c>
      <c r="E804" s="4" t="s">
        <v>9</v>
      </c>
      <c r="F804" s="4" t="str">
        <f>VLOOKUP(E804,Productos!$A$2:$D$13,2,TRUE)</f>
        <v>garrafa 1l</v>
      </c>
      <c r="G804" s="4">
        <f>VLOOKUP(E804,Productos!$A$2:$D$13,3,TRUE)</f>
        <v>1</v>
      </c>
      <c r="H804" s="4">
        <f>VLOOKUP(E804,Productos!$A$2:$D$13,4,TRUE)</f>
        <v>2</v>
      </c>
      <c r="I804" s="4" t="s">
        <v>10</v>
      </c>
      <c r="J804" s="4">
        <v>38</v>
      </c>
      <c r="K804" s="7">
        <v>42102</v>
      </c>
    </row>
    <row r="805" spans="1:11" x14ac:dyDescent="0.25">
      <c r="A805" s="4">
        <v>24065</v>
      </c>
      <c r="B805" s="4" t="s">
        <v>986</v>
      </c>
      <c r="C805" s="4" t="s">
        <v>244</v>
      </c>
      <c r="D805" s="4" t="str">
        <f>VLOOKUP(C805,Países!$A$1:$B$186,2,TRUE)</f>
        <v>Europe</v>
      </c>
      <c r="E805" s="4" t="s">
        <v>23</v>
      </c>
      <c r="F805" s="4" t="str">
        <f>VLOOKUP(E805,Productos!$A$2:$D$13,2,TRUE)</f>
        <v>botellín 400cc</v>
      </c>
      <c r="G805" s="4">
        <f>VLOOKUP(E805,Productos!$A$2:$D$13,3,TRUE)</f>
        <v>2.2999999999999998</v>
      </c>
      <c r="H805" s="4">
        <f>VLOOKUP(E805,Productos!$A$2:$D$13,4,TRUE)</f>
        <v>4.5</v>
      </c>
      <c r="I805" s="4" t="s">
        <v>17</v>
      </c>
      <c r="J805" s="4">
        <v>57</v>
      </c>
      <c r="K805" s="7">
        <v>42045</v>
      </c>
    </row>
    <row r="806" spans="1:11" x14ac:dyDescent="0.25">
      <c r="A806" s="4">
        <v>24066</v>
      </c>
      <c r="B806" s="4" t="s">
        <v>987</v>
      </c>
      <c r="C806" s="4" t="s">
        <v>842</v>
      </c>
      <c r="D806" s="4" t="str">
        <f>VLOOKUP(C806,Países!$A$1:$B$186,2,TRUE)</f>
        <v>Asia</v>
      </c>
      <c r="E806" s="4" t="s">
        <v>34</v>
      </c>
      <c r="F806" s="4" t="str">
        <f>VLOOKUP(E806,Productos!$A$2:$D$13,2,TRUE)</f>
        <v>garrafa 3l</v>
      </c>
      <c r="G806" s="4">
        <f>VLOOKUP(E806,Productos!$A$2:$D$13,3,TRUE)</f>
        <v>3.5</v>
      </c>
      <c r="H806" s="4">
        <f>VLOOKUP(E806,Productos!$A$2:$D$13,4,TRUE)</f>
        <v>6.99</v>
      </c>
      <c r="I806" s="4" t="s">
        <v>10</v>
      </c>
      <c r="J806" s="4">
        <v>34</v>
      </c>
      <c r="K806" s="7">
        <v>42155</v>
      </c>
    </row>
    <row r="807" spans="1:11" x14ac:dyDescent="0.25">
      <c r="A807" s="4">
        <v>24067</v>
      </c>
      <c r="B807" s="4" t="s">
        <v>988</v>
      </c>
      <c r="C807" s="4" t="s">
        <v>57</v>
      </c>
      <c r="D807" s="4" t="str">
        <f>VLOOKUP(C807,Países!$A$1:$B$186,2,TRUE)</f>
        <v>Sub-Saharan Africa</v>
      </c>
      <c r="E807" s="4" t="s">
        <v>23</v>
      </c>
      <c r="F807" s="4" t="str">
        <f>VLOOKUP(E807,Productos!$A$2:$D$13,2,TRUE)</f>
        <v>botellín 400cc</v>
      </c>
      <c r="G807" s="4">
        <f>VLOOKUP(E807,Productos!$A$2:$D$13,3,TRUE)</f>
        <v>2.2999999999999998</v>
      </c>
      <c r="H807" s="4">
        <f>VLOOKUP(E807,Productos!$A$2:$D$13,4,TRUE)</f>
        <v>4.5</v>
      </c>
      <c r="I807" s="4" t="s">
        <v>10</v>
      </c>
      <c r="J807" s="4">
        <v>4</v>
      </c>
      <c r="K807" s="7">
        <v>42015</v>
      </c>
    </row>
    <row r="808" spans="1:11" x14ac:dyDescent="0.25">
      <c r="A808" s="4">
        <v>24068</v>
      </c>
      <c r="B808" s="4" t="s">
        <v>989</v>
      </c>
      <c r="C808" s="4" t="s">
        <v>990</v>
      </c>
      <c r="D808" s="4" t="str">
        <f>VLOOKUP(C808,Países!$A$1:$B$186,2,TRUE)</f>
        <v>Europe</v>
      </c>
      <c r="E808" s="4" t="s">
        <v>13</v>
      </c>
      <c r="F808" s="4" t="str">
        <f>VLOOKUP(E808,Productos!$A$2:$D$13,2,TRUE)</f>
        <v>botella 1l</v>
      </c>
      <c r="G808" s="4">
        <f>VLOOKUP(E808,Productos!$A$2:$D$13,3,TRUE)</f>
        <v>3.5</v>
      </c>
      <c r="H808" s="4">
        <f>VLOOKUP(E808,Productos!$A$2:$D$13,4,TRUE)</f>
        <v>6.5</v>
      </c>
      <c r="I808" s="4" t="s">
        <v>17</v>
      </c>
      <c r="J808" s="4">
        <v>208</v>
      </c>
      <c r="K808" s="7">
        <v>42165</v>
      </c>
    </row>
    <row r="809" spans="1:11" x14ac:dyDescent="0.25">
      <c r="A809" s="4">
        <v>24069</v>
      </c>
      <c r="B809" s="4" t="s">
        <v>991</v>
      </c>
      <c r="C809" s="4" t="s">
        <v>69</v>
      </c>
      <c r="D809" s="4" t="str">
        <f>VLOOKUP(C809,Países!$A$1:$B$186,2,TRUE)</f>
        <v>Middle East and North Africa</v>
      </c>
      <c r="E809" s="4" t="s">
        <v>26</v>
      </c>
      <c r="F809" s="4" t="str">
        <f>VLOOKUP(E809,Productos!$A$2:$D$13,2,TRUE)</f>
        <v>botellín 200cc</v>
      </c>
      <c r="G809" s="4">
        <f>VLOOKUP(E809,Productos!$A$2:$D$13,3,TRUE)</f>
        <v>1.5</v>
      </c>
      <c r="H809" s="4">
        <f>VLOOKUP(E809,Productos!$A$2:$D$13,4,TRUE)</f>
        <v>3</v>
      </c>
      <c r="I809" s="4" t="s">
        <v>17</v>
      </c>
      <c r="J809" s="4">
        <v>132</v>
      </c>
      <c r="K809" s="7">
        <v>42152</v>
      </c>
    </row>
    <row r="810" spans="1:11" x14ac:dyDescent="0.25">
      <c r="A810" s="4">
        <v>24070</v>
      </c>
      <c r="B810" s="4" t="s">
        <v>992</v>
      </c>
      <c r="C810" s="4" t="s">
        <v>133</v>
      </c>
      <c r="D810" s="4" t="str">
        <f>VLOOKUP(C810,Países!$A$1:$B$186,2,TRUE)</f>
        <v>Middle East and North Africa</v>
      </c>
      <c r="E810" s="4" t="s">
        <v>29</v>
      </c>
      <c r="F810" s="4" t="str">
        <f>VLOOKUP(E810,Productos!$A$2:$D$13,2,TRUE)</f>
        <v>botella 0.5l</v>
      </c>
      <c r="G810" s="4">
        <f>VLOOKUP(E810,Productos!$A$2:$D$13,3,TRUE)</f>
        <v>3</v>
      </c>
      <c r="H810" s="4">
        <f>VLOOKUP(E810,Productos!$A$2:$D$13,4,TRUE)</f>
        <v>6</v>
      </c>
      <c r="I810" s="4" t="s">
        <v>17</v>
      </c>
      <c r="J810" s="4">
        <v>94</v>
      </c>
      <c r="K810" s="7">
        <v>42049</v>
      </c>
    </row>
    <row r="811" spans="1:11" x14ac:dyDescent="0.25">
      <c r="A811" s="4">
        <v>24071</v>
      </c>
      <c r="B811" s="4" t="s">
        <v>993</v>
      </c>
      <c r="C811" s="4" t="s">
        <v>270</v>
      </c>
      <c r="D811" s="4" t="str">
        <f>VLOOKUP(C811,Países!$A$1:$B$186,2,TRUE)</f>
        <v>Asia</v>
      </c>
      <c r="E811" s="4" t="s">
        <v>51</v>
      </c>
      <c r="F811" s="4" t="str">
        <f>VLOOKUP(E811,Productos!$A$2:$D$13,2,TRUE)</f>
        <v>garrafa 8l</v>
      </c>
      <c r="G811" s="4">
        <f>VLOOKUP(E811,Productos!$A$2:$D$13,3,TRUE)</f>
        <v>8</v>
      </c>
      <c r="H811" s="4">
        <f>VLOOKUP(E811,Productos!$A$2:$D$13,4,TRUE)</f>
        <v>14.5</v>
      </c>
      <c r="I811" s="4" t="s">
        <v>10</v>
      </c>
      <c r="J811" s="4">
        <v>38</v>
      </c>
      <c r="K811" s="7">
        <v>42087</v>
      </c>
    </row>
    <row r="812" spans="1:11" x14ac:dyDescent="0.25">
      <c r="A812" s="4">
        <v>24072</v>
      </c>
      <c r="B812" s="4" t="s">
        <v>994</v>
      </c>
      <c r="C812" s="4" t="s">
        <v>357</v>
      </c>
      <c r="D812" s="4" t="str">
        <f>VLOOKUP(C812,Países!$A$1:$B$186,2,TRUE)</f>
        <v>Asia</v>
      </c>
      <c r="E812" s="4" t="s">
        <v>20</v>
      </c>
      <c r="F812" s="4" t="str">
        <f>VLOOKUP(E812,Productos!$A$2:$D$13,2,TRUE)</f>
        <v>garrafa 4l</v>
      </c>
      <c r="G812" s="4">
        <f>VLOOKUP(E812,Productos!$A$2:$D$13,3,TRUE)</f>
        <v>5</v>
      </c>
      <c r="H812" s="4">
        <f>VLOOKUP(E812,Productos!$A$2:$D$13,4,TRUE)</f>
        <v>9.99</v>
      </c>
      <c r="I812" s="4" t="s">
        <v>10</v>
      </c>
      <c r="J812" s="4">
        <v>159</v>
      </c>
      <c r="K812" s="7">
        <v>42089</v>
      </c>
    </row>
    <row r="813" spans="1:11" x14ac:dyDescent="0.25">
      <c r="A813" s="4">
        <v>24073</v>
      </c>
      <c r="B813" s="4" t="s">
        <v>995</v>
      </c>
      <c r="C813" s="4" t="s">
        <v>278</v>
      </c>
      <c r="D813" s="4" t="str">
        <f>VLOOKUP(C813,Países!$A$1:$B$186,2,TRUE)</f>
        <v>Australia and Oceania</v>
      </c>
      <c r="E813" s="4" t="s">
        <v>9</v>
      </c>
      <c r="F813" s="4" t="str">
        <f>VLOOKUP(E813,Productos!$A$2:$D$13,2,TRUE)</f>
        <v>garrafa 1l</v>
      </c>
      <c r="G813" s="4">
        <f>VLOOKUP(E813,Productos!$A$2:$D$13,3,TRUE)</f>
        <v>1</v>
      </c>
      <c r="H813" s="4">
        <f>VLOOKUP(E813,Productos!$A$2:$D$13,4,TRUE)</f>
        <v>2</v>
      </c>
      <c r="I813" s="4" t="s">
        <v>10</v>
      </c>
      <c r="J813" s="4">
        <v>15</v>
      </c>
      <c r="K813" s="7">
        <v>42009</v>
      </c>
    </row>
    <row r="814" spans="1:11" x14ac:dyDescent="0.25">
      <c r="A814" s="4">
        <v>24074</v>
      </c>
      <c r="B814" s="4" t="s">
        <v>996</v>
      </c>
      <c r="C814" s="4" t="s">
        <v>198</v>
      </c>
      <c r="D814" s="4" t="str">
        <f>VLOOKUP(C814,Países!$A$1:$B$186,2,TRUE)</f>
        <v>Middle East and North Africa</v>
      </c>
      <c r="E814" s="4" t="s">
        <v>34</v>
      </c>
      <c r="F814" s="4" t="str">
        <f>VLOOKUP(E814,Productos!$A$2:$D$13,2,TRUE)</f>
        <v>garrafa 3l</v>
      </c>
      <c r="G814" s="4">
        <f>VLOOKUP(E814,Productos!$A$2:$D$13,3,TRUE)</f>
        <v>3.5</v>
      </c>
      <c r="H814" s="4">
        <f>VLOOKUP(E814,Productos!$A$2:$D$13,4,TRUE)</f>
        <v>6.99</v>
      </c>
      <c r="I814" s="4" t="s">
        <v>10</v>
      </c>
      <c r="J814" s="4">
        <v>147</v>
      </c>
      <c r="K814" s="7">
        <v>42211</v>
      </c>
    </row>
    <row r="815" spans="1:11" x14ac:dyDescent="0.25">
      <c r="A815" s="4">
        <v>24075</v>
      </c>
      <c r="B815" s="4" t="s">
        <v>997</v>
      </c>
      <c r="C815" s="4" t="s">
        <v>384</v>
      </c>
      <c r="D815" s="4" t="str">
        <f>VLOOKUP(C815,Países!$A$1:$B$186,2,TRUE)</f>
        <v>North America</v>
      </c>
      <c r="E815" s="4" t="s">
        <v>23</v>
      </c>
      <c r="F815" s="4" t="str">
        <f>VLOOKUP(E815,Productos!$A$2:$D$13,2,TRUE)</f>
        <v>botellín 400cc</v>
      </c>
      <c r="G815" s="4">
        <f>VLOOKUP(E815,Productos!$A$2:$D$13,3,TRUE)</f>
        <v>2.2999999999999998</v>
      </c>
      <c r="H815" s="4">
        <f>VLOOKUP(E815,Productos!$A$2:$D$13,4,TRUE)</f>
        <v>4.5</v>
      </c>
      <c r="I815" s="4" t="s">
        <v>10</v>
      </c>
      <c r="J815" s="4">
        <v>4</v>
      </c>
      <c r="K815" s="7">
        <v>42017</v>
      </c>
    </row>
    <row r="816" spans="1:11" x14ac:dyDescent="0.25">
      <c r="A816" s="4">
        <v>24076</v>
      </c>
      <c r="B816" s="4" t="s">
        <v>998</v>
      </c>
      <c r="C816" s="4" t="s">
        <v>781</v>
      </c>
      <c r="D816" s="4" t="str">
        <f>VLOOKUP(C816,Países!$A$1:$B$186,2,TRUE)</f>
        <v>Sub-Saharan Africa</v>
      </c>
      <c r="E816" s="4" t="s">
        <v>13</v>
      </c>
      <c r="F816" s="4" t="str">
        <f>VLOOKUP(E816,Productos!$A$2:$D$13,2,TRUE)</f>
        <v>botella 1l</v>
      </c>
      <c r="G816" s="4">
        <f>VLOOKUP(E816,Productos!$A$2:$D$13,3,TRUE)</f>
        <v>3.5</v>
      </c>
      <c r="H816" s="4">
        <f>VLOOKUP(E816,Productos!$A$2:$D$13,4,TRUE)</f>
        <v>6.5</v>
      </c>
      <c r="I816" s="4" t="s">
        <v>59</v>
      </c>
      <c r="J816" s="4">
        <v>200</v>
      </c>
      <c r="K816" s="7">
        <v>42091</v>
      </c>
    </row>
    <row r="817" spans="1:11" x14ac:dyDescent="0.25">
      <c r="A817" s="4">
        <v>24077</v>
      </c>
      <c r="B817" s="4" t="s">
        <v>999</v>
      </c>
      <c r="C817" s="4" t="s">
        <v>252</v>
      </c>
      <c r="D817" s="4" t="str">
        <f>VLOOKUP(C817,Países!$A$1:$B$186,2,TRUE)</f>
        <v>Europe</v>
      </c>
      <c r="E817" s="4" t="s">
        <v>20</v>
      </c>
      <c r="F817" s="4" t="str">
        <f>VLOOKUP(E817,Productos!$A$2:$D$13,2,TRUE)</f>
        <v>garrafa 4l</v>
      </c>
      <c r="G817" s="4">
        <f>VLOOKUP(E817,Productos!$A$2:$D$13,3,TRUE)</f>
        <v>5</v>
      </c>
      <c r="H817" s="4">
        <f>VLOOKUP(E817,Productos!$A$2:$D$13,4,TRUE)</f>
        <v>9.99</v>
      </c>
      <c r="I817" s="4" t="s">
        <v>17</v>
      </c>
      <c r="J817" s="4">
        <v>61</v>
      </c>
      <c r="K817" s="7">
        <v>42207</v>
      </c>
    </row>
    <row r="818" spans="1:11" x14ac:dyDescent="0.25">
      <c r="A818" s="4">
        <v>24078</v>
      </c>
      <c r="B818" s="4" t="s">
        <v>1000</v>
      </c>
      <c r="C818" s="4" t="s">
        <v>557</v>
      </c>
      <c r="D818" s="4" t="str">
        <f>VLOOKUP(C818,Países!$A$1:$B$186,2,TRUE)</f>
        <v>Europe</v>
      </c>
      <c r="E818" s="4" t="s">
        <v>16</v>
      </c>
      <c r="F818" s="4" t="str">
        <f>VLOOKUP(E818,Productos!$A$2:$D$13,2,TRUE)</f>
        <v>botella 5l</v>
      </c>
      <c r="G818" s="4">
        <f>VLOOKUP(E818,Productos!$A$2:$D$13,3,TRUE)</f>
        <v>6</v>
      </c>
      <c r="H818" s="4">
        <f>VLOOKUP(E818,Productos!$A$2:$D$13,4,TRUE)</f>
        <v>9</v>
      </c>
      <c r="I818" s="4" t="s">
        <v>10</v>
      </c>
      <c r="J818" s="4">
        <v>63</v>
      </c>
      <c r="K818" s="7">
        <v>42149</v>
      </c>
    </row>
    <row r="819" spans="1:11" x14ac:dyDescent="0.25">
      <c r="A819" s="4">
        <v>24079</v>
      </c>
      <c r="B819" s="4" t="s">
        <v>1001</v>
      </c>
      <c r="C819" s="4" t="s">
        <v>157</v>
      </c>
      <c r="D819" s="4" t="str">
        <f>VLOOKUP(C819,Países!$A$1:$B$186,2,TRUE)</f>
        <v>Sub-Saharan Africa</v>
      </c>
      <c r="E819" s="4" t="s">
        <v>46</v>
      </c>
      <c r="F819" s="4" t="str">
        <f>VLOOKUP(E819,Productos!$A$2:$D$13,2,TRUE)</f>
        <v>botellín 500cc</v>
      </c>
      <c r="G819" s="4">
        <f>VLOOKUP(E819,Productos!$A$2:$D$13,3,TRUE)</f>
        <v>3.5</v>
      </c>
      <c r="H819" s="4">
        <f>VLOOKUP(E819,Productos!$A$2:$D$13,4,TRUE)</f>
        <v>6.5</v>
      </c>
      <c r="I819" s="4" t="s">
        <v>17</v>
      </c>
      <c r="J819" s="4">
        <v>129</v>
      </c>
      <c r="K819" s="7">
        <v>42133</v>
      </c>
    </row>
    <row r="820" spans="1:11" x14ac:dyDescent="0.25">
      <c r="A820" s="4">
        <v>24080</v>
      </c>
      <c r="B820" s="4" t="s">
        <v>1002</v>
      </c>
      <c r="C820" s="4" t="s">
        <v>146</v>
      </c>
      <c r="D820" s="4" t="str">
        <f>VLOOKUP(C820,Países!$A$1:$B$186,2,TRUE)</f>
        <v>Europe</v>
      </c>
      <c r="E820" s="4" t="s">
        <v>23</v>
      </c>
      <c r="F820" s="4" t="str">
        <f>VLOOKUP(E820,Productos!$A$2:$D$13,2,TRUE)</f>
        <v>botellín 400cc</v>
      </c>
      <c r="G820" s="4">
        <f>VLOOKUP(E820,Productos!$A$2:$D$13,3,TRUE)</f>
        <v>2.2999999999999998</v>
      </c>
      <c r="H820" s="4">
        <f>VLOOKUP(E820,Productos!$A$2:$D$13,4,TRUE)</f>
        <v>4.5</v>
      </c>
      <c r="I820" s="4" t="s">
        <v>10</v>
      </c>
      <c r="J820" s="4">
        <v>48</v>
      </c>
      <c r="K820" s="7">
        <v>42226</v>
      </c>
    </row>
    <row r="821" spans="1:11" x14ac:dyDescent="0.25">
      <c r="A821" s="4">
        <v>24081</v>
      </c>
      <c r="B821" s="4" t="s">
        <v>1003</v>
      </c>
      <c r="C821" s="4" t="s">
        <v>259</v>
      </c>
      <c r="D821" s="4" t="str">
        <f>VLOOKUP(C821,Países!$A$1:$B$186,2,TRUE)</f>
        <v>Central America and the Caribbean</v>
      </c>
      <c r="E821" s="4" t="s">
        <v>26</v>
      </c>
      <c r="F821" s="4" t="str">
        <f>VLOOKUP(E821,Productos!$A$2:$D$13,2,TRUE)</f>
        <v>botellín 200cc</v>
      </c>
      <c r="G821" s="4">
        <f>VLOOKUP(E821,Productos!$A$2:$D$13,3,TRUE)</f>
        <v>1.5</v>
      </c>
      <c r="H821" s="4">
        <f>VLOOKUP(E821,Productos!$A$2:$D$13,4,TRUE)</f>
        <v>3</v>
      </c>
      <c r="I821" s="4" t="s">
        <v>17</v>
      </c>
      <c r="J821" s="4">
        <v>192</v>
      </c>
      <c r="K821" s="7">
        <v>42009</v>
      </c>
    </row>
    <row r="822" spans="1:11" x14ac:dyDescent="0.25">
      <c r="A822" s="4">
        <v>24082</v>
      </c>
      <c r="B822" s="4" t="s">
        <v>1004</v>
      </c>
      <c r="C822" s="4" t="s">
        <v>146</v>
      </c>
      <c r="D822" s="4" t="str">
        <f>VLOOKUP(C822,Países!$A$1:$B$186,2,TRUE)</f>
        <v>Europe</v>
      </c>
      <c r="E822" s="4" t="s">
        <v>26</v>
      </c>
      <c r="F822" s="4" t="str">
        <f>VLOOKUP(E822,Productos!$A$2:$D$13,2,TRUE)</f>
        <v>botellín 200cc</v>
      </c>
      <c r="G822" s="4">
        <f>VLOOKUP(E822,Productos!$A$2:$D$13,3,TRUE)</f>
        <v>1.5</v>
      </c>
      <c r="H822" s="4">
        <f>VLOOKUP(E822,Productos!$A$2:$D$13,4,TRUE)</f>
        <v>3</v>
      </c>
      <c r="I822" s="4" t="s">
        <v>17</v>
      </c>
      <c r="J822" s="4">
        <v>150</v>
      </c>
      <c r="K822" s="7">
        <v>42005</v>
      </c>
    </row>
    <row r="823" spans="1:11" x14ac:dyDescent="0.25">
      <c r="A823" s="4">
        <v>24083</v>
      </c>
      <c r="B823" s="4" t="s">
        <v>1005</v>
      </c>
      <c r="C823" s="4" t="s">
        <v>331</v>
      </c>
      <c r="D823" s="4" t="str">
        <f>VLOOKUP(C823,Países!$A$1:$B$186,2,TRUE)</f>
        <v>Middle East and North Africa</v>
      </c>
      <c r="E823" s="4" t="s">
        <v>34</v>
      </c>
      <c r="F823" s="4" t="str">
        <f>VLOOKUP(E823,Productos!$A$2:$D$13,2,TRUE)</f>
        <v>garrafa 3l</v>
      </c>
      <c r="G823" s="4">
        <f>VLOOKUP(E823,Productos!$A$2:$D$13,3,TRUE)</f>
        <v>3.5</v>
      </c>
      <c r="H823" s="4">
        <f>VLOOKUP(E823,Productos!$A$2:$D$13,4,TRUE)</f>
        <v>6.99</v>
      </c>
      <c r="I823" s="4" t="s">
        <v>17</v>
      </c>
      <c r="J823" s="4">
        <v>125</v>
      </c>
      <c r="K823" s="7">
        <v>42245</v>
      </c>
    </row>
    <row r="824" spans="1:11" x14ac:dyDescent="0.25">
      <c r="A824" s="4">
        <v>24084</v>
      </c>
      <c r="B824" s="4" t="s">
        <v>1006</v>
      </c>
      <c r="C824" s="4" t="s">
        <v>75</v>
      </c>
      <c r="D824" s="4" t="str">
        <f>VLOOKUP(C824,Países!$A$1:$B$186,2,TRUE)</f>
        <v>Asia</v>
      </c>
      <c r="E824" s="4" t="s">
        <v>34</v>
      </c>
      <c r="F824" s="4" t="str">
        <f>VLOOKUP(E824,Productos!$A$2:$D$13,2,TRUE)</f>
        <v>garrafa 3l</v>
      </c>
      <c r="G824" s="4">
        <f>VLOOKUP(E824,Productos!$A$2:$D$13,3,TRUE)</f>
        <v>3.5</v>
      </c>
      <c r="H824" s="4">
        <f>VLOOKUP(E824,Productos!$A$2:$D$13,4,TRUE)</f>
        <v>6.99</v>
      </c>
      <c r="I824" s="4" t="s">
        <v>10</v>
      </c>
      <c r="J824" s="4">
        <v>135</v>
      </c>
      <c r="K824" s="7">
        <v>42237</v>
      </c>
    </row>
    <row r="825" spans="1:11" x14ac:dyDescent="0.25">
      <c r="A825" s="4">
        <v>24085</v>
      </c>
      <c r="B825" s="4" t="s">
        <v>1007</v>
      </c>
      <c r="C825" s="4" t="s">
        <v>257</v>
      </c>
      <c r="D825" s="4" t="str">
        <f>VLOOKUP(C825,Países!$A$1:$B$186,2,TRUE)</f>
        <v>Central America and the Caribbean</v>
      </c>
      <c r="E825" s="4" t="s">
        <v>23</v>
      </c>
      <c r="F825" s="4" t="str">
        <f>VLOOKUP(E825,Productos!$A$2:$D$13,2,TRUE)</f>
        <v>botellín 400cc</v>
      </c>
      <c r="G825" s="4">
        <f>VLOOKUP(E825,Productos!$A$2:$D$13,3,TRUE)</f>
        <v>2.2999999999999998</v>
      </c>
      <c r="H825" s="4">
        <f>VLOOKUP(E825,Productos!$A$2:$D$13,4,TRUE)</f>
        <v>4.5</v>
      </c>
      <c r="I825" s="4" t="s">
        <v>10</v>
      </c>
      <c r="J825" s="4">
        <v>128</v>
      </c>
      <c r="K825" s="7">
        <v>42145</v>
      </c>
    </row>
    <row r="826" spans="1:11" x14ac:dyDescent="0.25">
      <c r="A826" s="4">
        <v>24086</v>
      </c>
      <c r="B826" s="4" t="s">
        <v>1008</v>
      </c>
      <c r="C826" s="4" t="s">
        <v>316</v>
      </c>
      <c r="D826" s="4" t="str">
        <f>VLOOKUP(C826,Países!$A$1:$B$186,2,TRUE)</f>
        <v>Australia and Oceania</v>
      </c>
      <c r="E826" s="4" t="s">
        <v>29</v>
      </c>
      <c r="F826" s="4" t="str">
        <f>VLOOKUP(E826,Productos!$A$2:$D$13,2,TRUE)</f>
        <v>botella 0.5l</v>
      </c>
      <c r="G826" s="4">
        <f>VLOOKUP(E826,Productos!$A$2:$D$13,3,TRUE)</f>
        <v>3</v>
      </c>
      <c r="H826" s="4">
        <f>VLOOKUP(E826,Productos!$A$2:$D$13,4,TRUE)</f>
        <v>6</v>
      </c>
      <c r="I826" s="4" t="s">
        <v>10</v>
      </c>
      <c r="J826" s="4">
        <v>5</v>
      </c>
      <c r="K826" s="7">
        <v>42188</v>
      </c>
    </row>
    <row r="827" spans="1:11" x14ac:dyDescent="0.25">
      <c r="A827" s="4">
        <v>24087</v>
      </c>
      <c r="B827" s="4" t="s">
        <v>1009</v>
      </c>
      <c r="C827" s="4" t="s">
        <v>100</v>
      </c>
      <c r="D827" s="4" t="str">
        <f>VLOOKUP(C827,Países!$A$1:$B$186,2,TRUE)</f>
        <v>Asia</v>
      </c>
      <c r="E827" s="4" t="s">
        <v>23</v>
      </c>
      <c r="F827" s="4" t="str">
        <f>VLOOKUP(E827,Productos!$A$2:$D$13,2,TRUE)</f>
        <v>botellín 400cc</v>
      </c>
      <c r="G827" s="4">
        <f>VLOOKUP(E827,Productos!$A$2:$D$13,3,TRUE)</f>
        <v>2.2999999999999998</v>
      </c>
      <c r="H827" s="4">
        <f>VLOOKUP(E827,Productos!$A$2:$D$13,4,TRUE)</f>
        <v>4.5</v>
      </c>
      <c r="I827" s="4" t="s">
        <v>10</v>
      </c>
      <c r="J827" s="4">
        <v>43</v>
      </c>
      <c r="K827" s="7">
        <v>42148</v>
      </c>
    </row>
    <row r="828" spans="1:11" x14ac:dyDescent="0.25">
      <c r="A828" s="4">
        <v>24088</v>
      </c>
      <c r="B828" s="4" t="s">
        <v>1010</v>
      </c>
      <c r="C828" s="4" t="s">
        <v>390</v>
      </c>
      <c r="D828" s="4" t="str">
        <f>VLOOKUP(C828,Países!$A$1:$B$186,2,TRUE)</f>
        <v>Australia and Oceania</v>
      </c>
      <c r="E828" s="4" t="s">
        <v>29</v>
      </c>
      <c r="F828" s="4" t="str">
        <f>VLOOKUP(E828,Productos!$A$2:$D$13,2,TRUE)</f>
        <v>botella 0.5l</v>
      </c>
      <c r="G828" s="4">
        <f>VLOOKUP(E828,Productos!$A$2:$D$13,3,TRUE)</f>
        <v>3</v>
      </c>
      <c r="H828" s="4">
        <f>VLOOKUP(E828,Productos!$A$2:$D$13,4,TRUE)</f>
        <v>6</v>
      </c>
      <c r="I828" s="4" t="s">
        <v>17</v>
      </c>
      <c r="J828" s="4">
        <v>44</v>
      </c>
      <c r="K828" s="7">
        <v>42227</v>
      </c>
    </row>
    <row r="829" spans="1:11" x14ac:dyDescent="0.25">
      <c r="A829" s="4">
        <v>24089</v>
      </c>
      <c r="B829" s="4" t="s">
        <v>1011</v>
      </c>
      <c r="C829" s="4" t="s">
        <v>295</v>
      </c>
      <c r="D829" s="4" t="str">
        <f>VLOOKUP(C829,Países!$A$1:$B$186,2,TRUE)</f>
        <v>Central America and the Caribbean</v>
      </c>
      <c r="E829" s="4" t="s">
        <v>23</v>
      </c>
      <c r="F829" s="4" t="str">
        <f>VLOOKUP(E829,Productos!$A$2:$D$13,2,TRUE)</f>
        <v>botellín 400cc</v>
      </c>
      <c r="G829" s="4">
        <f>VLOOKUP(E829,Productos!$A$2:$D$13,3,TRUE)</f>
        <v>2.2999999999999998</v>
      </c>
      <c r="H829" s="4">
        <f>VLOOKUP(E829,Productos!$A$2:$D$13,4,TRUE)</f>
        <v>4.5</v>
      </c>
      <c r="I829" s="4" t="s">
        <v>10</v>
      </c>
      <c r="J829" s="4">
        <v>124</v>
      </c>
      <c r="K829" s="7">
        <v>42032</v>
      </c>
    </row>
    <row r="830" spans="1:11" x14ac:dyDescent="0.25">
      <c r="A830" s="4">
        <v>24090</v>
      </c>
      <c r="B830" s="4" t="s">
        <v>1012</v>
      </c>
      <c r="C830" s="4" t="s">
        <v>57</v>
      </c>
      <c r="D830" s="4" t="str">
        <f>VLOOKUP(C830,Países!$A$1:$B$186,2,TRUE)</f>
        <v>Sub-Saharan Africa</v>
      </c>
      <c r="E830" s="4" t="s">
        <v>23</v>
      </c>
      <c r="F830" s="4" t="str">
        <f>VLOOKUP(E830,Productos!$A$2:$D$13,2,TRUE)</f>
        <v>botellín 400cc</v>
      </c>
      <c r="G830" s="4">
        <f>VLOOKUP(E830,Productos!$A$2:$D$13,3,TRUE)</f>
        <v>2.2999999999999998</v>
      </c>
      <c r="H830" s="4">
        <f>VLOOKUP(E830,Productos!$A$2:$D$13,4,TRUE)</f>
        <v>4.5</v>
      </c>
      <c r="I830" s="4" t="s">
        <v>10</v>
      </c>
      <c r="J830" s="4">
        <v>42</v>
      </c>
      <c r="K830" s="7">
        <v>42035</v>
      </c>
    </row>
    <row r="831" spans="1:11" x14ac:dyDescent="0.25">
      <c r="A831" s="4">
        <v>24091</v>
      </c>
      <c r="B831" s="4" t="s">
        <v>1013</v>
      </c>
      <c r="C831" s="4" t="s">
        <v>267</v>
      </c>
      <c r="D831" s="4" t="str">
        <f>VLOOKUP(C831,Países!$A$1:$B$186,2,TRUE)</f>
        <v>Sub-Saharan Africa</v>
      </c>
      <c r="E831" s="4" t="s">
        <v>46</v>
      </c>
      <c r="F831" s="4" t="str">
        <f>VLOOKUP(E831,Productos!$A$2:$D$13,2,TRUE)</f>
        <v>botellín 500cc</v>
      </c>
      <c r="G831" s="4">
        <f>VLOOKUP(E831,Productos!$A$2:$D$13,3,TRUE)</f>
        <v>3.5</v>
      </c>
      <c r="H831" s="4">
        <f>VLOOKUP(E831,Productos!$A$2:$D$13,4,TRUE)</f>
        <v>6.5</v>
      </c>
      <c r="I831" s="4" t="s">
        <v>10</v>
      </c>
      <c r="J831" s="4">
        <v>187</v>
      </c>
      <c r="K831" s="7">
        <v>42178</v>
      </c>
    </row>
    <row r="832" spans="1:11" x14ac:dyDescent="0.25">
      <c r="A832" s="4">
        <v>24092</v>
      </c>
      <c r="B832" s="4" t="s">
        <v>1014</v>
      </c>
      <c r="C832" s="4" t="s">
        <v>547</v>
      </c>
      <c r="D832" s="4" t="str">
        <f>VLOOKUP(C832,Países!$A$1:$B$186,2,TRUE)</f>
        <v>Sub-Saharan Africa</v>
      </c>
      <c r="E832" s="4" t="s">
        <v>20</v>
      </c>
      <c r="F832" s="4" t="str">
        <f>VLOOKUP(E832,Productos!$A$2:$D$13,2,TRUE)</f>
        <v>garrafa 4l</v>
      </c>
      <c r="G832" s="4">
        <f>VLOOKUP(E832,Productos!$A$2:$D$13,3,TRUE)</f>
        <v>5</v>
      </c>
      <c r="H832" s="4">
        <f>VLOOKUP(E832,Productos!$A$2:$D$13,4,TRUE)</f>
        <v>9.99</v>
      </c>
      <c r="I832" s="4" t="s">
        <v>17</v>
      </c>
      <c r="J832" s="4">
        <v>147</v>
      </c>
      <c r="K832" s="7">
        <v>42173</v>
      </c>
    </row>
    <row r="833" spans="1:11" x14ac:dyDescent="0.25">
      <c r="A833" s="4">
        <v>24093</v>
      </c>
      <c r="B833" s="4" t="s">
        <v>1015</v>
      </c>
      <c r="C833" s="4" t="s">
        <v>288</v>
      </c>
      <c r="D833" s="4" t="str">
        <f>VLOOKUP(C833,Países!$A$1:$B$186,2,TRUE)</f>
        <v>Europe</v>
      </c>
      <c r="E833" s="4" t="s">
        <v>58</v>
      </c>
      <c r="F833" s="4" t="str">
        <f>VLOOKUP(E833,Productos!$A$2:$D$13,2,TRUE)</f>
        <v>garrafa 2l</v>
      </c>
      <c r="G833" s="4">
        <f>VLOOKUP(E833,Productos!$A$2:$D$13,3,TRUE)</f>
        <v>2.5</v>
      </c>
      <c r="H833" s="4">
        <f>VLOOKUP(E833,Productos!$A$2:$D$13,4,TRUE)</f>
        <v>4.5</v>
      </c>
      <c r="I833" s="4" t="s">
        <v>17</v>
      </c>
      <c r="J833" s="4">
        <v>53</v>
      </c>
      <c r="K833" s="7">
        <v>42097</v>
      </c>
    </row>
    <row r="834" spans="1:11" x14ac:dyDescent="0.25">
      <c r="A834" s="4">
        <v>24094</v>
      </c>
      <c r="B834" s="4" t="s">
        <v>1016</v>
      </c>
      <c r="C834" s="4" t="s">
        <v>81</v>
      </c>
      <c r="D834" s="4" t="str">
        <f>VLOOKUP(C834,Países!$A$1:$B$186,2,TRUE)</f>
        <v>Australia and Oceania</v>
      </c>
      <c r="E834" s="4" t="s">
        <v>9</v>
      </c>
      <c r="F834" s="4" t="str">
        <f>VLOOKUP(E834,Productos!$A$2:$D$13,2,TRUE)</f>
        <v>garrafa 1l</v>
      </c>
      <c r="G834" s="4">
        <f>VLOOKUP(E834,Productos!$A$2:$D$13,3,TRUE)</f>
        <v>1</v>
      </c>
      <c r="H834" s="4">
        <f>VLOOKUP(E834,Productos!$A$2:$D$13,4,TRUE)</f>
        <v>2</v>
      </c>
      <c r="I834" s="4" t="s">
        <v>10</v>
      </c>
      <c r="J834" s="4">
        <v>71</v>
      </c>
      <c r="K834" s="7">
        <v>42107</v>
      </c>
    </row>
    <row r="835" spans="1:11" x14ac:dyDescent="0.25">
      <c r="A835" s="4">
        <v>24095</v>
      </c>
      <c r="B835" s="4" t="s">
        <v>1017</v>
      </c>
      <c r="C835" s="4" t="s">
        <v>357</v>
      </c>
      <c r="D835" s="4" t="str">
        <f>VLOOKUP(C835,Países!$A$1:$B$186,2,TRUE)</f>
        <v>Asia</v>
      </c>
      <c r="E835" s="4" t="s">
        <v>13</v>
      </c>
      <c r="F835" s="4" t="str">
        <f>VLOOKUP(E835,Productos!$A$2:$D$13,2,TRUE)</f>
        <v>botella 1l</v>
      </c>
      <c r="G835" s="4">
        <f>VLOOKUP(E835,Productos!$A$2:$D$13,3,TRUE)</f>
        <v>3.5</v>
      </c>
      <c r="H835" s="4">
        <f>VLOOKUP(E835,Productos!$A$2:$D$13,4,TRUE)</f>
        <v>6.5</v>
      </c>
      <c r="I835" s="4" t="s">
        <v>17</v>
      </c>
      <c r="J835" s="4">
        <v>50</v>
      </c>
      <c r="K835" s="7">
        <v>42135</v>
      </c>
    </row>
    <row r="836" spans="1:11" x14ac:dyDescent="0.25">
      <c r="A836" s="4">
        <v>24096</v>
      </c>
      <c r="B836" s="4" t="s">
        <v>1018</v>
      </c>
      <c r="C836" s="4" t="s">
        <v>352</v>
      </c>
      <c r="D836" s="4" t="str">
        <f>VLOOKUP(C836,Países!$A$1:$B$186,2,TRUE)</f>
        <v>Europe</v>
      </c>
      <c r="E836" s="4" t="s">
        <v>34</v>
      </c>
      <c r="F836" s="4" t="str">
        <f>VLOOKUP(E836,Productos!$A$2:$D$13,2,TRUE)</f>
        <v>garrafa 3l</v>
      </c>
      <c r="G836" s="4">
        <f>VLOOKUP(E836,Productos!$A$2:$D$13,3,TRUE)</f>
        <v>3.5</v>
      </c>
      <c r="H836" s="4">
        <f>VLOOKUP(E836,Productos!$A$2:$D$13,4,TRUE)</f>
        <v>6.99</v>
      </c>
      <c r="I836" s="4" t="s">
        <v>10</v>
      </c>
      <c r="J836" s="4">
        <v>54</v>
      </c>
      <c r="K836" s="7">
        <v>42108</v>
      </c>
    </row>
    <row r="837" spans="1:11" x14ac:dyDescent="0.25">
      <c r="A837" s="4">
        <v>24097</v>
      </c>
      <c r="B837" s="4" t="s">
        <v>1019</v>
      </c>
      <c r="C837" s="4" t="s">
        <v>53</v>
      </c>
      <c r="D837" s="4" t="str">
        <f>VLOOKUP(C837,Países!$A$1:$B$186,2,TRUE)</f>
        <v>Europe</v>
      </c>
      <c r="E837" s="4" t="s">
        <v>29</v>
      </c>
      <c r="F837" s="4" t="str">
        <f>VLOOKUP(E837,Productos!$A$2:$D$13,2,TRUE)</f>
        <v>botella 0.5l</v>
      </c>
      <c r="G837" s="4">
        <f>VLOOKUP(E837,Productos!$A$2:$D$13,3,TRUE)</f>
        <v>3</v>
      </c>
      <c r="H837" s="4">
        <f>VLOOKUP(E837,Productos!$A$2:$D$13,4,TRUE)</f>
        <v>6</v>
      </c>
      <c r="I837" s="4" t="s">
        <v>10</v>
      </c>
      <c r="J837" s="4">
        <v>164</v>
      </c>
      <c r="K837" s="7">
        <v>42126</v>
      </c>
    </row>
    <row r="838" spans="1:11" x14ac:dyDescent="0.25">
      <c r="A838" s="4">
        <v>24098</v>
      </c>
      <c r="B838" s="4" t="s">
        <v>1020</v>
      </c>
      <c r="C838" s="4" t="s">
        <v>521</v>
      </c>
      <c r="D838" s="4" t="str">
        <f>VLOOKUP(C838,Países!$A$1:$B$186,2,TRUE)</f>
        <v>Sub-Saharan Africa</v>
      </c>
      <c r="E838" s="4" t="s">
        <v>20</v>
      </c>
      <c r="F838" s="4" t="str">
        <f>VLOOKUP(E838,Productos!$A$2:$D$13,2,TRUE)</f>
        <v>garrafa 4l</v>
      </c>
      <c r="G838" s="4">
        <f>VLOOKUP(E838,Productos!$A$2:$D$13,3,TRUE)</f>
        <v>5</v>
      </c>
      <c r="H838" s="4">
        <f>VLOOKUP(E838,Productos!$A$2:$D$13,4,TRUE)</f>
        <v>9.99</v>
      </c>
      <c r="I838" s="4" t="s">
        <v>10</v>
      </c>
      <c r="J838" s="4">
        <v>77</v>
      </c>
      <c r="K838" s="7">
        <v>42085</v>
      </c>
    </row>
    <row r="839" spans="1:11" x14ac:dyDescent="0.25">
      <c r="A839" s="4">
        <v>24099</v>
      </c>
      <c r="B839" s="4" t="s">
        <v>1021</v>
      </c>
      <c r="C839" s="4" t="s">
        <v>472</v>
      </c>
      <c r="D839" s="4" t="str">
        <f>VLOOKUP(C839,Países!$A$1:$B$186,2,TRUE)</f>
        <v>Sub-Saharan Africa</v>
      </c>
      <c r="E839" s="4" t="s">
        <v>16</v>
      </c>
      <c r="F839" s="4" t="str">
        <f>VLOOKUP(E839,Productos!$A$2:$D$13,2,TRUE)</f>
        <v>botella 5l</v>
      </c>
      <c r="G839" s="4">
        <f>VLOOKUP(E839,Productos!$A$2:$D$13,3,TRUE)</f>
        <v>6</v>
      </c>
      <c r="H839" s="4">
        <f>VLOOKUP(E839,Productos!$A$2:$D$13,4,TRUE)</f>
        <v>9</v>
      </c>
      <c r="I839" s="4" t="s">
        <v>10</v>
      </c>
      <c r="J839" s="4">
        <v>175</v>
      </c>
      <c r="K839" s="7">
        <v>42245</v>
      </c>
    </row>
    <row r="840" spans="1:11" x14ac:dyDescent="0.25">
      <c r="A840" s="4">
        <v>24100</v>
      </c>
      <c r="B840" s="4" t="s">
        <v>1022</v>
      </c>
      <c r="C840" s="4" t="s">
        <v>114</v>
      </c>
      <c r="D840" s="4" t="str">
        <f>VLOOKUP(C840,Países!$A$1:$B$186,2,TRUE)</f>
        <v>Sub-Saharan Africa</v>
      </c>
      <c r="E840" s="4" t="s">
        <v>58</v>
      </c>
      <c r="F840" s="4" t="str">
        <f>VLOOKUP(E840,Productos!$A$2:$D$13,2,TRUE)</f>
        <v>garrafa 2l</v>
      </c>
      <c r="G840" s="4">
        <f>VLOOKUP(E840,Productos!$A$2:$D$13,3,TRUE)</f>
        <v>2.5</v>
      </c>
      <c r="H840" s="4">
        <f>VLOOKUP(E840,Productos!$A$2:$D$13,4,TRUE)</f>
        <v>4.5</v>
      </c>
      <c r="I840" s="4" t="s">
        <v>17</v>
      </c>
      <c r="J840" s="4">
        <v>177</v>
      </c>
      <c r="K840" s="7">
        <v>42168</v>
      </c>
    </row>
    <row r="841" spans="1:11" x14ac:dyDescent="0.25">
      <c r="A841" s="4">
        <v>24101</v>
      </c>
      <c r="B841" s="4" t="s">
        <v>1023</v>
      </c>
      <c r="C841" s="4" t="s">
        <v>136</v>
      </c>
      <c r="D841" s="4" t="str">
        <f>VLOOKUP(C841,Países!$A$1:$B$186,2,TRUE)</f>
        <v>Asia</v>
      </c>
      <c r="E841" s="4" t="s">
        <v>20</v>
      </c>
      <c r="F841" s="4" t="str">
        <f>VLOOKUP(E841,Productos!$A$2:$D$13,2,TRUE)</f>
        <v>garrafa 4l</v>
      </c>
      <c r="G841" s="4">
        <f>VLOOKUP(E841,Productos!$A$2:$D$13,3,TRUE)</f>
        <v>5</v>
      </c>
      <c r="H841" s="4">
        <f>VLOOKUP(E841,Productos!$A$2:$D$13,4,TRUE)</f>
        <v>9.99</v>
      </c>
      <c r="I841" s="4" t="s">
        <v>10</v>
      </c>
      <c r="J841" s="4">
        <v>143</v>
      </c>
      <c r="K841" s="7">
        <v>42052</v>
      </c>
    </row>
    <row r="842" spans="1:11" x14ac:dyDescent="0.25">
      <c r="A842" s="4">
        <v>24102</v>
      </c>
      <c r="B842" s="4" t="s">
        <v>1024</v>
      </c>
      <c r="C842" s="4" t="s">
        <v>164</v>
      </c>
      <c r="D842" s="4" t="str">
        <f>VLOOKUP(C842,Países!$A$1:$B$186,2,TRUE)</f>
        <v>Europe</v>
      </c>
      <c r="E842" s="4" t="s">
        <v>58</v>
      </c>
      <c r="F842" s="4" t="str">
        <f>VLOOKUP(E842,Productos!$A$2:$D$13,2,TRUE)</f>
        <v>garrafa 2l</v>
      </c>
      <c r="G842" s="4">
        <f>VLOOKUP(E842,Productos!$A$2:$D$13,3,TRUE)</f>
        <v>2.5</v>
      </c>
      <c r="H842" s="4">
        <f>VLOOKUP(E842,Productos!$A$2:$D$13,4,TRUE)</f>
        <v>4.5</v>
      </c>
      <c r="I842" s="4" t="s">
        <v>17</v>
      </c>
      <c r="J842" s="4">
        <v>183</v>
      </c>
      <c r="K842" s="7">
        <v>42054</v>
      </c>
    </row>
    <row r="843" spans="1:11" x14ac:dyDescent="0.25">
      <c r="A843" s="4">
        <v>24103</v>
      </c>
      <c r="B843" s="4" t="s">
        <v>1025</v>
      </c>
      <c r="C843" s="4" t="s">
        <v>168</v>
      </c>
      <c r="D843" s="4" t="str">
        <f>VLOOKUP(C843,Países!$A$1:$B$186,2,TRUE)</f>
        <v>Asia</v>
      </c>
      <c r="E843" s="4" t="s">
        <v>46</v>
      </c>
      <c r="F843" s="4" t="str">
        <f>VLOOKUP(E843,Productos!$A$2:$D$13,2,TRUE)</f>
        <v>botellín 500cc</v>
      </c>
      <c r="G843" s="4">
        <f>VLOOKUP(E843,Productos!$A$2:$D$13,3,TRUE)</f>
        <v>3.5</v>
      </c>
      <c r="H843" s="4">
        <f>VLOOKUP(E843,Productos!$A$2:$D$13,4,TRUE)</f>
        <v>6.5</v>
      </c>
      <c r="I843" s="4" t="s">
        <v>10</v>
      </c>
      <c r="J843" s="4">
        <v>25</v>
      </c>
      <c r="K843" s="7">
        <v>42195</v>
      </c>
    </row>
    <row r="844" spans="1:11" x14ac:dyDescent="0.25">
      <c r="A844" s="4">
        <v>24104</v>
      </c>
      <c r="B844" s="4" t="s">
        <v>1026</v>
      </c>
      <c r="C844" s="4" t="s">
        <v>133</v>
      </c>
      <c r="D844" s="4" t="str">
        <f>VLOOKUP(C844,Países!$A$1:$B$186,2,TRUE)</f>
        <v>Middle East and North Africa</v>
      </c>
      <c r="E844" s="4" t="s">
        <v>34</v>
      </c>
      <c r="F844" s="4" t="str">
        <f>VLOOKUP(E844,Productos!$A$2:$D$13,2,TRUE)</f>
        <v>garrafa 3l</v>
      </c>
      <c r="G844" s="4">
        <f>VLOOKUP(E844,Productos!$A$2:$D$13,3,TRUE)</f>
        <v>3.5</v>
      </c>
      <c r="H844" s="4">
        <f>VLOOKUP(E844,Productos!$A$2:$D$13,4,TRUE)</f>
        <v>6.99</v>
      </c>
      <c r="I844" s="4" t="s">
        <v>17</v>
      </c>
      <c r="J844" s="4">
        <v>169</v>
      </c>
      <c r="K844" s="7">
        <v>42167</v>
      </c>
    </row>
    <row r="845" spans="1:11" x14ac:dyDescent="0.25">
      <c r="A845" s="4">
        <v>24105</v>
      </c>
      <c r="B845" s="4" t="s">
        <v>1027</v>
      </c>
      <c r="C845" s="4" t="s">
        <v>157</v>
      </c>
      <c r="D845" s="4" t="str">
        <f>VLOOKUP(C845,Países!$A$1:$B$186,2,TRUE)</f>
        <v>Sub-Saharan Africa</v>
      </c>
      <c r="E845" s="4" t="s">
        <v>29</v>
      </c>
      <c r="F845" s="4" t="str">
        <f>VLOOKUP(E845,Productos!$A$2:$D$13,2,TRUE)</f>
        <v>botella 0.5l</v>
      </c>
      <c r="G845" s="4">
        <f>VLOOKUP(E845,Productos!$A$2:$D$13,3,TRUE)</f>
        <v>3</v>
      </c>
      <c r="H845" s="4">
        <f>VLOOKUP(E845,Productos!$A$2:$D$13,4,TRUE)</f>
        <v>6</v>
      </c>
      <c r="I845" s="4" t="s">
        <v>17</v>
      </c>
      <c r="J845" s="4">
        <v>98</v>
      </c>
      <c r="K845" s="7">
        <v>42196</v>
      </c>
    </row>
    <row r="846" spans="1:11" x14ac:dyDescent="0.25">
      <c r="A846" s="4">
        <v>24106</v>
      </c>
      <c r="B846" s="4" t="s">
        <v>1028</v>
      </c>
      <c r="C846" s="4" t="s">
        <v>100</v>
      </c>
      <c r="D846" s="4" t="str">
        <f>VLOOKUP(C846,Países!$A$1:$B$186,2,TRUE)</f>
        <v>Asia</v>
      </c>
      <c r="E846" s="4" t="s">
        <v>16</v>
      </c>
      <c r="F846" s="4" t="str">
        <f>VLOOKUP(E846,Productos!$A$2:$D$13,2,TRUE)</f>
        <v>botella 5l</v>
      </c>
      <c r="G846" s="4">
        <f>VLOOKUP(E846,Productos!$A$2:$D$13,3,TRUE)</f>
        <v>6</v>
      </c>
      <c r="H846" s="4">
        <f>VLOOKUP(E846,Productos!$A$2:$D$13,4,TRUE)</f>
        <v>9</v>
      </c>
      <c r="I846" s="4" t="s">
        <v>10</v>
      </c>
      <c r="J846" s="4">
        <v>102</v>
      </c>
      <c r="K846" s="7">
        <v>42030</v>
      </c>
    </row>
    <row r="847" spans="1:11" x14ac:dyDescent="0.25">
      <c r="A847" s="4">
        <v>24107</v>
      </c>
      <c r="B847" s="4" t="s">
        <v>1029</v>
      </c>
      <c r="C847" s="4" t="s">
        <v>157</v>
      </c>
      <c r="D847" s="4" t="str">
        <f>VLOOKUP(C847,Países!$A$1:$B$186,2,TRUE)</f>
        <v>Sub-Saharan Africa</v>
      </c>
      <c r="E847" s="4" t="s">
        <v>9</v>
      </c>
      <c r="F847" s="4" t="str">
        <f>VLOOKUP(E847,Productos!$A$2:$D$13,2,TRUE)</f>
        <v>garrafa 1l</v>
      </c>
      <c r="G847" s="4">
        <f>VLOOKUP(E847,Productos!$A$2:$D$13,3,TRUE)</f>
        <v>1</v>
      </c>
      <c r="H847" s="4">
        <f>VLOOKUP(E847,Productos!$A$2:$D$13,4,TRUE)</f>
        <v>2</v>
      </c>
      <c r="I847" s="4" t="s">
        <v>17</v>
      </c>
      <c r="J847" s="4">
        <v>29</v>
      </c>
      <c r="K847" s="7">
        <v>42243</v>
      </c>
    </row>
    <row r="848" spans="1:11" x14ac:dyDescent="0.25">
      <c r="A848" s="4">
        <v>24108</v>
      </c>
      <c r="B848" s="4" t="s">
        <v>1030</v>
      </c>
      <c r="C848" s="4" t="s">
        <v>125</v>
      </c>
      <c r="D848" s="4" t="str">
        <f>VLOOKUP(C848,Países!$A$1:$B$186,2,TRUE)</f>
        <v>Sub-Saharan Africa</v>
      </c>
      <c r="E848" s="4" t="s">
        <v>34</v>
      </c>
      <c r="F848" s="4" t="str">
        <f>VLOOKUP(E848,Productos!$A$2:$D$13,2,TRUE)</f>
        <v>garrafa 3l</v>
      </c>
      <c r="G848" s="4">
        <f>VLOOKUP(E848,Productos!$A$2:$D$13,3,TRUE)</f>
        <v>3.5</v>
      </c>
      <c r="H848" s="4">
        <f>VLOOKUP(E848,Productos!$A$2:$D$13,4,TRUE)</f>
        <v>6.99</v>
      </c>
      <c r="I848" s="4" t="s">
        <v>10</v>
      </c>
      <c r="J848" s="4">
        <v>42</v>
      </c>
      <c r="K848" s="7">
        <v>42153</v>
      </c>
    </row>
    <row r="849" spans="1:11" x14ac:dyDescent="0.25">
      <c r="A849" s="4">
        <v>24109</v>
      </c>
      <c r="B849" s="4" t="s">
        <v>1031</v>
      </c>
      <c r="C849" s="4" t="s">
        <v>142</v>
      </c>
      <c r="D849" s="4" t="str">
        <f>VLOOKUP(C849,Países!$A$1:$B$186,2,TRUE)</f>
        <v>Europe</v>
      </c>
      <c r="E849" s="4" t="s">
        <v>23</v>
      </c>
      <c r="F849" s="4" t="str">
        <f>VLOOKUP(E849,Productos!$A$2:$D$13,2,TRUE)</f>
        <v>botellín 400cc</v>
      </c>
      <c r="G849" s="4">
        <f>VLOOKUP(E849,Productos!$A$2:$D$13,3,TRUE)</f>
        <v>2.2999999999999998</v>
      </c>
      <c r="H849" s="4">
        <f>VLOOKUP(E849,Productos!$A$2:$D$13,4,TRUE)</f>
        <v>4.5</v>
      </c>
      <c r="I849" s="4" t="s">
        <v>17</v>
      </c>
      <c r="J849" s="4">
        <v>182</v>
      </c>
      <c r="K849" s="7">
        <v>42080</v>
      </c>
    </row>
    <row r="850" spans="1:11" x14ac:dyDescent="0.25">
      <c r="A850" s="4">
        <v>24110</v>
      </c>
      <c r="B850" s="4" t="s">
        <v>1032</v>
      </c>
      <c r="C850" s="4" t="s">
        <v>263</v>
      </c>
      <c r="D850" s="4" t="str">
        <f>VLOOKUP(C850,Países!$A$1:$B$186,2,TRUE)</f>
        <v>Central America and the Caribbean</v>
      </c>
      <c r="E850" s="4" t="s">
        <v>58</v>
      </c>
      <c r="F850" s="4" t="str">
        <f>VLOOKUP(E850,Productos!$A$2:$D$13,2,TRUE)</f>
        <v>garrafa 2l</v>
      </c>
      <c r="G850" s="4">
        <f>VLOOKUP(E850,Productos!$A$2:$D$13,3,TRUE)</f>
        <v>2.5</v>
      </c>
      <c r="H850" s="4">
        <f>VLOOKUP(E850,Productos!$A$2:$D$13,4,TRUE)</f>
        <v>4.5</v>
      </c>
      <c r="I850" s="4" t="s">
        <v>10</v>
      </c>
      <c r="J850" s="4">
        <v>39</v>
      </c>
      <c r="K850" s="7">
        <v>42244</v>
      </c>
    </row>
    <row r="851" spans="1:11" x14ac:dyDescent="0.25">
      <c r="A851" s="4">
        <v>24111</v>
      </c>
      <c r="B851" s="4" t="s">
        <v>1033</v>
      </c>
      <c r="C851" s="4" t="s">
        <v>104</v>
      </c>
      <c r="D851" s="4" t="str">
        <f>VLOOKUP(C851,Países!$A$1:$B$186,2,TRUE)</f>
        <v>Asia</v>
      </c>
      <c r="E851" s="4" t="s">
        <v>29</v>
      </c>
      <c r="F851" s="4" t="str">
        <f>VLOOKUP(E851,Productos!$A$2:$D$13,2,TRUE)</f>
        <v>botella 0.5l</v>
      </c>
      <c r="G851" s="4">
        <f>VLOOKUP(E851,Productos!$A$2:$D$13,3,TRUE)</f>
        <v>3</v>
      </c>
      <c r="H851" s="4">
        <f>VLOOKUP(E851,Productos!$A$2:$D$13,4,TRUE)</f>
        <v>6</v>
      </c>
      <c r="I851" s="4" t="s">
        <v>17</v>
      </c>
      <c r="J851" s="4">
        <v>166</v>
      </c>
      <c r="K851" s="7">
        <v>42201</v>
      </c>
    </row>
    <row r="852" spans="1:11" x14ac:dyDescent="0.25">
      <c r="A852" s="4">
        <v>24112</v>
      </c>
      <c r="B852" s="4" t="s">
        <v>1034</v>
      </c>
      <c r="C852" s="4" t="s">
        <v>406</v>
      </c>
      <c r="D852" s="4" t="str">
        <f>VLOOKUP(C852,Países!$A$1:$B$186,2,TRUE)</f>
        <v>Sub-Saharan Africa</v>
      </c>
      <c r="E852" s="4" t="s">
        <v>34</v>
      </c>
      <c r="F852" s="4" t="str">
        <f>VLOOKUP(E852,Productos!$A$2:$D$13,2,TRUE)</f>
        <v>garrafa 3l</v>
      </c>
      <c r="G852" s="4">
        <f>VLOOKUP(E852,Productos!$A$2:$D$13,3,TRUE)</f>
        <v>3.5</v>
      </c>
      <c r="H852" s="4">
        <f>VLOOKUP(E852,Productos!$A$2:$D$13,4,TRUE)</f>
        <v>6.99</v>
      </c>
      <c r="I852" s="4" t="s">
        <v>10</v>
      </c>
      <c r="J852" s="4">
        <v>20</v>
      </c>
      <c r="K852" s="7">
        <v>42198</v>
      </c>
    </row>
    <row r="853" spans="1:11" x14ac:dyDescent="0.25">
      <c r="A853" s="4">
        <v>24113</v>
      </c>
      <c r="B853" s="4" t="s">
        <v>1035</v>
      </c>
      <c r="C853" s="4" t="s">
        <v>481</v>
      </c>
      <c r="D853" s="4" t="str">
        <f>VLOOKUP(C853,Países!$A$1:$B$186,2,TRUE)</f>
        <v>Middle East and North Africa</v>
      </c>
      <c r="E853" s="4" t="s">
        <v>34</v>
      </c>
      <c r="F853" s="4" t="str">
        <f>VLOOKUP(E853,Productos!$A$2:$D$13,2,TRUE)</f>
        <v>garrafa 3l</v>
      </c>
      <c r="G853" s="4">
        <f>VLOOKUP(E853,Productos!$A$2:$D$13,3,TRUE)</f>
        <v>3.5</v>
      </c>
      <c r="H853" s="4">
        <f>VLOOKUP(E853,Productos!$A$2:$D$13,4,TRUE)</f>
        <v>6.99</v>
      </c>
      <c r="I853" s="4" t="s">
        <v>10</v>
      </c>
      <c r="J853" s="4">
        <v>5</v>
      </c>
      <c r="K853" s="7">
        <v>42165</v>
      </c>
    </row>
    <row r="854" spans="1:11" x14ac:dyDescent="0.25">
      <c r="A854" s="4">
        <v>24114</v>
      </c>
      <c r="B854" s="4" t="s">
        <v>1036</v>
      </c>
      <c r="C854" s="4" t="s">
        <v>481</v>
      </c>
      <c r="D854" s="4" t="str">
        <f>VLOOKUP(C854,Países!$A$1:$B$186,2,TRUE)</f>
        <v>Middle East and North Africa</v>
      </c>
      <c r="E854" s="4" t="s">
        <v>51</v>
      </c>
      <c r="F854" s="4" t="str">
        <f>VLOOKUP(E854,Productos!$A$2:$D$13,2,TRUE)</f>
        <v>garrafa 8l</v>
      </c>
      <c r="G854" s="4">
        <f>VLOOKUP(E854,Productos!$A$2:$D$13,3,TRUE)</f>
        <v>8</v>
      </c>
      <c r="H854" s="4">
        <f>VLOOKUP(E854,Productos!$A$2:$D$13,4,TRUE)</f>
        <v>14.5</v>
      </c>
      <c r="I854" s="4" t="s">
        <v>17</v>
      </c>
      <c r="J854" s="4">
        <v>179</v>
      </c>
      <c r="K854" s="7">
        <v>42006</v>
      </c>
    </row>
    <row r="855" spans="1:11" x14ac:dyDescent="0.25">
      <c r="A855" s="4">
        <v>24115</v>
      </c>
      <c r="B855" s="4" t="s">
        <v>1037</v>
      </c>
      <c r="C855" s="4" t="s">
        <v>1038</v>
      </c>
      <c r="D855" s="4" t="str">
        <f>VLOOKUP(C855,Países!$A$1:$B$186,2,TRUE)</f>
        <v>Europe</v>
      </c>
      <c r="E855" s="4" t="s">
        <v>20</v>
      </c>
      <c r="F855" s="4" t="str">
        <f>VLOOKUP(E855,Productos!$A$2:$D$13,2,TRUE)</f>
        <v>garrafa 4l</v>
      </c>
      <c r="G855" s="4">
        <f>VLOOKUP(E855,Productos!$A$2:$D$13,3,TRUE)</f>
        <v>5</v>
      </c>
      <c r="H855" s="4">
        <f>VLOOKUP(E855,Productos!$A$2:$D$13,4,TRUE)</f>
        <v>9.99</v>
      </c>
      <c r="I855" s="4" t="s">
        <v>17</v>
      </c>
      <c r="J855" s="4">
        <v>169</v>
      </c>
      <c r="K855" s="7">
        <v>42042</v>
      </c>
    </row>
    <row r="856" spans="1:11" x14ac:dyDescent="0.25">
      <c r="A856" s="4">
        <v>24116</v>
      </c>
      <c r="B856" s="4" t="s">
        <v>1039</v>
      </c>
      <c r="C856" s="4" t="s">
        <v>290</v>
      </c>
      <c r="D856" s="4" t="str">
        <f>VLOOKUP(C856,Países!$A$1:$B$186,2,TRUE)</f>
        <v>Europe</v>
      </c>
      <c r="E856" s="4" t="s">
        <v>26</v>
      </c>
      <c r="F856" s="4" t="str">
        <f>VLOOKUP(E856,Productos!$A$2:$D$13,2,TRUE)</f>
        <v>botellín 200cc</v>
      </c>
      <c r="G856" s="4">
        <f>VLOOKUP(E856,Productos!$A$2:$D$13,3,TRUE)</f>
        <v>1.5</v>
      </c>
      <c r="H856" s="4">
        <f>VLOOKUP(E856,Productos!$A$2:$D$13,4,TRUE)</f>
        <v>3</v>
      </c>
      <c r="I856" s="4" t="s">
        <v>10</v>
      </c>
      <c r="J856" s="4">
        <v>153</v>
      </c>
      <c r="K856" s="7">
        <v>42170</v>
      </c>
    </row>
    <row r="857" spans="1:11" x14ac:dyDescent="0.25">
      <c r="A857" s="4">
        <v>24117</v>
      </c>
      <c r="B857" s="4" t="s">
        <v>1040</v>
      </c>
      <c r="C857" s="4" t="s">
        <v>61</v>
      </c>
      <c r="D857" s="4" t="str">
        <f>VLOOKUP(C857,Países!$A$1:$B$186,2,TRUE)</f>
        <v>Sub-Saharan Africa</v>
      </c>
      <c r="E857" s="4" t="s">
        <v>51</v>
      </c>
      <c r="F857" s="4" t="str">
        <f>VLOOKUP(E857,Productos!$A$2:$D$13,2,TRUE)</f>
        <v>garrafa 8l</v>
      </c>
      <c r="G857" s="4">
        <f>VLOOKUP(E857,Productos!$A$2:$D$13,3,TRUE)</f>
        <v>8</v>
      </c>
      <c r="H857" s="4">
        <f>VLOOKUP(E857,Productos!$A$2:$D$13,4,TRUE)</f>
        <v>14.5</v>
      </c>
      <c r="I857" s="4" t="s">
        <v>17</v>
      </c>
      <c r="J857" s="4">
        <v>199</v>
      </c>
      <c r="K857" s="7">
        <v>42151</v>
      </c>
    </row>
    <row r="858" spans="1:11" x14ac:dyDescent="0.25">
      <c r="A858" s="4">
        <v>24118</v>
      </c>
      <c r="B858" s="4" t="s">
        <v>1041</v>
      </c>
      <c r="C858" s="4" t="s">
        <v>161</v>
      </c>
      <c r="D858" s="4" t="str">
        <f>VLOOKUP(C858,Países!$A$1:$B$186,2,TRUE)</f>
        <v>Central America and the Caribbean</v>
      </c>
      <c r="E858" s="4" t="s">
        <v>46</v>
      </c>
      <c r="F858" s="4" t="str">
        <f>VLOOKUP(E858,Productos!$A$2:$D$13,2,TRUE)</f>
        <v>botellín 500cc</v>
      </c>
      <c r="G858" s="4">
        <f>VLOOKUP(E858,Productos!$A$2:$D$13,3,TRUE)</f>
        <v>3.5</v>
      </c>
      <c r="H858" s="4">
        <f>VLOOKUP(E858,Productos!$A$2:$D$13,4,TRUE)</f>
        <v>6.5</v>
      </c>
      <c r="I858" s="4" t="s">
        <v>17</v>
      </c>
      <c r="J858" s="4">
        <v>41</v>
      </c>
      <c r="K858" s="7">
        <v>42053</v>
      </c>
    </row>
    <row r="859" spans="1:11" x14ac:dyDescent="0.25">
      <c r="A859" s="4">
        <v>24119</v>
      </c>
      <c r="B859" s="4" t="s">
        <v>1042</v>
      </c>
      <c r="C859" s="4" t="s">
        <v>190</v>
      </c>
      <c r="D859" s="4" t="str">
        <f>VLOOKUP(C859,Países!$A$1:$B$186,2,TRUE)</f>
        <v>Sub-Saharan Africa</v>
      </c>
      <c r="E859" s="4" t="s">
        <v>16</v>
      </c>
      <c r="F859" s="4" t="str">
        <f>VLOOKUP(E859,Productos!$A$2:$D$13,2,TRUE)</f>
        <v>botella 5l</v>
      </c>
      <c r="G859" s="4">
        <f>VLOOKUP(E859,Productos!$A$2:$D$13,3,TRUE)</f>
        <v>6</v>
      </c>
      <c r="H859" s="4">
        <f>VLOOKUP(E859,Productos!$A$2:$D$13,4,TRUE)</f>
        <v>9</v>
      </c>
      <c r="I859" s="4" t="s">
        <v>17</v>
      </c>
      <c r="J859" s="4">
        <v>197</v>
      </c>
      <c r="K859" s="7">
        <v>42103</v>
      </c>
    </row>
    <row r="860" spans="1:11" x14ac:dyDescent="0.25">
      <c r="A860" s="4">
        <v>24120</v>
      </c>
      <c r="B860" s="4" t="s">
        <v>1043</v>
      </c>
      <c r="C860" s="4" t="s">
        <v>55</v>
      </c>
      <c r="D860" s="4" t="str">
        <f>VLOOKUP(C860,Países!$A$1:$B$186,2,TRUE)</f>
        <v>Sub-Saharan Africa</v>
      </c>
      <c r="E860" s="4" t="s">
        <v>23</v>
      </c>
      <c r="F860" s="4" t="str">
        <f>VLOOKUP(E860,Productos!$A$2:$D$13,2,TRUE)</f>
        <v>botellín 400cc</v>
      </c>
      <c r="G860" s="4">
        <f>VLOOKUP(E860,Productos!$A$2:$D$13,3,TRUE)</f>
        <v>2.2999999999999998</v>
      </c>
      <c r="H860" s="4">
        <f>VLOOKUP(E860,Productos!$A$2:$D$13,4,TRUE)</f>
        <v>4.5</v>
      </c>
      <c r="I860" s="4" t="s">
        <v>10</v>
      </c>
      <c r="J860" s="4">
        <v>99</v>
      </c>
      <c r="K860" s="7">
        <v>42090</v>
      </c>
    </row>
    <row r="861" spans="1:11" x14ac:dyDescent="0.25">
      <c r="A861" s="4">
        <v>24121</v>
      </c>
      <c r="B861" s="4" t="s">
        <v>1044</v>
      </c>
      <c r="C861" s="4" t="s">
        <v>57</v>
      </c>
      <c r="D861" s="4" t="str">
        <f>VLOOKUP(C861,Países!$A$1:$B$186,2,TRUE)</f>
        <v>Sub-Saharan Africa</v>
      </c>
      <c r="E861" s="4" t="s">
        <v>16</v>
      </c>
      <c r="F861" s="4" t="str">
        <f>VLOOKUP(E861,Productos!$A$2:$D$13,2,TRUE)</f>
        <v>botella 5l</v>
      </c>
      <c r="G861" s="4">
        <f>VLOOKUP(E861,Productos!$A$2:$D$13,3,TRUE)</f>
        <v>6</v>
      </c>
      <c r="H861" s="4">
        <f>VLOOKUP(E861,Productos!$A$2:$D$13,4,TRUE)</f>
        <v>9</v>
      </c>
      <c r="I861" s="4" t="s">
        <v>10</v>
      </c>
      <c r="J861" s="4">
        <v>91</v>
      </c>
      <c r="K861" s="7">
        <v>42073</v>
      </c>
    </row>
    <row r="862" spans="1:11" x14ac:dyDescent="0.25">
      <c r="A862" s="4">
        <v>24122</v>
      </c>
      <c r="B862" s="4" t="s">
        <v>1045</v>
      </c>
      <c r="C862" s="4" t="s">
        <v>333</v>
      </c>
      <c r="D862" s="4" t="str">
        <f>VLOOKUP(C862,Países!$A$1:$B$186,2,TRUE)</f>
        <v>Asia</v>
      </c>
      <c r="E862" s="4" t="s">
        <v>23</v>
      </c>
      <c r="F862" s="4" t="str">
        <f>VLOOKUP(E862,Productos!$A$2:$D$13,2,TRUE)</f>
        <v>botellín 400cc</v>
      </c>
      <c r="G862" s="4">
        <f>VLOOKUP(E862,Productos!$A$2:$D$13,3,TRUE)</f>
        <v>2.2999999999999998</v>
      </c>
      <c r="H862" s="4">
        <f>VLOOKUP(E862,Productos!$A$2:$D$13,4,TRUE)</f>
        <v>4.5</v>
      </c>
      <c r="I862" s="4" t="s">
        <v>10</v>
      </c>
      <c r="J862" s="4">
        <v>125</v>
      </c>
      <c r="K862" s="7">
        <v>42048</v>
      </c>
    </row>
    <row r="863" spans="1:11" x14ac:dyDescent="0.25">
      <c r="A863" s="4">
        <v>24123</v>
      </c>
      <c r="B863" s="4" t="s">
        <v>1046</v>
      </c>
      <c r="C863" s="4" t="s">
        <v>442</v>
      </c>
      <c r="D863" s="4" t="str">
        <f>VLOOKUP(C863,Países!$A$1:$B$186,2,TRUE)</f>
        <v>Asia</v>
      </c>
      <c r="E863" s="4" t="s">
        <v>26</v>
      </c>
      <c r="F863" s="4" t="str">
        <f>VLOOKUP(E863,Productos!$A$2:$D$13,2,TRUE)</f>
        <v>botellín 200cc</v>
      </c>
      <c r="G863" s="4">
        <f>VLOOKUP(E863,Productos!$A$2:$D$13,3,TRUE)</f>
        <v>1.5</v>
      </c>
      <c r="H863" s="4">
        <f>VLOOKUP(E863,Productos!$A$2:$D$13,4,TRUE)</f>
        <v>3</v>
      </c>
      <c r="I863" s="4" t="s">
        <v>10</v>
      </c>
      <c r="J863" s="4">
        <v>18</v>
      </c>
      <c r="K863" s="7">
        <v>42229</v>
      </c>
    </row>
    <row r="864" spans="1:11" x14ac:dyDescent="0.25">
      <c r="A864" s="4">
        <v>24124</v>
      </c>
      <c r="B864" s="4" t="s">
        <v>1047</v>
      </c>
      <c r="C864" s="4" t="s">
        <v>288</v>
      </c>
      <c r="D864" s="4" t="str">
        <f>VLOOKUP(C864,Países!$A$1:$B$186,2,TRUE)</f>
        <v>Europe</v>
      </c>
      <c r="E864" s="4" t="s">
        <v>26</v>
      </c>
      <c r="F864" s="4" t="str">
        <f>VLOOKUP(E864,Productos!$A$2:$D$13,2,TRUE)</f>
        <v>botellín 200cc</v>
      </c>
      <c r="G864" s="4">
        <f>VLOOKUP(E864,Productos!$A$2:$D$13,3,TRUE)</f>
        <v>1.5</v>
      </c>
      <c r="H864" s="4">
        <f>VLOOKUP(E864,Productos!$A$2:$D$13,4,TRUE)</f>
        <v>3</v>
      </c>
      <c r="I864" s="4" t="s">
        <v>10</v>
      </c>
      <c r="J864" s="4">
        <v>159</v>
      </c>
      <c r="K864" s="7">
        <v>42085</v>
      </c>
    </row>
    <row r="865" spans="1:11" x14ac:dyDescent="0.25">
      <c r="A865" s="4">
        <v>24125</v>
      </c>
      <c r="B865" s="4" t="s">
        <v>1048</v>
      </c>
      <c r="C865" s="4" t="s">
        <v>406</v>
      </c>
      <c r="D865" s="4" t="str">
        <f>VLOOKUP(C865,Países!$A$1:$B$186,2,TRUE)</f>
        <v>Sub-Saharan Africa</v>
      </c>
      <c r="E865" s="4" t="s">
        <v>29</v>
      </c>
      <c r="F865" s="4" t="str">
        <f>VLOOKUP(E865,Productos!$A$2:$D$13,2,TRUE)</f>
        <v>botella 0.5l</v>
      </c>
      <c r="G865" s="4">
        <f>VLOOKUP(E865,Productos!$A$2:$D$13,3,TRUE)</f>
        <v>3</v>
      </c>
      <c r="H865" s="4">
        <f>VLOOKUP(E865,Productos!$A$2:$D$13,4,TRUE)</f>
        <v>6</v>
      </c>
      <c r="I865" s="4" t="s">
        <v>17</v>
      </c>
      <c r="J865" s="4">
        <v>104</v>
      </c>
      <c r="K865" s="7">
        <v>42237</v>
      </c>
    </row>
    <row r="866" spans="1:11" x14ac:dyDescent="0.25">
      <c r="A866" s="4">
        <v>24126</v>
      </c>
      <c r="B866" s="4" t="s">
        <v>1049</v>
      </c>
      <c r="C866" s="4" t="s">
        <v>290</v>
      </c>
      <c r="D866" s="4" t="str">
        <f>VLOOKUP(C866,Países!$A$1:$B$186,2,TRUE)</f>
        <v>Europe</v>
      </c>
      <c r="E866" s="4" t="s">
        <v>23</v>
      </c>
      <c r="F866" s="4" t="str">
        <f>VLOOKUP(E866,Productos!$A$2:$D$13,2,TRUE)</f>
        <v>botellín 400cc</v>
      </c>
      <c r="G866" s="4">
        <f>VLOOKUP(E866,Productos!$A$2:$D$13,3,TRUE)</f>
        <v>2.2999999999999998</v>
      </c>
      <c r="H866" s="4">
        <f>VLOOKUP(E866,Productos!$A$2:$D$13,4,TRUE)</f>
        <v>4.5</v>
      </c>
      <c r="I866" s="4" t="s">
        <v>10</v>
      </c>
      <c r="J866" s="4">
        <v>125</v>
      </c>
      <c r="K866" s="7">
        <v>42100</v>
      </c>
    </row>
    <row r="867" spans="1:11" x14ac:dyDescent="0.25">
      <c r="A867" s="4">
        <v>24127</v>
      </c>
      <c r="B867" s="4" t="s">
        <v>1050</v>
      </c>
      <c r="C867" s="4" t="s">
        <v>412</v>
      </c>
      <c r="D867" s="4" t="str">
        <f>VLOOKUP(C867,Países!$A$1:$B$186,2,TRUE)</f>
        <v>Central America and the Caribbean</v>
      </c>
      <c r="E867" s="4" t="s">
        <v>58</v>
      </c>
      <c r="F867" s="4" t="str">
        <f>VLOOKUP(E867,Productos!$A$2:$D$13,2,TRUE)</f>
        <v>garrafa 2l</v>
      </c>
      <c r="G867" s="4">
        <f>VLOOKUP(E867,Productos!$A$2:$D$13,3,TRUE)</f>
        <v>2.5</v>
      </c>
      <c r="H867" s="4">
        <f>VLOOKUP(E867,Productos!$A$2:$D$13,4,TRUE)</f>
        <v>4.5</v>
      </c>
      <c r="I867" s="4" t="s">
        <v>17</v>
      </c>
      <c r="J867" s="4">
        <v>25</v>
      </c>
      <c r="K867" s="7">
        <v>42180</v>
      </c>
    </row>
    <row r="868" spans="1:11" x14ac:dyDescent="0.25">
      <c r="A868" s="4">
        <v>24128</v>
      </c>
      <c r="B868" s="4" t="s">
        <v>1051</v>
      </c>
      <c r="C868" s="4" t="s">
        <v>83</v>
      </c>
      <c r="D868" s="4" t="str">
        <f>VLOOKUP(C868,Países!$A$1:$B$186,2,TRUE)</f>
        <v>Sub-Saharan Africa</v>
      </c>
      <c r="E868" s="4" t="s">
        <v>26</v>
      </c>
      <c r="F868" s="4" t="str">
        <f>VLOOKUP(E868,Productos!$A$2:$D$13,2,TRUE)</f>
        <v>botellín 200cc</v>
      </c>
      <c r="G868" s="4">
        <f>VLOOKUP(E868,Productos!$A$2:$D$13,3,TRUE)</f>
        <v>1.5</v>
      </c>
      <c r="H868" s="4">
        <f>VLOOKUP(E868,Productos!$A$2:$D$13,4,TRUE)</f>
        <v>3</v>
      </c>
      <c r="I868" s="4" t="s">
        <v>10</v>
      </c>
      <c r="J868" s="4">
        <v>183</v>
      </c>
      <c r="K868" s="7">
        <v>42032</v>
      </c>
    </row>
    <row r="869" spans="1:11" x14ac:dyDescent="0.25">
      <c r="A869" s="4">
        <v>24129</v>
      </c>
      <c r="B869" s="4" t="s">
        <v>1052</v>
      </c>
      <c r="C869" s="4" t="s">
        <v>73</v>
      </c>
      <c r="D869" s="4" t="str">
        <f>VLOOKUP(C869,Países!$A$1:$B$186,2,TRUE)</f>
        <v>Europe</v>
      </c>
      <c r="E869" s="4" t="s">
        <v>23</v>
      </c>
      <c r="F869" s="4" t="str">
        <f>VLOOKUP(E869,Productos!$A$2:$D$13,2,TRUE)</f>
        <v>botellín 400cc</v>
      </c>
      <c r="G869" s="4">
        <f>VLOOKUP(E869,Productos!$A$2:$D$13,3,TRUE)</f>
        <v>2.2999999999999998</v>
      </c>
      <c r="H869" s="4">
        <f>VLOOKUP(E869,Productos!$A$2:$D$13,4,TRUE)</f>
        <v>4.5</v>
      </c>
      <c r="I869" s="4" t="s">
        <v>10</v>
      </c>
      <c r="J869" s="4">
        <v>197</v>
      </c>
      <c r="K869" s="7">
        <v>42122</v>
      </c>
    </row>
    <row r="870" spans="1:11" x14ac:dyDescent="0.25">
      <c r="A870" s="4">
        <v>24130</v>
      </c>
      <c r="B870" s="4" t="s">
        <v>1053</v>
      </c>
      <c r="C870" s="4" t="s">
        <v>55</v>
      </c>
      <c r="D870" s="4" t="str">
        <f>VLOOKUP(C870,Países!$A$1:$B$186,2,TRUE)</f>
        <v>Sub-Saharan Africa</v>
      </c>
      <c r="E870" s="4" t="s">
        <v>20</v>
      </c>
      <c r="F870" s="4" t="str">
        <f>VLOOKUP(E870,Productos!$A$2:$D$13,2,TRUE)</f>
        <v>garrafa 4l</v>
      </c>
      <c r="G870" s="4">
        <f>VLOOKUP(E870,Productos!$A$2:$D$13,3,TRUE)</f>
        <v>5</v>
      </c>
      <c r="H870" s="4">
        <f>VLOOKUP(E870,Productos!$A$2:$D$13,4,TRUE)</f>
        <v>9.99</v>
      </c>
      <c r="I870" s="4" t="s">
        <v>10</v>
      </c>
      <c r="J870" s="4">
        <v>84</v>
      </c>
      <c r="K870" s="7">
        <v>42054</v>
      </c>
    </row>
    <row r="871" spans="1:11" x14ac:dyDescent="0.25">
      <c r="A871" s="4">
        <v>24131</v>
      </c>
      <c r="B871" s="4" t="s">
        <v>1054</v>
      </c>
      <c r="C871" s="4" t="s">
        <v>518</v>
      </c>
      <c r="D871" s="4" t="str">
        <f>VLOOKUP(C871,Países!$A$1:$B$186,2,TRUE)</f>
        <v>Middle East and North Africa</v>
      </c>
      <c r="E871" s="4" t="s">
        <v>29</v>
      </c>
      <c r="F871" s="4" t="str">
        <f>VLOOKUP(E871,Productos!$A$2:$D$13,2,TRUE)</f>
        <v>botella 0.5l</v>
      </c>
      <c r="G871" s="4">
        <f>VLOOKUP(E871,Productos!$A$2:$D$13,3,TRUE)</f>
        <v>3</v>
      </c>
      <c r="H871" s="4">
        <f>VLOOKUP(E871,Productos!$A$2:$D$13,4,TRUE)</f>
        <v>6</v>
      </c>
      <c r="I871" s="4" t="s">
        <v>17</v>
      </c>
      <c r="J871" s="4">
        <v>198</v>
      </c>
      <c r="K871" s="7">
        <v>42011</v>
      </c>
    </row>
    <row r="872" spans="1:11" x14ac:dyDescent="0.25">
      <c r="A872" s="4">
        <v>24132</v>
      </c>
      <c r="B872" s="4" t="s">
        <v>1055</v>
      </c>
      <c r="C872" s="4" t="s">
        <v>172</v>
      </c>
      <c r="D872" s="4" t="str">
        <f>VLOOKUP(C872,Países!$A$1:$B$186,2,TRUE)</f>
        <v>Middle East and North Africa</v>
      </c>
      <c r="E872" s="4" t="s">
        <v>29</v>
      </c>
      <c r="F872" s="4" t="str">
        <f>VLOOKUP(E872,Productos!$A$2:$D$13,2,TRUE)</f>
        <v>botella 0.5l</v>
      </c>
      <c r="G872" s="4">
        <f>VLOOKUP(E872,Productos!$A$2:$D$13,3,TRUE)</f>
        <v>3</v>
      </c>
      <c r="H872" s="4">
        <f>VLOOKUP(E872,Productos!$A$2:$D$13,4,TRUE)</f>
        <v>6</v>
      </c>
      <c r="I872" s="4" t="s">
        <v>10</v>
      </c>
      <c r="J872" s="4">
        <v>206</v>
      </c>
      <c r="K872" s="7">
        <v>42211</v>
      </c>
    </row>
    <row r="873" spans="1:11" x14ac:dyDescent="0.25">
      <c r="A873" s="4">
        <v>24133</v>
      </c>
      <c r="B873" s="4" t="s">
        <v>1056</v>
      </c>
      <c r="C873" s="4" t="s">
        <v>108</v>
      </c>
      <c r="D873" s="4" t="str">
        <f>VLOOKUP(C873,Países!$A$1:$B$186,2,TRUE)</f>
        <v>Sub-Saharan Africa</v>
      </c>
      <c r="E873" s="4" t="s">
        <v>51</v>
      </c>
      <c r="F873" s="4" t="str">
        <f>VLOOKUP(E873,Productos!$A$2:$D$13,2,TRUE)</f>
        <v>garrafa 8l</v>
      </c>
      <c r="G873" s="4">
        <f>VLOOKUP(E873,Productos!$A$2:$D$13,3,TRUE)</f>
        <v>8</v>
      </c>
      <c r="H873" s="4">
        <f>VLOOKUP(E873,Productos!$A$2:$D$13,4,TRUE)</f>
        <v>14.5</v>
      </c>
      <c r="I873" s="4" t="s">
        <v>17</v>
      </c>
      <c r="J873" s="4">
        <v>42</v>
      </c>
      <c r="K873" s="7">
        <v>42218</v>
      </c>
    </row>
    <row r="874" spans="1:11" x14ac:dyDescent="0.25">
      <c r="A874" s="4">
        <v>24134</v>
      </c>
      <c r="B874" s="4" t="s">
        <v>1057</v>
      </c>
      <c r="C874" s="4" t="s">
        <v>297</v>
      </c>
      <c r="D874" s="4" t="str">
        <f>VLOOKUP(C874,Países!$A$1:$B$186,2,TRUE)</f>
        <v>Central America and the Caribbean</v>
      </c>
      <c r="E874" s="4" t="s">
        <v>34</v>
      </c>
      <c r="F874" s="4" t="str">
        <f>VLOOKUP(E874,Productos!$A$2:$D$13,2,TRUE)</f>
        <v>garrafa 3l</v>
      </c>
      <c r="G874" s="4">
        <f>VLOOKUP(E874,Productos!$A$2:$D$13,3,TRUE)</f>
        <v>3.5</v>
      </c>
      <c r="H874" s="4">
        <f>VLOOKUP(E874,Productos!$A$2:$D$13,4,TRUE)</f>
        <v>6.99</v>
      </c>
      <c r="I874" s="4" t="s">
        <v>17</v>
      </c>
      <c r="J874" s="4">
        <v>47</v>
      </c>
      <c r="K874" s="7">
        <v>42051</v>
      </c>
    </row>
    <row r="875" spans="1:11" x14ac:dyDescent="0.25">
      <c r="A875" s="4">
        <v>24135</v>
      </c>
      <c r="B875" s="4" t="s">
        <v>1058</v>
      </c>
      <c r="C875" s="4" t="s">
        <v>434</v>
      </c>
      <c r="D875" s="4" t="str">
        <f>VLOOKUP(C875,Países!$A$1:$B$186,2,TRUE)</f>
        <v>Europe</v>
      </c>
      <c r="E875" s="4" t="s">
        <v>34</v>
      </c>
      <c r="F875" s="4" t="str">
        <f>VLOOKUP(E875,Productos!$A$2:$D$13,2,TRUE)</f>
        <v>garrafa 3l</v>
      </c>
      <c r="G875" s="4">
        <f>VLOOKUP(E875,Productos!$A$2:$D$13,3,TRUE)</f>
        <v>3.5</v>
      </c>
      <c r="H875" s="4">
        <f>VLOOKUP(E875,Productos!$A$2:$D$13,4,TRUE)</f>
        <v>6.99</v>
      </c>
      <c r="I875" s="4" t="s">
        <v>17</v>
      </c>
      <c r="J875" s="4">
        <v>108</v>
      </c>
      <c r="K875" s="7">
        <v>42101</v>
      </c>
    </row>
    <row r="876" spans="1:11" x14ac:dyDescent="0.25">
      <c r="A876" s="4">
        <v>24136</v>
      </c>
      <c r="B876" s="4" t="s">
        <v>1059</v>
      </c>
      <c r="C876" s="4" t="s">
        <v>390</v>
      </c>
      <c r="D876" s="4" t="str">
        <f>VLOOKUP(C876,Países!$A$1:$B$186,2,TRUE)</f>
        <v>Australia and Oceania</v>
      </c>
      <c r="E876" s="4" t="s">
        <v>34</v>
      </c>
      <c r="F876" s="4" t="str">
        <f>VLOOKUP(E876,Productos!$A$2:$D$13,2,TRUE)</f>
        <v>garrafa 3l</v>
      </c>
      <c r="G876" s="4">
        <f>VLOOKUP(E876,Productos!$A$2:$D$13,3,TRUE)</f>
        <v>3.5</v>
      </c>
      <c r="H876" s="4">
        <f>VLOOKUP(E876,Productos!$A$2:$D$13,4,TRUE)</f>
        <v>6.99</v>
      </c>
      <c r="I876" s="4" t="s">
        <v>10</v>
      </c>
      <c r="J876" s="4">
        <v>174</v>
      </c>
      <c r="K876" s="7">
        <v>42010</v>
      </c>
    </row>
    <row r="877" spans="1:11" x14ac:dyDescent="0.25">
      <c r="A877" s="4">
        <v>24137</v>
      </c>
      <c r="B877" s="4" t="s">
        <v>1060</v>
      </c>
      <c r="C877" s="4" t="s">
        <v>295</v>
      </c>
      <c r="D877" s="4" t="str">
        <f>VLOOKUP(C877,Países!$A$1:$B$186,2,TRUE)</f>
        <v>Central America and the Caribbean</v>
      </c>
      <c r="E877" s="4" t="s">
        <v>58</v>
      </c>
      <c r="F877" s="4" t="str">
        <f>VLOOKUP(E877,Productos!$A$2:$D$13,2,TRUE)</f>
        <v>garrafa 2l</v>
      </c>
      <c r="G877" s="4">
        <f>VLOOKUP(E877,Productos!$A$2:$D$13,3,TRUE)</f>
        <v>2.5</v>
      </c>
      <c r="H877" s="4">
        <f>VLOOKUP(E877,Productos!$A$2:$D$13,4,TRUE)</f>
        <v>4.5</v>
      </c>
      <c r="I877" s="4" t="s">
        <v>17</v>
      </c>
      <c r="J877" s="4">
        <v>68</v>
      </c>
      <c r="K877" s="7">
        <v>42214</v>
      </c>
    </row>
    <row r="878" spans="1:11" x14ac:dyDescent="0.25">
      <c r="A878" s="4">
        <v>24138</v>
      </c>
      <c r="B878" s="4" t="s">
        <v>1061</v>
      </c>
      <c r="C878" s="4" t="s">
        <v>295</v>
      </c>
      <c r="D878" s="4" t="str">
        <f>VLOOKUP(C878,Países!$A$1:$B$186,2,TRUE)</f>
        <v>Central America and the Caribbean</v>
      </c>
      <c r="E878" s="4" t="s">
        <v>51</v>
      </c>
      <c r="F878" s="4" t="str">
        <f>VLOOKUP(E878,Productos!$A$2:$D$13,2,TRUE)</f>
        <v>garrafa 8l</v>
      </c>
      <c r="G878" s="4">
        <f>VLOOKUP(E878,Productos!$A$2:$D$13,3,TRUE)</f>
        <v>8</v>
      </c>
      <c r="H878" s="4">
        <f>VLOOKUP(E878,Productos!$A$2:$D$13,4,TRUE)</f>
        <v>14.5</v>
      </c>
      <c r="I878" s="4" t="s">
        <v>10</v>
      </c>
      <c r="J878" s="4">
        <v>108</v>
      </c>
      <c r="K878" s="7">
        <v>42121</v>
      </c>
    </row>
    <row r="879" spans="1:11" x14ac:dyDescent="0.25">
      <c r="A879" s="4">
        <v>24139</v>
      </c>
      <c r="B879" s="4" t="s">
        <v>1062</v>
      </c>
      <c r="C879" s="4" t="s">
        <v>248</v>
      </c>
      <c r="D879" s="4" t="str">
        <f>VLOOKUP(C879,Países!$A$1:$B$186,2,TRUE)</f>
        <v>Europe</v>
      </c>
      <c r="E879" s="4" t="s">
        <v>23</v>
      </c>
      <c r="F879" s="4" t="str">
        <f>VLOOKUP(E879,Productos!$A$2:$D$13,2,TRUE)</f>
        <v>botellín 400cc</v>
      </c>
      <c r="G879" s="4">
        <f>VLOOKUP(E879,Productos!$A$2:$D$13,3,TRUE)</f>
        <v>2.2999999999999998</v>
      </c>
      <c r="H879" s="4">
        <f>VLOOKUP(E879,Productos!$A$2:$D$13,4,TRUE)</f>
        <v>4.5</v>
      </c>
      <c r="I879" s="4" t="s">
        <v>17</v>
      </c>
      <c r="J879" s="4">
        <v>10</v>
      </c>
      <c r="K879" s="7">
        <v>42240</v>
      </c>
    </row>
    <row r="880" spans="1:11" x14ac:dyDescent="0.25">
      <c r="A880" s="4">
        <v>24140</v>
      </c>
      <c r="B880" s="4" t="s">
        <v>1063</v>
      </c>
      <c r="C880" s="4" t="s">
        <v>144</v>
      </c>
      <c r="D880" s="4" t="str">
        <f>VLOOKUP(C880,Países!$A$1:$B$186,2,TRUE)</f>
        <v>North America</v>
      </c>
      <c r="E880" s="4" t="s">
        <v>23</v>
      </c>
      <c r="F880" s="4" t="str">
        <f>VLOOKUP(E880,Productos!$A$2:$D$13,2,TRUE)</f>
        <v>botellín 400cc</v>
      </c>
      <c r="G880" s="4">
        <f>VLOOKUP(E880,Productos!$A$2:$D$13,3,TRUE)</f>
        <v>2.2999999999999998</v>
      </c>
      <c r="H880" s="4">
        <f>VLOOKUP(E880,Productos!$A$2:$D$13,4,TRUE)</f>
        <v>4.5</v>
      </c>
      <c r="I880" s="4" t="s">
        <v>17</v>
      </c>
      <c r="J880" s="4">
        <v>58</v>
      </c>
      <c r="K880" s="7">
        <v>42107</v>
      </c>
    </row>
    <row r="881" spans="1:11" x14ac:dyDescent="0.25">
      <c r="A881" s="4">
        <v>24141</v>
      </c>
      <c r="B881" s="4" t="s">
        <v>1064</v>
      </c>
      <c r="C881" s="4" t="s">
        <v>380</v>
      </c>
      <c r="D881" s="4" t="str">
        <f>VLOOKUP(C881,Países!$A$1:$B$186,2,TRUE)</f>
        <v>Asia</v>
      </c>
      <c r="E881" s="4" t="s">
        <v>23</v>
      </c>
      <c r="F881" s="4" t="str">
        <f>VLOOKUP(E881,Productos!$A$2:$D$13,2,TRUE)</f>
        <v>botellín 400cc</v>
      </c>
      <c r="G881" s="4">
        <f>VLOOKUP(E881,Productos!$A$2:$D$13,3,TRUE)</f>
        <v>2.2999999999999998</v>
      </c>
      <c r="H881" s="4">
        <f>VLOOKUP(E881,Productos!$A$2:$D$13,4,TRUE)</f>
        <v>4.5</v>
      </c>
      <c r="I881" s="4" t="s">
        <v>10</v>
      </c>
      <c r="J881" s="4">
        <v>203</v>
      </c>
      <c r="K881" s="7">
        <v>42050</v>
      </c>
    </row>
    <row r="882" spans="1:11" x14ac:dyDescent="0.25">
      <c r="A882" s="4">
        <v>24142</v>
      </c>
      <c r="B882" s="4" t="s">
        <v>1065</v>
      </c>
      <c r="C882" s="4" t="s">
        <v>335</v>
      </c>
      <c r="D882" s="4" t="str">
        <f>VLOOKUP(C882,Países!$A$1:$B$186,2,TRUE)</f>
        <v>Middle East and North Africa</v>
      </c>
      <c r="E882" s="4" t="s">
        <v>26</v>
      </c>
      <c r="F882" s="4" t="str">
        <f>VLOOKUP(E882,Productos!$A$2:$D$13,2,TRUE)</f>
        <v>botellín 200cc</v>
      </c>
      <c r="G882" s="4">
        <f>VLOOKUP(E882,Productos!$A$2:$D$13,3,TRUE)</f>
        <v>1.5</v>
      </c>
      <c r="H882" s="4">
        <f>VLOOKUP(E882,Productos!$A$2:$D$13,4,TRUE)</f>
        <v>3</v>
      </c>
      <c r="I882" s="4" t="s">
        <v>10</v>
      </c>
      <c r="J882" s="4">
        <v>201</v>
      </c>
      <c r="K882" s="7">
        <v>42147</v>
      </c>
    </row>
    <row r="883" spans="1:11" x14ac:dyDescent="0.25">
      <c r="A883" s="4">
        <v>24143</v>
      </c>
      <c r="B883" s="4" t="s">
        <v>1066</v>
      </c>
      <c r="C883" s="4" t="s">
        <v>465</v>
      </c>
      <c r="D883" s="4" t="str">
        <f>VLOOKUP(C883,Países!$A$1:$B$186,2,TRUE)</f>
        <v>Central America and the Caribbean</v>
      </c>
      <c r="E883" s="4" t="s">
        <v>34</v>
      </c>
      <c r="F883" s="4" t="str">
        <f>VLOOKUP(E883,Productos!$A$2:$D$13,2,TRUE)</f>
        <v>garrafa 3l</v>
      </c>
      <c r="G883" s="4">
        <f>VLOOKUP(E883,Productos!$A$2:$D$13,3,TRUE)</f>
        <v>3.5</v>
      </c>
      <c r="H883" s="4">
        <f>VLOOKUP(E883,Productos!$A$2:$D$13,4,TRUE)</f>
        <v>6.99</v>
      </c>
      <c r="I883" s="4" t="s">
        <v>10</v>
      </c>
      <c r="J883" s="4">
        <v>13</v>
      </c>
      <c r="K883" s="7">
        <v>42141</v>
      </c>
    </row>
    <row r="884" spans="1:11" x14ac:dyDescent="0.25">
      <c r="A884" s="4">
        <v>24144</v>
      </c>
      <c r="B884" s="4" t="s">
        <v>1067</v>
      </c>
      <c r="C884" s="4" t="s">
        <v>694</v>
      </c>
      <c r="D884" s="4" t="str">
        <f>VLOOKUP(C884,Países!$A$1:$B$186,2,TRUE)</f>
        <v>Sub-Saharan Africa</v>
      </c>
      <c r="E884" s="4" t="s">
        <v>58</v>
      </c>
      <c r="F884" s="4" t="str">
        <f>VLOOKUP(E884,Productos!$A$2:$D$13,2,TRUE)</f>
        <v>garrafa 2l</v>
      </c>
      <c r="G884" s="4">
        <f>VLOOKUP(E884,Productos!$A$2:$D$13,3,TRUE)</f>
        <v>2.5</v>
      </c>
      <c r="H884" s="4">
        <f>VLOOKUP(E884,Productos!$A$2:$D$13,4,TRUE)</f>
        <v>4.5</v>
      </c>
      <c r="I884" s="4" t="s">
        <v>17</v>
      </c>
      <c r="J884" s="4">
        <v>168</v>
      </c>
      <c r="K884" s="7">
        <v>42147</v>
      </c>
    </row>
    <row r="885" spans="1:11" x14ac:dyDescent="0.25">
      <c r="A885" s="4">
        <v>24145</v>
      </c>
      <c r="B885" s="4" t="s">
        <v>1068</v>
      </c>
      <c r="C885" s="4" t="s">
        <v>250</v>
      </c>
      <c r="D885" s="4" t="str">
        <f>VLOOKUP(C885,Países!$A$1:$B$186,2,TRUE)</f>
        <v>Sub-Saharan Africa</v>
      </c>
      <c r="E885" s="4" t="s">
        <v>16</v>
      </c>
      <c r="F885" s="4" t="str">
        <f>VLOOKUP(E885,Productos!$A$2:$D$13,2,TRUE)</f>
        <v>botella 5l</v>
      </c>
      <c r="G885" s="4">
        <f>VLOOKUP(E885,Productos!$A$2:$D$13,3,TRUE)</f>
        <v>6</v>
      </c>
      <c r="H885" s="4">
        <f>VLOOKUP(E885,Productos!$A$2:$D$13,4,TRUE)</f>
        <v>9</v>
      </c>
      <c r="I885" s="4" t="s">
        <v>17</v>
      </c>
      <c r="J885" s="4">
        <v>89</v>
      </c>
      <c r="K885" s="7">
        <v>42132</v>
      </c>
    </row>
    <row r="886" spans="1:11" x14ac:dyDescent="0.25">
      <c r="A886" s="4">
        <v>24146</v>
      </c>
      <c r="B886" s="4" t="s">
        <v>1069</v>
      </c>
      <c r="C886" s="4" t="s">
        <v>515</v>
      </c>
      <c r="D886" s="4" t="str">
        <f>VLOOKUP(C886,Países!$A$1:$B$186,2,TRUE)</f>
        <v>Sub-Saharan Africa</v>
      </c>
      <c r="E886" s="4" t="s">
        <v>13</v>
      </c>
      <c r="F886" s="4" t="str">
        <f>VLOOKUP(E886,Productos!$A$2:$D$13,2,TRUE)</f>
        <v>botella 1l</v>
      </c>
      <c r="G886" s="4">
        <f>VLOOKUP(E886,Productos!$A$2:$D$13,3,TRUE)</f>
        <v>3.5</v>
      </c>
      <c r="H886" s="4">
        <f>VLOOKUP(E886,Productos!$A$2:$D$13,4,TRUE)</f>
        <v>6.5</v>
      </c>
      <c r="I886" s="4" t="s">
        <v>17</v>
      </c>
      <c r="J886" s="4">
        <v>64</v>
      </c>
      <c r="K886" s="7">
        <v>42178</v>
      </c>
    </row>
    <row r="887" spans="1:11" x14ac:dyDescent="0.25">
      <c r="A887" s="4">
        <v>24147</v>
      </c>
      <c r="B887" s="4" t="s">
        <v>1070</v>
      </c>
      <c r="C887" s="4" t="s">
        <v>127</v>
      </c>
      <c r="D887" s="4" t="str">
        <f>VLOOKUP(C887,Países!$A$1:$B$186,2,TRUE)</f>
        <v>Europe</v>
      </c>
      <c r="E887" s="4" t="s">
        <v>9</v>
      </c>
      <c r="F887" s="4" t="str">
        <f>VLOOKUP(E887,Productos!$A$2:$D$13,2,TRUE)</f>
        <v>garrafa 1l</v>
      </c>
      <c r="G887" s="4">
        <f>VLOOKUP(E887,Productos!$A$2:$D$13,3,TRUE)</f>
        <v>1</v>
      </c>
      <c r="H887" s="4">
        <f>VLOOKUP(E887,Productos!$A$2:$D$13,4,TRUE)</f>
        <v>2</v>
      </c>
      <c r="I887" s="4" t="s">
        <v>59</v>
      </c>
      <c r="J887" s="4">
        <v>12</v>
      </c>
      <c r="K887" s="7">
        <v>42208</v>
      </c>
    </row>
    <row r="888" spans="1:11" x14ac:dyDescent="0.25">
      <c r="A888" s="4">
        <v>24148</v>
      </c>
      <c r="B888" s="4" t="s">
        <v>1071</v>
      </c>
      <c r="C888" s="4" t="s">
        <v>422</v>
      </c>
      <c r="D888" s="4" t="str">
        <f>VLOOKUP(C888,Países!$A$1:$B$186,2,TRUE)</f>
        <v>Asia</v>
      </c>
      <c r="E888" s="4" t="s">
        <v>23</v>
      </c>
      <c r="F888" s="4" t="str">
        <f>VLOOKUP(E888,Productos!$A$2:$D$13,2,TRUE)</f>
        <v>botellín 400cc</v>
      </c>
      <c r="G888" s="4">
        <f>VLOOKUP(E888,Productos!$A$2:$D$13,3,TRUE)</f>
        <v>2.2999999999999998</v>
      </c>
      <c r="H888" s="4">
        <f>VLOOKUP(E888,Productos!$A$2:$D$13,4,TRUE)</f>
        <v>4.5</v>
      </c>
      <c r="I888" s="4" t="s">
        <v>17</v>
      </c>
      <c r="J888" s="4">
        <v>58</v>
      </c>
      <c r="K888" s="7">
        <v>42078</v>
      </c>
    </row>
    <row r="889" spans="1:11" x14ac:dyDescent="0.25">
      <c r="A889" s="4">
        <v>24149</v>
      </c>
      <c r="B889" s="4" t="s">
        <v>1072</v>
      </c>
      <c r="C889" s="4" t="s">
        <v>252</v>
      </c>
      <c r="D889" s="4" t="str">
        <f>VLOOKUP(C889,Países!$A$1:$B$186,2,TRUE)</f>
        <v>Europe</v>
      </c>
      <c r="E889" s="4" t="s">
        <v>26</v>
      </c>
      <c r="F889" s="4" t="str">
        <f>VLOOKUP(E889,Productos!$A$2:$D$13,2,TRUE)</f>
        <v>botellín 200cc</v>
      </c>
      <c r="G889" s="4">
        <f>VLOOKUP(E889,Productos!$A$2:$D$13,3,TRUE)</f>
        <v>1.5</v>
      </c>
      <c r="H889" s="4">
        <f>VLOOKUP(E889,Productos!$A$2:$D$13,4,TRUE)</f>
        <v>3</v>
      </c>
      <c r="I889" s="4" t="s">
        <v>10</v>
      </c>
      <c r="J889" s="4">
        <v>142</v>
      </c>
      <c r="K889" s="7">
        <v>42080</v>
      </c>
    </row>
    <row r="890" spans="1:11" x14ac:dyDescent="0.25">
      <c r="A890" s="4">
        <v>24150</v>
      </c>
      <c r="B890" s="4" t="s">
        <v>1073</v>
      </c>
      <c r="C890" s="4" t="s">
        <v>57</v>
      </c>
      <c r="D890" s="4" t="str">
        <f>VLOOKUP(C890,Países!$A$1:$B$186,2,TRUE)</f>
        <v>Sub-Saharan Africa</v>
      </c>
      <c r="E890" s="4" t="s">
        <v>9</v>
      </c>
      <c r="F890" s="4" t="str">
        <f>VLOOKUP(E890,Productos!$A$2:$D$13,2,TRUE)</f>
        <v>garrafa 1l</v>
      </c>
      <c r="G890" s="4">
        <f>VLOOKUP(E890,Productos!$A$2:$D$13,3,TRUE)</f>
        <v>1</v>
      </c>
      <c r="H890" s="4">
        <f>VLOOKUP(E890,Productos!$A$2:$D$13,4,TRUE)</f>
        <v>2</v>
      </c>
      <c r="I890" s="4" t="s">
        <v>17</v>
      </c>
      <c r="J890" s="4">
        <v>46</v>
      </c>
      <c r="K890" s="7">
        <v>42101</v>
      </c>
    </row>
    <row r="891" spans="1:11" x14ac:dyDescent="0.25">
      <c r="A891" s="4">
        <v>24151</v>
      </c>
      <c r="B891" s="4" t="s">
        <v>1074</v>
      </c>
      <c r="C891" s="4" t="s">
        <v>164</v>
      </c>
      <c r="D891" s="4" t="str">
        <f>VLOOKUP(C891,Países!$A$1:$B$186,2,TRUE)</f>
        <v>Europe</v>
      </c>
      <c r="E891" s="4" t="s">
        <v>29</v>
      </c>
      <c r="F891" s="4" t="str">
        <f>VLOOKUP(E891,Productos!$A$2:$D$13,2,TRUE)</f>
        <v>botella 0.5l</v>
      </c>
      <c r="G891" s="4">
        <f>VLOOKUP(E891,Productos!$A$2:$D$13,3,TRUE)</f>
        <v>3</v>
      </c>
      <c r="H891" s="4">
        <f>VLOOKUP(E891,Productos!$A$2:$D$13,4,TRUE)</f>
        <v>6</v>
      </c>
      <c r="I891" s="4" t="s">
        <v>10</v>
      </c>
      <c r="J891" s="4">
        <v>210</v>
      </c>
      <c r="K891" s="7">
        <v>42188</v>
      </c>
    </row>
    <row r="892" spans="1:11" x14ac:dyDescent="0.25">
      <c r="A892" s="4">
        <v>24152</v>
      </c>
      <c r="B892" s="4" t="s">
        <v>1075</v>
      </c>
      <c r="C892" s="4" t="s">
        <v>283</v>
      </c>
      <c r="D892" s="4" t="str">
        <f>VLOOKUP(C892,Países!$A$1:$B$186,2,TRUE)</f>
        <v>Middle East and North Africa</v>
      </c>
      <c r="E892" s="4" t="s">
        <v>9</v>
      </c>
      <c r="F892" s="4" t="str">
        <f>VLOOKUP(E892,Productos!$A$2:$D$13,2,TRUE)</f>
        <v>garrafa 1l</v>
      </c>
      <c r="G892" s="4">
        <f>VLOOKUP(E892,Productos!$A$2:$D$13,3,TRUE)</f>
        <v>1</v>
      </c>
      <c r="H892" s="4">
        <f>VLOOKUP(E892,Productos!$A$2:$D$13,4,TRUE)</f>
        <v>2</v>
      </c>
      <c r="I892" s="4" t="s">
        <v>10</v>
      </c>
      <c r="J892" s="4">
        <v>130</v>
      </c>
      <c r="K892" s="7">
        <v>42005</v>
      </c>
    </row>
    <row r="893" spans="1:11" x14ac:dyDescent="0.25">
      <c r="A893" s="4">
        <v>24153</v>
      </c>
      <c r="B893" s="4" t="s">
        <v>1076</v>
      </c>
      <c r="C893" s="4" t="s">
        <v>97</v>
      </c>
      <c r="D893" s="4" t="str">
        <f>VLOOKUP(C893,Países!$A$1:$B$186,2,TRUE)</f>
        <v>Sub-Saharan Africa</v>
      </c>
      <c r="E893" s="4" t="s">
        <v>16</v>
      </c>
      <c r="F893" s="4" t="str">
        <f>VLOOKUP(E893,Productos!$A$2:$D$13,2,TRUE)</f>
        <v>botella 5l</v>
      </c>
      <c r="G893" s="4">
        <f>VLOOKUP(E893,Productos!$A$2:$D$13,3,TRUE)</f>
        <v>6</v>
      </c>
      <c r="H893" s="4">
        <f>VLOOKUP(E893,Productos!$A$2:$D$13,4,TRUE)</f>
        <v>9</v>
      </c>
      <c r="I893" s="4" t="s">
        <v>59</v>
      </c>
      <c r="J893" s="4">
        <v>173</v>
      </c>
      <c r="K893" s="7">
        <v>42015</v>
      </c>
    </row>
    <row r="894" spans="1:11" x14ac:dyDescent="0.25">
      <c r="A894" s="4">
        <v>24154</v>
      </c>
      <c r="B894" s="4" t="s">
        <v>1077</v>
      </c>
      <c r="C894" s="4" t="s">
        <v>63</v>
      </c>
      <c r="D894" s="4" t="str">
        <f>VLOOKUP(C894,Países!$A$1:$B$186,2,TRUE)</f>
        <v>Australia and Oceania</v>
      </c>
      <c r="E894" s="4" t="s">
        <v>58</v>
      </c>
      <c r="F894" s="4" t="str">
        <f>VLOOKUP(E894,Productos!$A$2:$D$13,2,TRUE)</f>
        <v>garrafa 2l</v>
      </c>
      <c r="G894" s="4">
        <f>VLOOKUP(E894,Productos!$A$2:$D$13,3,TRUE)</f>
        <v>2.5</v>
      </c>
      <c r="H894" s="4">
        <f>VLOOKUP(E894,Productos!$A$2:$D$13,4,TRUE)</f>
        <v>4.5</v>
      </c>
      <c r="I894" s="4" t="s">
        <v>10</v>
      </c>
      <c r="J894" s="4">
        <v>54</v>
      </c>
      <c r="K894" s="7">
        <v>42233</v>
      </c>
    </row>
    <row r="895" spans="1:11" x14ac:dyDescent="0.25">
      <c r="A895" s="4">
        <v>24155</v>
      </c>
      <c r="B895" s="4" t="s">
        <v>1078</v>
      </c>
      <c r="C895" s="4" t="s">
        <v>390</v>
      </c>
      <c r="D895" s="4" t="str">
        <f>VLOOKUP(C895,Países!$A$1:$B$186,2,TRUE)</f>
        <v>Australia and Oceania</v>
      </c>
      <c r="E895" s="4" t="s">
        <v>58</v>
      </c>
      <c r="F895" s="4" t="str">
        <f>VLOOKUP(E895,Productos!$A$2:$D$13,2,TRUE)</f>
        <v>garrafa 2l</v>
      </c>
      <c r="G895" s="4">
        <f>VLOOKUP(E895,Productos!$A$2:$D$13,3,TRUE)</f>
        <v>2.5</v>
      </c>
      <c r="H895" s="4">
        <f>VLOOKUP(E895,Productos!$A$2:$D$13,4,TRUE)</f>
        <v>4.5</v>
      </c>
      <c r="I895" s="4" t="s">
        <v>10</v>
      </c>
      <c r="J895" s="4">
        <v>44</v>
      </c>
      <c r="K895" s="7">
        <v>42020</v>
      </c>
    </row>
    <row r="896" spans="1:11" x14ac:dyDescent="0.25">
      <c r="A896" s="4">
        <v>24156</v>
      </c>
      <c r="B896" s="4" t="s">
        <v>1079</v>
      </c>
      <c r="C896" s="4" t="s">
        <v>406</v>
      </c>
      <c r="D896" s="4" t="str">
        <f>VLOOKUP(C896,Países!$A$1:$B$186,2,TRUE)</f>
        <v>Sub-Saharan Africa</v>
      </c>
      <c r="E896" s="4" t="s">
        <v>13</v>
      </c>
      <c r="F896" s="4" t="str">
        <f>VLOOKUP(E896,Productos!$A$2:$D$13,2,TRUE)</f>
        <v>botella 1l</v>
      </c>
      <c r="G896" s="4">
        <f>VLOOKUP(E896,Productos!$A$2:$D$13,3,TRUE)</f>
        <v>3.5</v>
      </c>
      <c r="H896" s="4">
        <f>VLOOKUP(E896,Productos!$A$2:$D$13,4,TRUE)</f>
        <v>6.5</v>
      </c>
      <c r="I896" s="4" t="s">
        <v>59</v>
      </c>
      <c r="J896" s="4">
        <v>71</v>
      </c>
      <c r="K896" s="7">
        <v>42075</v>
      </c>
    </row>
    <row r="897" spans="1:11" x14ac:dyDescent="0.25">
      <c r="A897" s="4">
        <v>24157</v>
      </c>
      <c r="B897" s="4" t="s">
        <v>1080</v>
      </c>
      <c r="C897" s="4" t="s">
        <v>146</v>
      </c>
      <c r="D897" s="4" t="str">
        <f>VLOOKUP(C897,Países!$A$1:$B$186,2,TRUE)</f>
        <v>Europe</v>
      </c>
      <c r="E897" s="4" t="s">
        <v>23</v>
      </c>
      <c r="F897" s="4" t="str">
        <f>VLOOKUP(E897,Productos!$A$2:$D$13,2,TRUE)</f>
        <v>botellín 400cc</v>
      </c>
      <c r="G897" s="4">
        <f>VLOOKUP(E897,Productos!$A$2:$D$13,3,TRUE)</f>
        <v>2.2999999999999998</v>
      </c>
      <c r="H897" s="4">
        <f>VLOOKUP(E897,Productos!$A$2:$D$13,4,TRUE)</f>
        <v>4.5</v>
      </c>
      <c r="I897" s="4" t="s">
        <v>10</v>
      </c>
      <c r="J897" s="4">
        <v>132</v>
      </c>
      <c r="K897" s="7">
        <v>42134</v>
      </c>
    </row>
    <row r="898" spans="1:11" x14ac:dyDescent="0.25">
      <c r="A898" s="4">
        <v>24158</v>
      </c>
      <c r="B898" s="4" t="s">
        <v>1081</v>
      </c>
      <c r="C898" s="4" t="s">
        <v>380</v>
      </c>
      <c r="D898" s="4" t="str">
        <f>VLOOKUP(C898,Países!$A$1:$B$186,2,TRUE)</f>
        <v>Asia</v>
      </c>
      <c r="E898" s="4" t="s">
        <v>46</v>
      </c>
      <c r="F898" s="4" t="str">
        <f>VLOOKUP(E898,Productos!$A$2:$D$13,2,TRUE)</f>
        <v>botellín 500cc</v>
      </c>
      <c r="G898" s="4">
        <f>VLOOKUP(E898,Productos!$A$2:$D$13,3,TRUE)</f>
        <v>3.5</v>
      </c>
      <c r="H898" s="4">
        <f>VLOOKUP(E898,Productos!$A$2:$D$13,4,TRUE)</f>
        <v>6.5</v>
      </c>
      <c r="I898" s="4" t="s">
        <v>17</v>
      </c>
      <c r="J898" s="4">
        <v>38</v>
      </c>
      <c r="K898" s="7">
        <v>42211</v>
      </c>
    </row>
    <row r="899" spans="1:11" x14ac:dyDescent="0.25">
      <c r="A899" s="4">
        <v>24159</v>
      </c>
      <c r="B899" s="4" t="s">
        <v>1082</v>
      </c>
      <c r="C899" s="4" t="s">
        <v>172</v>
      </c>
      <c r="D899" s="4" t="str">
        <f>VLOOKUP(C899,Países!$A$1:$B$186,2,TRUE)</f>
        <v>Middle East and North Africa</v>
      </c>
      <c r="E899" s="4" t="s">
        <v>58</v>
      </c>
      <c r="F899" s="4" t="str">
        <f>VLOOKUP(E899,Productos!$A$2:$D$13,2,TRUE)</f>
        <v>garrafa 2l</v>
      </c>
      <c r="G899" s="4">
        <f>VLOOKUP(E899,Productos!$A$2:$D$13,3,TRUE)</f>
        <v>2.5</v>
      </c>
      <c r="H899" s="4">
        <f>VLOOKUP(E899,Productos!$A$2:$D$13,4,TRUE)</f>
        <v>4.5</v>
      </c>
      <c r="I899" s="4" t="s">
        <v>17</v>
      </c>
      <c r="J899" s="4">
        <v>40</v>
      </c>
      <c r="K899" s="7">
        <v>42068</v>
      </c>
    </row>
    <row r="900" spans="1:11" x14ac:dyDescent="0.25">
      <c r="A900" s="4">
        <v>24160</v>
      </c>
      <c r="B900" s="4" t="s">
        <v>1083</v>
      </c>
      <c r="C900" s="4" t="s">
        <v>938</v>
      </c>
      <c r="D900" s="4" t="str">
        <f>VLOOKUP(C900,Países!$A$1:$B$186,2,TRUE)</f>
        <v>Middle East and North Africa</v>
      </c>
      <c r="E900" s="4" t="s">
        <v>16</v>
      </c>
      <c r="F900" s="4" t="str">
        <f>VLOOKUP(E900,Productos!$A$2:$D$13,2,TRUE)</f>
        <v>botella 5l</v>
      </c>
      <c r="G900" s="4">
        <f>VLOOKUP(E900,Productos!$A$2:$D$13,3,TRUE)</f>
        <v>6</v>
      </c>
      <c r="H900" s="4">
        <f>VLOOKUP(E900,Productos!$A$2:$D$13,4,TRUE)</f>
        <v>9</v>
      </c>
      <c r="I900" s="4" t="s">
        <v>10</v>
      </c>
      <c r="J900" s="4">
        <v>58</v>
      </c>
      <c r="K900" s="7">
        <v>42242</v>
      </c>
    </row>
    <row r="901" spans="1:11" x14ac:dyDescent="0.25">
      <c r="A901" s="4">
        <v>24161</v>
      </c>
      <c r="B901" s="4" t="s">
        <v>1084</v>
      </c>
      <c r="C901" s="4" t="s">
        <v>36</v>
      </c>
      <c r="D901" s="4" t="str">
        <f>VLOOKUP(C901,Países!$A$1:$B$186,2,TRUE)</f>
        <v>Sub-Saharan Africa</v>
      </c>
      <c r="E901" s="4" t="s">
        <v>34</v>
      </c>
      <c r="F901" s="4" t="str">
        <f>VLOOKUP(E901,Productos!$A$2:$D$13,2,TRUE)</f>
        <v>garrafa 3l</v>
      </c>
      <c r="G901" s="4">
        <f>VLOOKUP(E901,Productos!$A$2:$D$13,3,TRUE)</f>
        <v>3.5</v>
      </c>
      <c r="H901" s="4">
        <f>VLOOKUP(E901,Productos!$A$2:$D$13,4,TRUE)</f>
        <v>6.99</v>
      </c>
      <c r="I901" s="4" t="s">
        <v>17</v>
      </c>
      <c r="J901" s="4">
        <v>185</v>
      </c>
      <c r="K901" s="7">
        <v>42152</v>
      </c>
    </row>
    <row r="902" spans="1:11" x14ac:dyDescent="0.25">
      <c r="A902" s="4">
        <v>24162</v>
      </c>
      <c r="B902" s="4" t="s">
        <v>1085</v>
      </c>
      <c r="C902" s="4" t="s">
        <v>71</v>
      </c>
      <c r="D902" s="4" t="str">
        <f>VLOOKUP(C902,Países!$A$1:$B$186,2,TRUE)</f>
        <v>Australia and Oceania</v>
      </c>
      <c r="E902" s="4" t="s">
        <v>23</v>
      </c>
      <c r="F902" s="4" t="str">
        <f>VLOOKUP(E902,Productos!$A$2:$D$13,2,TRUE)</f>
        <v>botellín 400cc</v>
      </c>
      <c r="G902" s="4">
        <f>VLOOKUP(E902,Productos!$A$2:$D$13,3,TRUE)</f>
        <v>2.2999999999999998</v>
      </c>
      <c r="H902" s="4">
        <f>VLOOKUP(E902,Productos!$A$2:$D$13,4,TRUE)</f>
        <v>4.5</v>
      </c>
      <c r="I902" s="4" t="s">
        <v>10</v>
      </c>
      <c r="J902" s="4">
        <v>61</v>
      </c>
      <c r="K902" s="7">
        <v>42176</v>
      </c>
    </row>
    <row r="903" spans="1:11" x14ac:dyDescent="0.25">
      <c r="A903" s="4">
        <v>24163</v>
      </c>
      <c r="B903" s="4" t="s">
        <v>1086</v>
      </c>
      <c r="C903" s="4" t="s">
        <v>53</v>
      </c>
      <c r="D903" s="4" t="str">
        <f>VLOOKUP(C903,Países!$A$1:$B$186,2,TRUE)</f>
        <v>Europe</v>
      </c>
      <c r="E903" s="4" t="s">
        <v>9</v>
      </c>
      <c r="F903" s="4" t="str">
        <f>VLOOKUP(E903,Productos!$A$2:$D$13,2,TRUE)</f>
        <v>garrafa 1l</v>
      </c>
      <c r="G903" s="4">
        <f>VLOOKUP(E903,Productos!$A$2:$D$13,3,TRUE)</f>
        <v>1</v>
      </c>
      <c r="H903" s="4">
        <f>VLOOKUP(E903,Productos!$A$2:$D$13,4,TRUE)</f>
        <v>2</v>
      </c>
      <c r="I903" s="4" t="s">
        <v>17</v>
      </c>
      <c r="J903" s="4">
        <v>84</v>
      </c>
      <c r="K903" s="7">
        <v>42182</v>
      </c>
    </row>
    <row r="904" spans="1:11" x14ac:dyDescent="0.25">
      <c r="A904" s="4">
        <v>24164</v>
      </c>
      <c r="B904" s="4" t="s">
        <v>1087</v>
      </c>
      <c r="C904" s="4" t="s">
        <v>349</v>
      </c>
      <c r="D904" s="4" t="str">
        <f>VLOOKUP(C904,Países!$A$1:$B$186,2,TRUE)</f>
        <v>Middle East and North Africa</v>
      </c>
      <c r="E904" s="4" t="s">
        <v>23</v>
      </c>
      <c r="F904" s="4" t="str">
        <f>VLOOKUP(E904,Productos!$A$2:$D$13,2,TRUE)</f>
        <v>botellín 400cc</v>
      </c>
      <c r="G904" s="4">
        <f>VLOOKUP(E904,Productos!$A$2:$D$13,3,TRUE)</f>
        <v>2.2999999999999998</v>
      </c>
      <c r="H904" s="4">
        <f>VLOOKUP(E904,Productos!$A$2:$D$13,4,TRUE)</f>
        <v>4.5</v>
      </c>
      <c r="I904" s="4" t="s">
        <v>10</v>
      </c>
      <c r="J904" s="4">
        <v>119</v>
      </c>
      <c r="K904" s="7">
        <v>42028</v>
      </c>
    </row>
    <row r="905" spans="1:11" x14ac:dyDescent="0.25">
      <c r="A905" s="4">
        <v>24165</v>
      </c>
      <c r="B905" s="4" t="s">
        <v>1088</v>
      </c>
      <c r="C905" s="4" t="s">
        <v>119</v>
      </c>
      <c r="D905" s="4" t="str">
        <f>VLOOKUP(C905,Países!$A$1:$B$186,2,TRUE)</f>
        <v>Sub-Saharan Africa</v>
      </c>
      <c r="E905" s="4" t="s">
        <v>51</v>
      </c>
      <c r="F905" s="4" t="str">
        <f>VLOOKUP(E905,Productos!$A$2:$D$13,2,TRUE)</f>
        <v>garrafa 8l</v>
      </c>
      <c r="G905" s="4">
        <f>VLOOKUP(E905,Productos!$A$2:$D$13,3,TRUE)</f>
        <v>8</v>
      </c>
      <c r="H905" s="4">
        <f>VLOOKUP(E905,Productos!$A$2:$D$13,4,TRUE)</f>
        <v>14.5</v>
      </c>
      <c r="I905" s="4" t="s">
        <v>17</v>
      </c>
      <c r="J905" s="4">
        <v>54</v>
      </c>
      <c r="K905" s="7">
        <v>42079</v>
      </c>
    </row>
    <row r="906" spans="1:11" x14ac:dyDescent="0.25">
      <c r="A906" s="4">
        <v>24166</v>
      </c>
      <c r="B906" s="4" t="s">
        <v>1089</v>
      </c>
      <c r="C906" s="4" t="s">
        <v>83</v>
      </c>
      <c r="D906" s="4" t="str">
        <f>VLOOKUP(C906,Países!$A$1:$B$186,2,TRUE)</f>
        <v>Sub-Saharan Africa</v>
      </c>
      <c r="E906" s="4" t="s">
        <v>26</v>
      </c>
      <c r="F906" s="4" t="str">
        <f>VLOOKUP(E906,Productos!$A$2:$D$13,2,TRUE)</f>
        <v>botellín 200cc</v>
      </c>
      <c r="G906" s="4">
        <f>VLOOKUP(E906,Productos!$A$2:$D$13,3,TRUE)</f>
        <v>1.5</v>
      </c>
      <c r="H906" s="4">
        <f>VLOOKUP(E906,Productos!$A$2:$D$13,4,TRUE)</f>
        <v>3</v>
      </c>
      <c r="I906" s="4" t="s">
        <v>10</v>
      </c>
      <c r="J906" s="4">
        <v>191</v>
      </c>
      <c r="K906" s="7">
        <v>42020</v>
      </c>
    </row>
    <row r="907" spans="1:11" x14ac:dyDescent="0.25">
      <c r="A907" s="4">
        <v>24167</v>
      </c>
      <c r="B907" s="4" t="s">
        <v>1090</v>
      </c>
      <c r="C907" s="4" t="s">
        <v>1091</v>
      </c>
      <c r="D907" s="4" t="str">
        <f>VLOOKUP(C907,Países!$A$1:$B$186,2,TRUE)</f>
        <v>Sub-Saharan Africa</v>
      </c>
      <c r="E907" s="4" t="s">
        <v>13</v>
      </c>
      <c r="F907" s="4" t="str">
        <f>VLOOKUP(E907,Productos!$A$2:$D$13,2,TRUE)</f>
        <v>botella 1l</v>
      </c>
      <c r="G907" s="4">
        <f>VLOOKUP(E907,Productos!$A$2:$D$13,3,TRUE)</f>
        <v>3.5</v>
      </c>
      <c r="H907" s="4">
        <f>VLOOKUP(E907,Productos!$A$2:$D$13,4,TRUE)</f>
        <v>6.5</v>
      </c>
      <c r="I907" s="4" t="s">
        <v>10</v>
      </c>
      <c r="J907" s="4">
        <v>181</v>
      </c>
      <c r="K907" s="7">
        <v>42207</v>
      </c>
    </row>
    <row r="908" spans="1:11" x14ac:dyDescent="0.25">
      <c r="A908" s="4">
        <v>24168</v>
      </c>
      <c r="B908" s="4" t="s">
        <v>1092</v>
      </c>
      <c r="C908" s="4" t="s">
        <v>166</v>
      </c>
      <c r="D908" s="4" t="str">
        <f>VLOOKUP(C908,Países!$A$1:$B$186,2,TRUE)</f>
        <v>Asia</v>
      </c>
      <c r="E908" s="4" t="s">
        <v>23</v>
      </c>
      <c r="F908" s="4" t="str">
        <f>VLOOKUP(E908,Productos!$A$2:$D$13,2,TRUE)</f>
        <v>botellín 400cc</v>
      </c>
      <c r="G908" s="4">
        <f>VLOOKUP(E908,Productos!$A$2:$D$13,3,TRUE)</f>
        <v>2.2999999999999998</v>
      </c>
      <c r="H908" s="4">
        <f>VLOOKUP(E908,Productos!$A$2:$D$13,4,TRUE)</f>
        <v>4.5</v>
      </c>
      <c r="I908" s="4" t="s">
        <v>17</v>
      </c>
      <c r="J908" s="4">
        <v>99</v>
      </c>
      <c r="K908" s="7">
        <v>42142</v>
      </c>
    </row>
    <row r="909" spans="1:11" x14ac:dyDescent="0.25">
      <c r="A909" s="4">
        <v>24169</v>
      </c>
      <c r="B909" s="4" t="s">
        <v>1093</v>
      </c>
      <c r="C909" s="4" t="s">
        <v>456</v>
      </c>
      <c r="D909" s="4" t="str">
        <f>VLOOKUP(C909,Países!$A$1:$B$186,2,TRUE)</f>
        <v>Europe</v>
      </c>
      <c r="E909" s="4" t="s">
        <v>29</v>
      </c>
      <c r="F909" s="4" t="str">
        <f>VLOOKUP(E909,Productos!$A$2:$D$13,2,TRUE)</f>
        <v>botella 0.5l</v>
      </c>
      <c r="G909" s="4">
        <f>VLOOKUP(E909,Productos!$A$2:$D$13,3,TRUE)</f>
        <v>3</v>
      </c>
      <c r="H909" s="4">
        <f>VLOOKUP(E909,Productos!$A$2:$D$13,4,TRUE)</f>
        <v>6</v>
      </c>
      <c r="I909" s="4" t="s">
        <v>10</v>
      </c>
      <c r="J909" s="4">
        <v>120</v>
      </c>
      <c r="K909" s="7">
        <v>42192</v>
      </c>
    </row>
    <row r="910" spans="1:11" x14ac:dyDescent="0.25">
      <c r="A910" s="4">
        <v>24170</v>
      </c>
      <c r="B910" s="4" t="s">
        <v>1094</v>
      </c>
      <c r="C910" s="4" t="s">
        <v>69</v>
      </c>
      <c r="D910" s="4" t="str">
        <f>VLOOKUP(C910,Países!$A$1:$B$186,2,TRUE)</f>
        <v>Middle East and North Africa</v>
      </c>
      <c r="E910" s="4" t="s">
        <v>29</v>
      </c>
      <c r="F910" s="4" t="str">
        <f>VLOOKUP(E910,Productos!$A$2:$D$13,2,TRUE)</f>
        <v>botella 0.5l</v>
      </c>
      <c r="G910" s="4">
        <f>VLOOKUP(E910,Productos!$A$2:$D$13,3,TRUE)</f>
        <v>3</v>
      </c>
      <c r="H910" s="4">
        <f>VLOOKUP(E910,Productos!$A$2:$D$13,4,TRUE)</f>
        <v>6</v>
      </c>
      <c r="I910" s="4" t="s">
        <v>10</v>
      </c>
      <c r="J910" s="4">
        <v>38</v>
      </c>
      <c r="K910" s="7">
        <v>42216</v>
      </c>
    </row>
    <row r="911" spans="1:11" x14ac:dyDescent="0.25">
      <c r="A911" s="4">
        <v>24171</v>
      </c>
      <c r="B911" s="4" t="s">
        <v>1095</v>
      </c>
      <c r="C911" s="4" t="s">
        <v>65</v>
      </c>
      <c r="D911" s="4" t="str">
        <f>VLOOKUP(C911,Países!$A$1:$B$186,2,TRUE)</f>
        <v>Australia and Oceania</v>
      </c>
      <c r="E911" s="4" t="s">
        <v>20</v>
      </c>
      <c r="F911" s="4" t="str">
        <f>VLOOKUP(E911,Productos!$A$2:$D$13,2,TRUE)</f>
        <v>garrafa 4l</v>
      </c>
      <c r="G911" s="4">
        <f>VLOOKUP(E911,Productos!$A$2:$D$13,3,TRUE)</f>
        <v>5</v>
      </c>
      <c r="H911" s="4">
        <f>VLOOKUP(E911,Productos!$A$2:$D$13,4,TRUE)</f>
        <v>9.99</v>
      </c>
      <c r="I911" s="4" t="s">
        <v>10</v>
      </c>
      <c r="J911" s="4">
        <v>2</v>
      </c>
      <c r="K911" s="7">
        <v>42222</v>
      </c>
    </row>
    <row r="912" spans="1:11" x14ac:dyDescent="0.25">
      <c r="A912" s="4">
        <v>24172</v>
      </c>
      <c r="B912" s="4" t="s">
        <v>1096</v>
      </c>
      <c r="C912" s="4" t="s">
        <v>341</v>
      </c>
      <c r="D912" s="4" t="str">
        <f>VLOOKUP(C912,Países!$A$1:$B$186,2,TRUE)</f>
        <v>Sub-Saharan Africa</v>
      </c>
      <c r="E912" s="4" t="s">
        <v>26</v>
      </c>
      <c r="F912" s="4" t="str">
        <f>VLOOKUP(E912,Productos!$A$2:$D$13,2,TRUE)</f>
        <v>botellín 200cc</v>
      </c>
      <c r="G912" s="4">
        <f>VLOOKUP(E912,Productos!$A$2:$D$13,3,TRUE)</f>
        <v>1.5</v>
      </c>
      <c r="H912" s="4">
        <f>VLOOKUP(E912,Productos!$A$2:$D$13,4,TRUE)</f>
        <v>3</v>
      </c>
      <c r="I912" s="4" t="s">
        <v>17</v>
      </c>
      <c r="J912" s="4">
        <v>99</v>
      </c>
      <c r="K912" s="7">
        <v>42203</v>
      </c>
    </row>
    <row r="913" spans="1:11" x14ac:dyDescent="0.25">
      <c r="A913" s="4">
        <v>24173</v>
      </c>
      <c r="B913" s="4" t="s">
        <v>1097</v>
      </c>
      <c r="C913" s="4" t="s">
        <v>22</v>
      </c>
      <c r="D913" s="4" t="str">
        <f>VLOOKUP(C913,Países!$A$1:$B$186,2,TRUE)</f>
        <v>Sub-Saharan Africa</v>
      </c>
      <c r="E913" s="4" t="s">
        <v>20</v>
      </c>
      <c r="F913" s="4" t="str">
        <f>VLOOKUP(E913,Productos!$A$2:$D$13,2,TRUE)</f>
        <v>garrafa 4l</v>
      </c>
      <c r="G913" s="4">
        <f>VLOOKUP(E913,Productos!$A$2:$D$13,3,TRUE)</f>
        <v>5</v>
      </c>
      <c r="H913" s="4">
        <f>VLOOKUP(E913,Productos!$A$2:$D$13,4,TRUE)</f>
        <v>9.99</v>
      </c>
      <c r="I913" s="4" t="s">
        <v>10</v>
      </c>
      <c r="J913" s="4">
        <v>136</v>
      </c>
      <c r="K913" s="7">
        <v>42009</v>
      </c>
    </row>
    <row r="914" spans="1:11" x14ac:dyDescent="0.25">
      <c r="A914" s="4">
        <v>24174</v>
      </c>
      <c r="B914" s="4" t="s">
        <v>1098</v>
      </c>
      <c r="C914" s="4" t="s">
        <v>100</v>
      </c>
      <c r="D914" s="4" t="str">
        <f>VLOOKUP(C914,Países!$A$1:$B$186,2,TRUE)</f>
        <v>Asia</v>
      </c>
      <c r="E914" s="4" t="s">
        <v>23</v>
      </c>
      <c r="F914" s="4" t="str">
        <f>VLOOKUP(E914,Productos!$A$2:$D$13,2,TRUE)</f>
        <v>botellín 400cc</v>
      </c>
      <c r="G914" s="4">
        <f>VLOOKUP(E914,Productos!$A$2:$D$13,3,TRUE)</f>
        <v>2.2999999999999998</v>
      </c>
      <c r="H914" s="4">
        <f>VLOOKUP(E914,Productos!$A$2:$D$13,4,TRUE)</f>
        <v>4.5</v>
      </c>
      <c r="I914" s="4" t="s">
        <v>10</v>
      </c>
      <c r="J914" s="4">
        <v>163</v>
      </c>
      <c r="K914" s="7">
        <v>42194</v>
      </c>
    </row>
    <row r="915" spans="1:11" x14ac:dyDescent="0.25">
      <c r="A915" s="4">
        <v>24175</v>
      </c>
      <c r="B915" s="4" t="s">
        <v>1099</v>
      </c>
      <c r="C915" s="4" t="s">
        <v>341</v>
      </c>
      <c r="D915" s="4" t="str">
        <f>VLOOKUP(C915,Países!$A$1:$B$186,2,TRUE)</f>
        <v>Sub-Saharan Africa</v>
      </c>
      <c r="E915" s="4" t="s">
        <v>23</v>
      </c>
      <c r="F915" s="4" t="str">
        <f>VLOOKUP(E915,Productos!$A$2:$D$13,2,TRUE)</f>
        <v>botellín 400cc</v>
      </c>
      <c r="G915" s="4">
        <f>VLOOKUP(E915,Productos!$A$2:$D$13,3,TRUE)</f>
        <v>2.2999999999999998</v>
      </c>
      <c r="H915" s="4">
        <f>VLOOKUP(E915,Productos!$A$2:$D$13,4,TRUE)</f>
        <v>4.5</v>
      </c>
      <c r="I915" s="4" t="s">
        <v>17</v>
      </c>
      <c r="J915" s="4">
        <v>97</v>
      </c>
      <c r="K915" s="7">
        <v>42063</v>
      </c>
    </row>
    <row r="916" spans="1:11" x14ac:dyDescent="0.25">
      <c r="A916" s="4">
        <v>24176</v>
      </c>
      <c r="B916" s="4" t="s">
        <v>1100</v>
      </c>
      <c r="C916" s="4" t="s">
        <v>140</v>
      </c>
      <c r="D916" s="4" t="str">
        <f>VLOOKUP(C916,Países!$A$1:$B$186,2,TRUE)</f>
        <v>Sub-Saharan Africa</v>
      </c>
      <c r="E916" s="4" t="s">
        <v>13</v>
      </c>
      <c r="F916" s="4" t="str">
        <f>VLOOKUP(E916,Productos!$A$2:$D$13,2,TRUE)</f>
        <v>botella 1l</v>
      </c>
      <c r="G916" s="4">
        <f>VLOOKUP(E916,Productos!$A$2:$D$13,3,TRUE)</f>
        <v>3.5</v>
      </c>
      <c r="H916" s="4">
        <f>VLOOKUP(E916,Productos!$A$2:$D$13,4,TRUE)</f>
        <v>6.5</v>
      </c>
      <c r="I916" s="4" t="s">
        <v>17</v>
      </c>
      <c r="J916" s="4">
        <v>209</v>
      </c>
      <c r="K916" s="7">
        <v>42114</v>
      </c>
    </row>
    <row r="917" spans="1:11" x14ac:dyDescent="0.25">
      <c r="A917" s="4">
        <v>24177</v>
      </c>
      <c r="B917" s="4" t="s">
        <v>1101</v>
      </c>
      <c r="C917" s="4" t="s">
        <v>515</v>
      </c>
      <c r="D917" s="4" t="str">
        <f>VLOOKUP(C917,Países!$A$1:$B$186,2,TRUE)</f>
        <v>Sub-Saharan Africa</v>
      </c>
      <c r="E917" s="4" t="s">
        <v>13</v>
      </c>
      <c r="F917" s="4" t="str">
        <f>VLOOKUP(E917,Productos!$A$2:$D$13,2,TRUE)</f>
        <v>botella 1l</v>
      </c>
      <c r="G917" s="4">
        <f>VLOOKUP(E917,Productos!$A$2:$D$13,3,TRUE)</f>
        <v>3.5</v>
      </c>
      <c r="H917" s="4">
        <f>VLOOKUP(E917,Productos!$A$2:$D$13,4,TRUE)</f>
        <v>6.5</v>
      </c>
      <c r="I917" s="4" t="s">
        <v>17</v>
      </c>
      <c r="J917" s="4">
        <v>33</v>
      </c>
      <c r="K917" s="7">
        <v>42080</v>
      </c>
    </row>
    <row r="918" spans="1:11" x14ac:dyDescent="0.25">
      <c r="A918" s="4">
        <v>24178</v>
      </c>
      <c r="B918" s="4" t="s">
        <v>1102</v>
      </c>
      <c r="C918" s="4" t="s">
        <v>83</v>
      </c>
      <c r="D918" s="4" t="str">
        <f>VLOOKUP(C918,Países!$A$1:$B$186,2,TRUE)</f>
        <v>Sub-Saharan Africa</v>
      </c>
      <c r="E918" s="4" t="s">
        <v>26</v>
      </c>
      <c r="F918" s="4" t="str">
        <f>VLOOKUP(E918,Productos!$A$2:$D$13,2,TRUE)</f>
        <v>botellín 200cc</v>
      </c>
      <c r="G918" s="4">
        <f>VLOOKUP(E918,Productos!$A$2:$D$13,3,TRUE)</f>
        <v>1.5</v>
      </c>
      <c r="H918" s="4">
        <f>VLOOKUP(E918,Productos!$A$2:$D$13,4,TRUE)</f>
        <v>3</v>
      </c>
      <c r="I918" s="4" t="s">
        <v>17</v>
      </c>
      <c r="J918" s="4">
        <v>80</v>
      </c>
      <c r="K918" s="7">
        <v>42159</v>
      </c>
    </row>
    <row r="919" spans="1:11" x14ac:dyDescent="0.25">
      <c r="A919" s="4">
        <v>24179</v>
      </c>
      <c r="B919" s="4" t="s">
        <v>1103</v>
      </c>
      <c r="C919" s="4" t="s">
        <v>366</v>
      </c>
      <c r="D919" s="4" t="str">
        <f>VLOOKUP(C919,Países!$A$1:$B$186,2,TRUE)</f>
        <v>Middle East and North Africa</v>
      </c>
      <c r="E919" s="4" t="s">
        <v>46</v>
      </c>
      <c r="F919" s="4" t="str">
        <f>VLOOKUP(E919,Productos!$A$2:$D$13,2,TRUE)</f>
        <v>botellín 500cc</v>
      </c>
      <c r="G919" s="4">
        <f>VLOOKUP(E919,Productos!$A$2:$D$13,3,TRUE)</f>
        <v>3.5</v>
      </c>
      <c r="H919" s="4">
        <f>VLOOKUP(E919,Productos!$A$2:$D$13,4,TRUE)</f>
        <v>6.5</v>
      </c>
      <c r="I919" s="4" t="s">
        <v>17</v>
      </c>
      <c r="J919" s="4">
        <v>190</v>
      </c>
      <c r="K919" s="7">
        <v>42239</v>
      </c>
    </row>
    <row r="920" spans="1:11" x14ac:dyDescent="0.25">
      <c r="A920" s="4">
        <v>24180</v>
      </c>
      <c r="B920" s="4" t="s">
        <v>1104</v>
      </c>
      <c r="C920" s="4" t="s">
        <v>263</v>
      </c>
      <c r="D920" s="4" t="str">
        <f>VLOOKUP(C920,Países!$A$1:$B$186,2,TRUE)</f>
        <v>Central America and the Caribbean</v>
      </c>
      <c r="E920" s="4" t="s">
        <v>9</v>
      </c>
      <c r="F920" s="4" t="str">
        <f>VLOOKUP(E920,Productos!$A$2:$D$13,2,TRUE)</f>
        <v>garrafa 1l</v>
      </c>
      <c r="G920" s="4">
        <f>VLOOKUP(E920,Productos!$A$2:$D$13,3,TRUE)</f>
        <v>1</v>
      </c>
      <c r="H920" s="4">
        <f>VLOOKUP(E920,Productos!$A$2:$D$13,4,TRUE)</f>
        <v>2</v>
      </c>
      <c r="I920" s="4" t="s">
        <v>10</v>
      </c>
      <c r="J920" s="4">
        <v>168</v>
      </c>
      <c r="K920" s="7">
        <v>42025</v>
      </c>
    </row>
    <row r="921" spans="1:11" x14ac:dyDescent="0.25">
      <c r="A921" s="4">
        <v>24181</v>
      </c>
      <c r="B921" s="4" t="s">
        <v>1105</v>
      </c>
      <c r="C921" s="4" t="s">
        <v>188</v>
      </c>
      <c r="D921" s="4" t="str">
        <f>VLOOKUP(C921,Países!$A$1:$B$186,2,TRUE)</f>
        <v>Australia and Oceania</v>
      </c>
      <c r="E921" s="4" t="s">
        <v>58</v>
      </c>
      <c r="F921" s="4" t="str">
        <f>VLOOKUP(E921,Productos!$A$2:$D$13,2,TRUE)</f>
        <v>garrafa 2l</v>
      </c>
      <c r="G921" s="4">
        <f>VLOOKUP(E921,Productos!$A$2:$D$13,3,TRUE)</f>
        <v>2.5</v>
      </c>
      <c r="H921" s="4">
        <f>VLOOKUP(E921,Productos!$A$2:$D$13,4,TRUE)</f>
        <v>4.5</v>
      </c>
      <c r="I921" s="4" t="s">
        <v>10</v>
      </c>
      <c r="J921" s="4">
        <v>12</v>
      </c>
      <c r="K921" s="7">
        <v>42070</v>
      </c>
    </row>
    <row r="922" spans="1:11" x14ac:dyDescent="0.25">
      <c r="A922" s="4">
        <v>24182</v>
      </c>
      <c r="B922" s="4" t="s">
        <v>1106</v>
      </c>
      <c r="C922" s="4" t="s">
        <v>456</v>
      </c>
      <c r="D922" s="4" t="str">
        <f>VLOOKUP(C922,Países!$A$1:$B$186,2,TRUE)</f>
        <v>Europe</v>
      </c>
      <c r="E922" s="4" t="s">
        <v>34</v>
      </c>
      <c r="F922" s="4" t="str">
        <f>VLOOKUP(E922,Productos!$A$2:$D$13,2,TRUE)</f>
        <v>garrafa 3l</v>
      </c>
      <c r="G922" s="4">
        <f>VLOOKUP(E922,Productos!$A$2:$D$13,3,TRUE)</f>
        <v>3.5</v>
      </c>
      <c r="H922" s="4">
        <f>VLOOKUP(E922,Productos!$A$2:$D$13,4,TRUE)</f>
        <v>6.99</v>
      </c>
      <c r="I922" s="4" t="s">
        <v>59</v>
      </c>
      <c r="J922" s="4">
        <v>31</v>
      </c>
      <c r="K922" s="7">
        <v>42107</v>
      </c>
    </row>
    <row r="923" spans="1:11" x14ac:dyDescent="0.25">
      <c r="A923" s="4">
        <v>24183</v>
      </c>
      <c r="B923" s="4" t="s">
        <v>1107</v>
      </c>
      <c r="C923" s="4" t="s">
        <v>57</v>
      </c>
      <c r="D923" s="4" t="str">
        <f>VLOOKUP(C923,Países!$A$1:$B$186,2,TRUE)</f>
        <v>Sub-Saharan Africa</v>
      </c>
      <c r="E923" s="4" t="s">
        <v>26</v>
      </c>
      <c r="F923" s="4" t="str">
        <f>VLOOKUP(E923,Productos!$A$2:$D$13,2,TRUE)</f>
        <v>botellín 200cc</v>
      </c>
      <c r="G923" s="4">
        <f>VLOOKUP(E923,Productos!$A$2:$D$13,3,TRUE)</f>
        <v>1.5</v>
      </c>
      <c r="H923" s="4">
        <f>VLOOKUP(E923,Productos!$A$2:$D$13,4,TRUE)</f>
        <v>3</v>
      </c>
      <c r="I923" s="4" t="s">
        <v>17</v>
      </c>
      <c r="J923" s="4">
        <v>51</v>
      </c>
      <c r="K923" s="7">
        <v>42110</v>
      </c>
    </row>
    <row r="924" spans="1:11" x14ac:dyDescent="0.25">
      <c r="A924" s="4">
        <v>24184</v>
      </c>
      <c r="B924" s="4" t="s">
        <v>1108</v>
      </c>
      <c r="C924" s="4" t="s">
        <v>926</v>
      </c>
      <c r="D924" s="4" t="str">
        <f>VLOOKUP(C924,Países!$A$1:$B$186,2,TRUE)</f>
        <v>Sub-Saharan Africa</v>
      </c>
      <c r="E924" s="4" t="s">
        <v>51</v>
      </c>
      <c r="F924" s="4" t="str">
        <f>VLOOKUP(E924,Productos!$A$2:$D$13,2,TRUE)</f>
        <v>garrafa 8l</v>
      </c>
      <c r="G924" s="4">
        <f>VLOOKUP(E924,Productos!$A$2:$D$13,3,TRUE)</f>
        <v>8</v>
      </c>
      <c r="H924" s="4">
        <f>VLOOKUP(E924,Productos!$A$2:$D$13,4,TRUE)</f>
        <v>14.5</v>
      </c>
      <c r="I924" s="4" t="s">
        <v>10</v>
      </c>
      <c r="J924" s="4">
        <v>135</v>
      </c>
      <c r="K924" s="7">
        <v>42053</v>
      </c>
    </row>
    <row r="925" spans="1:11" x14ac:dyDescent="0.25">
      <c r="A925" s="4">
        <v>24185</v>
      </c>
      <c r="B925" s="4" t="s">
        <v>1109</v>
      </c>
      <c r="C925" s="4" t="s">
        <v>263</v>
      </c>
      <c r="D925" s="4" t="str">
        <f>VLOOKUP(C925,Países!$A$1:$B$186,2,TRUE)</f>
        <v>Central America and the Caribbean</v>
      </c>
      <c r="E925" s="4" t="s">
        <v>29</v>
      </c>
      <c r="F925" s="4" t="str">
        <f>VLOOKUP(E925,Productos!$A$2:$D$13,2,TRUE)</f>
        <v>botella 0.5l</v>
      </c>
      <c r="G925" s="4">
        <f>VLOOKUP(E925,Productos!$A$2:$D$13,3,TRUE)</f>
        <v>3</v>
      </c>
      <c r="H925" s="4">
        <f>VLOOKUP(E925,Productos!$A$2:$D$13,4,TRUE)</f>
        <v>6</v>
      </c>
      <c r="I925" s="4" t="s">
        <v>10</v>
      </c>
      <c r="J925" s="4">
        <v>80</v>
      </c>
      <c r="K925" s="7">
        <v>42180</v>
      </c>
    </row>
    <row r="926" spans="1:11" x14ac:dyDescent="0.25">
      <c r="A926" s="4">
        <v>24186</v>
      </c>
      <c r="B926" s="4" t="s">
        <v>1110</v>
      </c>
      <c r="C926" s="4" t="s">
        <v>28</v>
      </c>
      <c r="D926" s="4" t="str">
        <f>VLOOKUP(C926,Países!$A$1:$B$186,2,TRUE)</f>
        <v>Central America and the Caribbean</v>
      </c>
      <c r="E926" s="4" t="s">
        <v>13</v>
      </c>
      <c r="F926" s="4" t="str">
        <f>VLOOKUP(E926,Productos!$A$2:$D$13,2,TRUE)</f>
        <v>botella 1l</v>
      </c>
      <c r="G926" s="4">
        <f>VLOOKUP(E926,Productos!$A$2:$D$13,3,TRUE)</f>
        <v>3.5</v>
      </c>
      <c r="H926" s="4">
        <f>VLOOKUP(E926,Productos!$A$2:$D$13,4,TRUE)</f>
        <v>6.5</v>
      </c>
      <c r="I926" s="4" t="s">
        <v>10</v>
      </c>
      <c r="J926" s="4">
        <v>15</v>
      </c>
      <c r="K926" s="7">
        <v>42072</v>
      </c>
    </row>
    <row r="927" spans="1:11" x14ac:dyDescent="0.25">
      <c r="A927" s="4">
        <v>24187</v>
      </c>
      <c r="B927" s="4" t="s">
        <v>1111</v>
      </c>
      <c r="C927" s="4" t="s">
        <v>278</v>
      </c>
      <c r="D927" s="4" t="str">
        <f>VLOOKUP(C927,Países!$A$1:$B$186,2,TRUE)</f>
        <v>Australia and Oceania</v>
      </c>
      <c r="E927" s="4" t="s">
        <v>23</v>
      </c>
      <c r="F927" s="4" t="str">
        <f>VLOOKUP(E927,Productos!$A$2:$D$13,2,TRUE)</f>
        <v>botellín 400cc</v>
      </c>
      <c r="G927" s="4">
        <f>VLOOKUP(E927,Productos!$A$2:$D$13,3,TRUE)</f>
        <v>2.2999999999999998</v>
      </c>
      <c r="H927" s="4">
        <f>VLOOKUP(E927,Productos!$A$2:$D$13,4,TRUE)</f>
        <v>4.5</v>
      </c>
      <c r="I927" s="4" t="s">
        <v>17</v>
      </c>
      <c r="J927" s="4">
        <v>81</v>
      </c>
      <c r="K927" s="7">
        <v>42136</v>
      </c>
    </row>
    <row r="928" spans="1:11" x14ac:dyDescent="0.25">
      <c r="A928" s="4">
        <v>24188</v>
      </c>
      <c r="B928" s="4" t="s">
        <v>1112</v>
      </c>
      <c r="C928" s="4" t="s">
        <v>380</v>
      </c>
      <c r="D928" s="4" t="str">
        <f>VLOOKUP(C928,Países!$A$1:$B$186,2,TRUE)</f>
        <v>Asia</v>
      </c>
      <c r="E928" s="4" t="s">
        <v>23</v>
      </c>
      <c r="F928" s="4" t="str">
        <f>VLOOKUP(E928,Productos!$A$2:$D$13,2,TRUE)</f>
        <v>botellín 400cc</v>
      </c>
      <c r="G928" s="4">
        <f>VLOOKUP(E928,Productos!$A$2:$D$13,3,TRUE)</f>
        <v>2.2999999999999998</v>
      </c>
      <c r="H928" s="4">
        <f>VLOOKUP(E928,Productos!$A$2:$D$13,4,TRUE)</f>
        <v>4.5</v>
      </c>
      <c r="I928" s="4" t="s">
        <v>17</v>
      </c>
      <c r="J928" s="4">
        <v>185</v>
      </c>
      <c r="K928" s="7">
        <v>42063</v>
      </c>
    </row>
    <row r="929" spans="1:11" x14ac:dyDescent="0.25">
      <c r="A929" s="4">
        <v>24189</v>
      </c>
      <c r="B929" s="4" t="s">
        <v>1113</v>
      </c>
      <c r="C929" s="4" t="s">
        <v>65</v>
      </c>
      <c r="D929" s="4" t="str">
        <f>VLOOKUP(C929,Países!$A$1:$B$186,2,TRUE)</f>
        <v>Australia and Oceania</v>
      </c>
      <c r="E929" s="4" t="s">
        <v>9</v>
      </c>
      <c r="F929" s="4" t="str">
        <f>VLOOKUP(E929,Productos!$A$2:$D$13,2,TRUE)</f>
        <v>garrafa 1l</v>
      </c>
      <c r="G929" s="4">
        <f>VLOOKUP(E929,Productos!$A$2:$D$13,3,TRUE)</f>
        <v>1</v>
      </c>
      <c r="H929" s="4">
        <f>VLOOKUP(E929,Productos!$A$2:$D$13,4,TRUE)</f>
        <v>2</v>
      </c>
      <c r="I929" s="4" t="s">
        <v>17</v>
      </c>
      <c r="J929" s="4">
        <v>3</v>
      </c>
      <c r="K929" s="7">
        <v>42242</v>
      </c>
    </row>
    <row r="930" spans="1:11" x14ac:dyDescent="0.25">
      <c r="A930" s="4">
        <v>24190</v>
      </c>
      <c r="B930" s="4" t="s">
        <v>1114</v>
      </c>
      <c r="C930" s="4" t="s">
        <v>272</v>
      </c>
      <c r="D930" s="4" t="str">
        <f>VLOOKUP(C930,Países!$A$1:$B$186,2,TRUE)</f>
        <v>Sub-Saharan Africa</v>
      </c>
      <c r="E930" s="4" t="s">
        <v>46</v>
      </c>
      <c r="F930" s="4" t="str">
        <f>VLOOKUP(E930,Productos!$A$2:$D$13,2,TRUE)</f>
        <v>botellín 500cc</v>
      </c>
      <c r="G930" s="4">
        <f>VLOOKUP(E930,Productos!$A$2:$D$13,3,TRUE)</f>
        <v>3.5</v>
      </c>
      <c r="H930" s="4">
        <f>VLOOKUP(E930,Productos!$A$2:$D$13,4,TRUE)</f>
        <v>6.5</v>
      </c>
      <c r="I930" s="4" t="s">
        <v>17</v>
      </c>
      <c r="J930" s="4">
        <v>185</v>
      </c>
      <c r="K930" s="7">
        <v>42056</v>
      </c>
    </row>
    <row r="931" spans="1:11" x14ac:dyDescent="0.25">
      <c r="A931" s="4">
        <v>24191</v>
      </c>
      <c r="B931" s="4" t="s">
        <v>1115</v>
      </c>
      <c r="C931" s="4" t="s">
        <v>31</v>
      </c>
      <c r="D931" s="4" t="str">
        <f>VLOOKUP(C931,Países!$A$1:$B$186,2,TRUE)</f>
        <v>Europe</v>
      </c>
      <c r="E931" s="4" t="s">
        <v>34</v>
      </c>
      <c r="F931" s="4" t="str">
        <f>VLOOKUP(E931,Productos!$A$2:$D$13,2,TRUE)</f>
        <v>garrafa 3l</v>
      </c>
      <c r="G931" s="4">
        <f>VLOOKUP(E931,Productos!$A$2:$D$13,3,TRUE)</f>
        <v>3.5</v>
      </c>
      <c r="H931" s="4">
        <f>VLOOKUP(E931,Productos!$A$2:$D$13,4,TRUE)</f>
        <v>6.99</v>
      </c>
      <c r="I931" s="4" t="s">
        <v>17</v>
      </c>
      <c r="J931" s="4">
        <v>127</v>
      </c>
      <c r="K931" s="7">
        <v>42006</v>
      </c>
    </row>
    <row r="932" spans="1:11" x14ac:dyDescent="0.25">
      <c r="A932" s="4">
        <v>24192</v>
      </c>
      <c r="B932" s="4" t="s">
        <v>1116</v>
      </c>
      <c r="C932" s="4" t="s">
        <v>290</v>
      </c>
      <c r="D932" s="4" t="str">
        <f>VLOOKUP(C932,Países!$A$1:$B$186,2,TRUE)</f>
        <v>Europe</v>
      </c>
      <c r="E932" s="4" t="s">
        <v>16</v>
      </c>
      <c r="F932" s="4" t="str">
        <f>VLOOKUP(E932,Productos!$A$2:$D$13,2,TRUE)</f>
        <v>botella 5l</v>
      </c>
      <c r="G932" s="4">
        <f>VLOOKUP(E932,Productos!$A$2:$D$13,3,TRUE)</f>
        <v>6</v>
      </c>
      <c r="H932" s="4">
        <f>VLOOKUP(E932,Productos!$A$2:$D$13,4,TRUE)</f>
        <v>9</v>
      </c>
      <c r="I932" s="4" t="s">
        <v>10</v>
      </c>
      <c r="J932" s="4">
        <v>15</v>
      </c>
      <c r="K932" s="7">
        <v>42112</v>
      </c>
    </row>
    <row r="933" spans="1:11" x14ac:dyDescent="0.25">
      <c r="A933" s="4">
        <v>24193</v>
      </c>
      <c r="B933" s="4" t="s">
        <v>1117</v>
      </c>
      <c r="C933" s="4" t="s">
        <v>22</v>
      </c>
      <c r="D933" s="4" t="str">
        <f>VLOOKUP(C933,Países!$A$1:$B$186,2,TRUE)</f>
        <v>Sub-Saharan Africa</v>
      </c>
      <c r="E933" s="4" t="s">
        <v>34</v>
      </c>
      <c r="F933" s="4" t="str">
        <f>VLOOKUP(E933,Productos!$A$2:$D$13,2,TRUE)</f>
        <v>garrafa 3l</v>
      </c>
      <c r="G933" s="4">
        <f>VLOOKUP(E933,Productos!$A$2:$D$13,3,TRUE)</f>
        <v>3.5</v>
      </c>
      <c r="H933" s="4">
        <f>VLOOKUP(E933,Productos!$A$2:$D$13,4,TRUE)</f>
        <v>6.99</v>
      </c>
      <c r="I933" s="4" t="s">
        <v>10</v>
      </c>
      <c r="J933" s="4">
        <v>133</v>
      </c>
      <c r="K933" s="7">
        <v>42022</v>
      </c>
    </row>
    <row r="934" spans="1:11" x14ac:dyDescent="0.25">
      <c r="A934" s="4">
        <v>24194</v>
      </c>
      <c r="B934" s="4" t="s">
        <v>1118</v>
      </c>
      <c r="C934" s="4" t="s">
        <v>92</v>
      </c>
      <c r="D934" s="4" t="str">
        <f>VLOOKUP(C934,Países!$A$1:$B$186,2,TRUE)</f>
        <v>Asia</v>
      </c>
      <c r="E934" s="4" t="s">
        <v>58</v>
      </c>
      <c r="F934" s="4" t="str">
        <f>VLOOKUP(E934,Productos!$A$2:$D$13,2,TRUE)</f>
        <v>garrafa 2l</v>
      </c>
      <c r="G934" s="4">
        <f>VLOOKUP(E934,Productos!$A$2:$D$13,3,TRUE)</f>
        <v>2.5</v>
      </c>
      <c r="H934" s="4">
        <f>VLOOKUP(E934,Productos!$A$2:$D$13,4,TRUE)</f>
        <v>4.5</v>
      </c>
      <c r="I934" s="4" t="s">
        <v>17</v>
      </c>
      <c r="J934" s="4">
        <v>138</v>
      </c>
      <c r="K934" s="7">
        <v>42046</v>
      </c>
    </row>
    <row r="935" spans="1:11" x14ac:dyDescent="0.25">
      <c r="A935" s="4">
        <v>24195</v>
      </c>
      <c r="B935" s="4" t="s">
        <v>1119</v>
      </c>
      <c r="C935" s="4" t="s">
        <v>756</v>
      </c>
      <c r="D935" s="4" t="str">
        <f>VLOOKUP(C935,Países!$A$1:$B$186,2,TRUE)</f>
        <v>Europe</v>
      </c>
      <c r="E935" s="4" t="s">
        <v>9</v>
      </c>
      <c r="F935" s="4" t="str">
        <f>VLOOKUP(E935,Productos!$A$2:$D$13,2,TRUE)</f>
        <v>garrafa 1l</v>
      </c>
      <c r="G935" s="4">
        <f>VLOOKUP(E935,Productos!$A$2:$D$13,3,TRUE)</f>
        <v>1</v>
      </c>
      <c r="H935" s="4">
        <f>VLOOKUP(E935,Productos!$A$2:$D$13,4,TRUE)</f>
        <v>2</v>
      </c>
      <c r="I935" s="4" t="s">
        <v>17</v>
      </c>
      <c r="J935" s="4">
        <v>132</v>
      </c>
      <c r="K935" s="7">
        <v>42020</v>
      </c>
    </row>
    <row r="936" spans="1:11" x14ac:dyDescent="0.25">
      <c r="A936" s="4">
        <v>24196</v>
      </c>
      <c r="B936" s="4" t="s">
        <v>1120</v>
      </c>
      <c r="C936" s="4" t="s">
        <v>551</v>
      </c>
      <c r="D936" s="4" t="str">
        <f>VLOOKUP(C936,Países!$A$1:$B$186,2,TRUE)</f>
        <v>Asia</v>
      </c>
      <c r="E936" s="4" t="s">
        <v>20</v>
      </c>
      <c r="F936" s="4" t="str">
        <f>VLOOKUP(E936,Productos!$A$2:$D$13,2,TRUE)</f>
        <v>garrafa 4l</v>
      </c>
      <c r="G936" s="4">
        <f>VLOOKUP(E936,Productos!$A$2:$D$13,3,TRUE)</f>
        <v>5</v>
      </c>
      <c r="H936" s="4">
        <f>VLOOKUP(E936,Productos!$A$2:$D$13,4,TRUE)</f>
        <v>9.99</v>
      </c>
      <c r="I936" s="4" t="s">
        <v>17</v>
      </c>
      <c r="J936" s="4">
        <v>13</v>
      </c>
      <c r="K936" s="7">
        <v>42202</v>
      </c>
    </row>
    <row r="937" spans="1:11" x14ac:dyDescent="0.25">
      <c r="A937" s="4">
        <v>24197</v>
      </c>
      <c r="B937" s="4" t="s">
        <v>1121</v>
      </c>
      <c r="C937" s="4" t="s">
        <v>146</v>
      </c>
      <c r="D937" s="4" t="str">
        <f>VLOOKUP(C937,Países!$A$1:$B$186,2,TRUE)</f>
        <v>Europe</v>
      </c>
      <c r="E937" s="4" t="s">
        <v>23</v>
      </c>
      <c r="F937" s="4" t="str">
        <f>VLOOKUP(E937,Productos!$A$2:$D$13,2,TRUE)</f>
        <v>botellín 400cc</v>
      </c>
      <c r="G937" s="4">
        <f>VLOOKUP(E937,Productos!$A$2:$D$13,3,TRUE)</f>
        <v>2.2999999999999998</v>
      </c>
      <c r="H937" s="4">
        <f>VLOOKUP(E937,Productos!$A$2:$D$13,4,TRUE)</f>
        <v>4.5</v>
      </c>
      <c r="I937" s="4" t="s">
        <v>17</v>
      </c>
      <c r="J937" s="4">
        <v>136</v>
      </c>
      <c r="K937" s="7">
        <v>42211</v>
      </c>
    </row>
    <row r="938" spans="1:11" x14ac:dyDescent="0.25">
      <c r="A938" s="4">
        <v>24198</v>
      </c>
      <c r="B938" s="4" t="s">
        <v>1122</v>
      </c>
      <c r="C938" s="4" t="s">
        <v>57</v>
      </c>
      <c r="D938" s="4" t="str">
        <f>VLOOKUP(C938,Países!$A$1:$B$186,2,TRUE)</f>
        <v>Sub-Saharan Africa</v>
      </c>
      <c r="E938" s="4" t="s">
        <v>23</v>
      </c>
      <c r="F938" s="4" t="str">
        <f>VLOOKUP(E938,Productos!$A$2:$D$13,2,TRUE)</f>
        <v>botellín 400cc</v>
      </c>
      <c r="G938" s="4">
        <f>VLOOKUP(E938,Productos!$A$2:$D$13,3,TRUE)</f>
        <v>2.2999999999999998</v>
      </c>
      <c r="H938" s="4">
        <f>VLOOKUP(E938,Productos!$A$2:$D$13,4,TRUE)</f>
        <v>4.5</v>
      </c>
      <c r="I938" s="4" t="s">
        <v>17</v>
      </c>
      <c r="J938" s="4">
        <v>25</v>
      </c>
      <c r="K938" s="7">
        <v>42122</v>
      </c>
    </row>
    <row r="939" spans="1:11" x14ac:dyDescent="0.25">
      <c r="A939" s="4">
        <v>24199</v>
      </c>
      <c r="B939" s="4" t="s">
        <v>1123</v>
      </c>
      <c r="C939" s="4" t="s">
        <v>140</v>
      </c>
      <c r="D939" s="4" t="str">
        <f>VLOOKUP(C939,Países!$A$1:$B$186,2,TRUE)</f>
        <v>Sub-Saharan Africa</v>
      </c>
      <c r="E939" s="4" t="s">
        <v>16</v>
      </c>
      <c r="F939" s="4" t="str">
        <f>VLOOKUP(E939,Productos!$A$2:$D$13,2,TRUE)</f>
        <v>botella 5l</v>
      </c>
      <c r="G939" s="4">
        <f>VLOOKUP(E939,Productos!$A$2:$D$13,3,TRUE)</f>
        <v>6</v>
      </c>
      <c r="H939" s="4">
        <f>VLOOKUP(E939,Productos!$A$2:$D$13,4,TRUE)</f>
        <v>9</v>
      </c>
      <c r="I939" s="4" t="s">
        <v>17</v>
      </c>
      <c r="J939" s="4">
        <v>200</v>
      </c>
      <c r="K939" s="7">
        <v>42096</v>
      </c>
    </row>
    <row r="940" spans="1:11" x14ac:dyDescent="0.25">
      <c r="A940" s="4">
        <v>24200</v>
      </c>
      <c r="B940" s="4" t="s">
        <v>1124</v>
      </c>
      <c r="C940" s="4" t="s">
        <v>316</v>
      </c>
      <c r="D940" s="4" t="str">
        <f>VLOOKUP(C940,Países!$A$1:$B$186,2,TRUE)</f>
        <v>Australia and Oceania</v>
      </c>
      <c r="E940" s="4" t="s">
        <v>23</v>
      </c>
      <c r="F940" s="4" t="str">
        <f>VLOOKUP(E940,Productos!$A$2:$D$13,2,TRUE)</f>
        <v>botellín 400cc</v>
      </c>
      <c r="G940" s="4">
        <f>VLOOKUP(E940,Productos!$A$2:$D$13,3,TRUE)</f>
        <v>2.2999999999999998</v>
      </c>
      <c r="H940" s="4">
        <f>VLOOKUP(E940,Productos!$A$2:$D$13,4,TRUE)</f>
        <v>4.5</v>
      </c>
      <c r="I940" s="4" t="s">
        <v>10</v>
      </c>
      <c r="J940" s="4">
        <v>148</v>
      </c>
      <c r="K940" s="7">
        <v>42195</v>
      </c>
    </row>
    <row r="941" spans="1:11" x14ac:dyDescent="0.25">
      <c r="A941" s="4">
        <v>24201</v>
      </c>
      <c r="B941" s="4" t="s">
        <v>1125</v>
      </c>
      <c r="C941" s="4" t="s">
        <v>8</v>
      </c>
      <c r="D941" s="4" t="str">
        <f>VLOOKUP(C941,Países!$A$1:$B$186,2,TRUE)</f>
        <v>Sub-Saharan Africa</v>
      </c>
      <c r="E941" s="4" t="s">
        <v>58</v>
      </c>
      <c r="F941" s="4" t="str">
        <f>VLOOKUP(E941,Productos!$A$2:$D$13,2,TRUE)</f>
        <v>garrafa 2l</v>
      </c>
      <c r="G941" s="4">
        <f>VLOOKUP(E941,Productos!$A$2:$D$13,3,TRUE)</f>
        <v>2.5</v>
      </c>
      <c r="H941" s="4">
        <f>VLOOKUP(E941,Productos!$A$2:$D$13,4,TRUE)</f>
        <v>4.5</v>
      </c>
      <c r="I941" s="4" t="s">
        <v>10</v>
      </c>
      <c r="J941" s="4">
        <v>175</v>
      </c>
      <c r="K941" s="7">
        <v>42115</v>
      </c>
    </row>
    <row r="942" spans="1:11" x14ac:dyDescent="0.25">
      <c r="A942" s="4">
        <v>24202</v>
      </c>
      <c r="B942" s="4" t="s">
        <v>1126</v>
      </c>
      <c r="C942" s="4" t="s">
        <v>8</v>
      </c>
      <c r="D942" s="4" t="str">
        <f>VLOOKUP(C942,Países!$A$1:$B$186,2,TRUE)</f>
        <v>Sub-Saharan Africa</v>
      </c>
      <c r="E942" s="4" t="s">
        <v>13</v>
      </c>
      <c r="F942" s="4" t="str">
        <f>VLOOKUP(E942,Productos!$A$2:$D$13,2,TRUE)</f>
        <v>botella 1l</v>
      </c>
      <c r="G942" s="4">
        <f>VLOOKUP(E942,Productos!$A$2:$D$13,3,TRUE)</f>
        <v>3.5</v>
      </c>
      <c r="H942" s="4">
        <f>VLOOKUP(E942,Productos!$A$2:$D$13,4,TRUE)</f>
        <v>6.5</v>
      </c>
      <c r="I942" s="4" t="s">
        <v>59</v>
      </c>
      <c r="J942" s="4">
        <v>44</v>
      </c>
      <c r="K942" s="7">
        <v>42031</v>
      </c>
    </row>
    <row r="943" spans="1:11" x14ac:dyDescent="0.25">
      <c r="A943" s="4">
        <v>24203</v>
      </c>
      <c r="B943" s="4" t="s">
        <v>1127</v>
      </c>
      <c r="C943" s="4" t="s">
        <v>83</v>
      </c>
      <c r="D943" s="4" t="str">
        <f>VLOOKUP(C943,Países!$A$1:$B$186,2,TRUE)</f>
        <v>Sub-Saharan Africa</v>
      </c>
      <c r="E943" s="4" t="s">
        <v>20</v>
      </c>
      <c r="F943" s="4" t="str">
        <f>VLOOKUP(E943,Productos!$A$2:$D$13,2,TRUE)</f>
        <v>garrafa 4l</v>
      </c>
      <c r="G943" s="4">
        <f>VLOOKUP(E943,Productos!$A$2:$D$13,3,TRUE)</f>
        <v>5</v>
      </c>
      <c r="H943" s="4">
        <f>VLOOKUP(E943,Productos!$A$2:$D$13,4,TRUE)</f>
        <v>9.99</v>
      </c>
      <c r="I943" s="4" t="s">
        <v>17</v>
      </c>
      <c r="J943" s="4">
        <v>39</v>
      </c>
      <c r="K943" s="7">
        <v>42186</v>
      </c>
    </row>
    <row r="944" spans="1:11" x14ac:dyDescent="0.25">
      <c r="A944" s="4">
        <v>24204</v>
      </c>
      <c r="B944" s="4" t="s">
        <v>1128</v>
      </c>
      <c r="C944" s="4" t="s">
        <v>662</v>
      </c>
      <c r="D944" s="4" t="str">
        <f>VLOOKUP(C944,Países!$A$1:$B$186,2,TRUE)</f>
        <v>Europe</v>
      </c>
      <c r="E944" s="4" t="s">
        <v>51</v>
      </c>
      <c r="F944" s="4" t="str">
        <f>VLOOKUP(E944,Productos!$A$2:$D$13,2,TRUE)</f>
        <v>garrafa 8l</v>
      </c>
      <c r="G944" s="4">
        <f>VLOOKUP(E944,Productos!$A$2:$D$13,3,TRUE)</f>
        <v>8</v>
      </c>
      <c r="H944" s="4">
        <f>VLOOKUP(E944,Productos!$A$2:$D$13,4,TRUE)</f>
        <v>14.5</v>
      </c>
      <c r="I944" s="4" t="s">
        <v>17</v>
      </c>
      <c r="J944" s="4">
        <v>80</v>
      </c>
      <c r="K944" s="7">
        <v>42167</v>
      </c>
    </row>
    <row r="945" spans="1:11" x14ac:dyDescent="0.25">
      <c r="A945" s="4">
        <v>24205</v>
      </c>
      <c r="B945" s="4" t="s">
        <v>1129</v>
      </c>
      <c r="C945" s="4" t="s">
        <v>181</v>
      </c>
      <c r="D945" s="4" t="str">
        <f>VLOOKUP(C945,Países!$A$1:$B$186,2,TRUE)</f>
        <v>Europe</v>
      </c>
      <c r="E945" s="4" t="s">
        <v>23</v>
      </c>
      <c r="F945" s="4" t="str">
        <f>VLOOKUP(E945,Productos!$A$2:$D$13,2,TRUE)</f>
        <v>botellín 400cc</v>
      </c>
      <c r="G945" s="4">
        <f>VLOOKUP(E945,Productos!$A$2:$D$13,3,TRUE)</f>
        <v>2.2999999999999998</v>
      </c>
      <c r="H945" s="4">
        <f>VLOOKUP(E945,Productos!$A$2:$D$13,4,TRUE)</f>
        <v>4.5</v>
      </c>
      <c r="I945" s="4" t="s">
        <v>17</v>
      </c>
      <c r="J945" s="4">
        <v>198</v>
      </c>
      <c r="K945" s="7">
        <v>42150</v>
      </c>
    </row>
    <row r="946" spans="1:11" x14ac:dyDescent="0.25">
      <c r="A946" s="4">
        <v>24206</v>
      </c>
      <c r="B946" s="4" t="s">
        <v>1130</v>
      </c>
      <c r="C946" s="4" t="s">
        <v>560</v>
      </c>
      <c r="D946" s="4" t="str">
        <f>VLOOKUP(C946,Países!$A$1:$B$186,2,TRUE)</f>
        <v>Sub-Saharan Africa</v>
      </c>
      <c r="E946" s="4" t="s">
        <v>46</v>
      </c>
      <c r="F946" s="4" t="str">
        <f>VLOOKUP(E946,Productos!$A$2:$D$13,2,TRUE)</f>
        <v>botellín 500cc</v>
      </c>
      <c r="G946" s="4">
        <f>VLOOKUP(E946,Productos!$A$2:$D$13,3,TRUE)</f>
        <v>3.5</v>
      </c>
      <c r="H946" s="4">
        <f>VLOOKUP(E946,Productos!$A$2:$D$13,4,TRUE)</f>
        <v>6.5</v>
      </c>
      <c r="I946" s="4" t="s">
        <v>10</v>
      </c>
      <c r="J946" s="4">
        <v>203</v>
      </c>
      <c r="K946" s="7">
        <v>42149</v>
      </c>
    </row>
    <row r="947" spans="1:11" x14ac:dyDescent="0.25">
      <c r="A947" s="4">
        <v>24207</v>
      </c>
      <c r="B947" s="4" t="s">
        <v>1131</v>
      </c>
      <c r="C947" s="4" t="s">
        <v>104</v>
      </c>
      <c r="D947" s="4" t="str">
        <f>VLOOKUP(C947,Países!$A$1:$B$186,2,TRUE)</f>
        <v>Asia</v>
      </c>
      <c r="E947" s="4" t="s">
        <v>9</v>
      </c>
      <c r="F947" s="4" t="str">
        <f>VLOOKUP(E947,Productos!$A$2:$D$13,2,TRUE)</f>
        <v>garrafa 1l</v>
      </c>
      <c r="G947" s="4">
        <f>VLOOKUP(E947,Productos!$A$2:$D$13,3,TRUE)</f>
        <v>1</v>
      </c>
      <c r="H947" s="4">
        <f>VLOOKUP(E947,Productos!$A$2:$D$13,4,TRUE)</f>
        <v>2</v>
      </c>
      <c r="I947" s="4" t="s">
        <v>59</v>
      </c>
      <c r="J947" s="4">
        <v>210</v>
      </c>
      <c r="K947" s="7">
        <v>42007</v>
      </c>
    </row>
    <row r="948" spans="1:11" x14ac:dyDescent="0.25">
      <c r="A948" s="4">
        <v>24208</v>
      </c>
      <c r="B948" s="4" t="s">
        <v>1132</v>
      </c>
      <c r="C948" s="4" t="s">
        <v>63</v>
      </c>
      <c r="D948" s="4" t="str">
        <f>VLOOKUP(C948,Países!$A$1:$B$186,2,TRUE)</f>
        <v>Australia and Oceania</v>
      </c>
      <c r="E948" s="4" t="s">
        <v>23</v>
      </c>
      <c r="F948" s="4" t="str">
        <f>VLOOKUP(E948,Productos!$A$2:$D$13,2,TRUE)</f>
        <v>botellín 400cc</v>
      </c>
      <c r="G948" s="4">
        <f>VLOOKUP(E948,Productos!$A$2:$D$13,3,TRUE)</f>
        <v>2.2999999999999998</v>
      </c>
      <c r="H948" s="4">
        <f>VLOOKUP(E948,Productos!$A$2:$D$13,4,TRUE)</f>
        <v>4.5</v>
      </c>
      <c r="I948" s="4" t="s">
        <v>10</v>
      </c>
      <c r="J948" s="4">
        <v>94</v>
      </c>
      <c r="K948" s="7">
        <v>42024</v>
      </c>
    </row>
    <row r="949" spans="1:11" x14ac:dyDescent="0.25">
      <c r="A949" s="4">
        <v>24209</v>
      </c>
      <c r="B949" s="4" t="s">
        <v>1133</v>
      </c>
      <c r="C949" s="4" t="s">
        <v>278</v>
      </c>
      <c r="D949" s="4" t="str">
        <f>VLOOKUP(C949,Países!$A$1:$B$186,2,TRUE)</f>
        <v>Australia and Oceania</v>
      </c>
      <c r="E949" s="4" t="s">
        <v>34</v>
      </c>
      <c r="F949" s="4" t="str">
        <f>VLOOKUP(E949,Productos!$A$2:$D$13,2,TRUE)</f>
        <v>garrafa 3l</v>
      </c>
      <c r="G949" s="4">
        <f>VLOOKUP(E949,Productos!$A$2:$D$13,3,TRUE)</f>
        <v>3.5</v>
      </c>
      <c r="H949" s="4">
        <f>VLOOKUP(E949,Productos!$A$2:$D$13,4,TRUE)</f>
        <v>6.99</v>
      </c>
      <c r="I949" s="4" t="s">
        <v>10</v>
      </c>
      <c r="J949" s="4">
        <v>142</v>
      </c>
      <c r="K949" s="7">
        <v>42185</v>
      </c>
    </row>
    <row r="950" spans="1:11" x14ac:dyDescent="0.25">
      <c r="A950" s="4">
        <v>24210</v>
      </c>
      <c r="B950" s="4" t="s">
        <v>1134</v>
      </c>
      <c r="C950" s="4" t="s">
        <v>176</v>
      </c>
      <c r="D950" s="4" t="str">
        <f>VLOOKUP(C950,Países!$A$1:$B$186,2,TRUE)</f>
        <v>Europe</v>
      </c>
      <c r="E950" s="4" t="s">
        <v>58</v>
      </c>
      <c r="F950" s="4" t="str">
        <f>VLOOKUP(E950,Productos!$A$2:$D$13,2,TRUE)</f>
        <v>garrafa 2l</v>
      </c>
      <c r="G950" s="4">
        <f>VLOOKUP(E950,Productos!$A$2:$D$13,3,TRUE)</f>
        <v>2.5</v>
      </c>
      <c r="H950" s="4">
        <f>VLOOKUP(E950,Productos!$A$2:$D$13,4,TRUE)</f>
        <v>4.5</v>
      </c>
      <c r="I950" s="4" t="s">
        <v>17</v>
      </c>
      <c r="J950" s="4">
        <v>94</v>
      </c>
      <c r="K950" s="7">
        <v>42166</v>
      </c>
    </row>
    <row r="951" spans="1:11" x14ac:dyDescent="0.25">
      <c r="A951" s="4">
        <v>24211</v>
      </c>
      <c r="B951" s="4" t="s">
        <v>1135</v>
      </c>
      <c r="C951" s="4" t="s">
        <v>28</v>
      </c>
      <c r="D951" s="4" t="str">
        <f>VLOOKUP(C951,Países!$A$1:$B$186,2,TRUE)</f>
        <v>Central America and the Caribbean</v>
      </c>
      <c r="E951" s="4" t="s">
        <v>26</v>
      </c>
      <c r="F951" s="4" t="str">
        <f>VLOOKUP(E951,Productos!$A$2:$D$13,2,TRUE)</f>
        <v>botellín 200cc</v>
      </c>
      <c r="G951" s="4">
        <f>VLOOKUP(E951,Productos!$A$2:$D$13,3,TRUE)</f>
        <v>1.5</v>
      </c>
      <c r="H951" s="4">
        <f>VLOOKUP(E951,Productos!$A$2:$D$13,4,TRUE)</f>
        <v>3</v>
      </c>
      <c r="I951" s="4" t="s">
        <v>17</v>
      </c>
      <c r="J951" s="4">
        <v>129</v>
      </c>
      <c r="K951" s="7">
        <v>42189</v>
      </c>
    </row>
    <row r="952" spans="1:11" x14ac:dyDescent="0.25">
      <c r="A952" s="4">
        <v>24212</v>
      </c>
      <c r="B952" s="4" t="s">
        <v>1136</v>
      </c>
      <c r="C952" s="4" t="s">
        <v>40</v>
      </c>
      <c r="D952" s="4" t="str">
        <f>VLOOKUP(C952,Países!$A$1:$B$186,2,TRUE)</f>
        <v>Europe</v>
      </c>
      <c r="E952" s="4" t="s">
        <v>58</v>
      </c>
      <c r="F952" s="4" t="str">
        <f>VLOOKUP(E952,Productos!$A$2:$D$13,2,TRUE)</f>
        <v>garrafa 2l</v>
      </c>
      <c r="G952" s="4">
        <f>VLOOKUP(E952,Productos!$A$2:$D$13,3,TRUE)</f>
        <v>2.5</v>
      </c>
      <c r="H952" s="4">
        <f>VLOOKUP(E952,Productos!$A$2:$D$13,4,TRUE)</f>
        <v>4.5</v>
      </c>
      <c r="I952" s="4" t="s">
        <v>10</v>
      </c>
      <c r="J952" s="4">
        <v>15</v>
      </c>
      <c r="K952" s="7">
        <v>42084</v>
      </c>
    </row>
    <row r="953" spans="1:11" x14ac:dyDescent="0.25">
      <c r="A953" s="4">
        <v>24213</v>
      </c>
      <c r="B953" s="4" t="s">
        <v>1137</v>
      </c>
      <c r="C953" s="4" t="s">
        <v>208</v>
      </c>
      <c r="D953" s="4" t="str">
        <f>VLOOKUP(C953,Países!$A$1:$B$186,2,TRUE)</f>
        <v>Central America and the Caribbean</v>
      </c>
      <c r="E953" s="4" t="s">
        <v>20</v>
      </c>
      <c r="F953" s="4" t="str">
        <f>VLOOKUP(E953,Productos!$A$2:$D$13,2,TRUE)</f>
        <v>garrafa 4l</v>
      </c>
      <c r="G953" s="4">
        <f>VLOOKUP(E953,Productos!$A$2:$D$13,3,TRUE)</f>
        <v>5</v>
      </c>
      <c r="H953" s="4">
        <f>VLOOKUP(E953,Productos!$A$2:$D$13,4,TRUE)</f>
        <v>9.99</v>
      </c>
      <c r="I953" s="4" t="s">
        <v>10</v>
      </c>
      <c r="J953" s="4">
        <v>155</v>
      </c>
      <c r="K953" s="7">
        <v>42137</v>
      </c>
    </row>
    <row r="954" spans="1:11" x14ac:dyDescent="0.25">
      <c r="A954" s="4">
        <v>24214</v>
      </c>
      <c r="B954" s="4" t="s">
        <v>1138</v>
      </c>
      <c r="C954" s="4" t="s">
        <v>174</v>
      </c>
      <c r="D954" s="4" t="str">
        <f>VLOOKUP(C954,Países!$A$1:$B$186,2,TRUE)</f>
        <v>Europe</v>
      </c>
      <c r="E954" s="4" t="s">
        <v>20</v>
      </c>
      <c r="F954" s="4" t="str">
        <f>VLOOKUP(E954,Productos!$A$2:$D$13,2,TRUE)</f>
        <v>garrafa 4l</v>
      </c>
      <c r="G954" s="4">
        <f>VLOOKUP(E954,Productos!$A$2:$D$13,3,TRUE)</f>
        <v>5</v>
      </c>
      <c r="H954" s="4">
        <f>VLOOKUP(E954,Productos!$A$2:$D$13,4,TRUE)</f>
        <v>9.99</v>
      </c>
      <c r="I954" s="4" t="s">
        <v>10</v>
      </c>
      <c r="J954" s="4">
        <v>120</v>
      </c>
      <c r="K954" s="7">
        <v>42055</v>
      </c>
    </row>
    <row r="955" spans="1:11" x14ac:dyDescent="0.25">
      <c r="A955" s="4">
        <v>24215</v>
      </c>
      <c r="B955" s="4" t="s">
        <v>1139</v>
      </c>
      <c r="C955" s="4" t="s">
        <v>19</v>
      </c>
      <c r="D955" s="4" t="str">
        <f>VLOOKUP(C955,Países!$A$1:$B$186,2,TRUE)</f>
        <v>Sub-Saharan Africa</v>
      </c>
      <c r="E955" s="4" t="s">
        <v>26</v>
      </c>
      <c r="F955" s="4" t="str">
        <f>VLOOKUP(E955,Productos!$A$2:$D$13,2,TRUE)</f>
        <v>botellín 200cc</v>
      </c>
      <c r="G955" s="4">
        <f>VLOOKUP(E955,Productos!$A$2:$D$13,3,TRUE)</f>
        <v>1.5</v>
      </c>
      <c r="H955" s="4">
        <f>VLOOKUP(E955,Productos!$A$2:$D$13,4,TRUE)</f>
        <v>3</v>
      </c>
      <c r="I955" s="4" t="s">
        <v>59</v>
      </c>
      <c r="J955" s="4">
        <v>171</v>
      </c>
      <c r="K955" s="7">
        <v>42137</v>
      </c>
    </row>
    <row r="956" spans="1:11" x14ac:dyDescent="0.25">
      <c r="A956" s="4">
        <v>24216</v>
      </c>
      <c r="B956" s="4" t="s">
        <v>1140</v>
      </c>
      <c r="C956" s="4" t="s">
        <v>923</v>
      </c>
      <c r="D956" s="4" t="str">
        <f>VLOOKUP(C956,Países!$A$1:$B$186,2,TRUE)</f>
        <v>Europe</v>
      </c>
      <c r="E956" s="4" t="s">
        <v>23</v>
      </c>
      <c r="F956" s="4" t="str">
        <f>VLOOKUP(E956,Productos!$A$2:$D$13,2,TRUE)</f>
        <v>botellín 400cc</v>
      </c>
      <c r="G956" s="4">
        <f>VLOOKUP(E956,Productos!$A$2:$D$13,3,TRUE)</f>
        <v>2.2999999999999998</v>
      </c>
      <c r="H956" s="4">
        <f>VLOOKUP(E956,Productos!$A$2:$D$13,4,TRUE)</f>
        <v>4.5</v>
      </c>
      <c r="I956" s="4" t="s">
        <v>59</v>
      </c>
      <c r="J956" s="4">
        <v>11</v>
      </c>
      <c r="K956" s="7">
        <v>42084</v>
      </c>
    </row>
    <row r="957" spans="1:11" x14ac:dyDescent="0.25">
      <c r="A957" s="4">
        <v>24217</v>
      </c>
      <c r="B957" s="4" t="s">
        <v>1141</v>
      </c>
      <c r="C957" s="4" t="s">
        <v>326</v>
      </c>
      <c r="D957" s="4" t="str">
        <f>VLOOKUP(C957,Países!$A$1:$B$186,2,TRUE)</f>
        <v>Asia</v>
      </c>
      <c r="E957" s="4" t="s">
        <v>20</v>
      </c>
      <c r="F957" s="4" t="str">
        <f>VLOOKUP(E957,Productos!$A$2:$D$13,2,TRUE)</f>
        <v>garrafa 4l</v>
      </c>
      <c r="G957" s="4">
        <f>VLOOKUP(E957,Productos!$A$2:$D$13,3,TRUE)</f>
        <v>5</v>
      </c>
      <c r="H957" s="4">
        <f>VLOOKUP(E957,Productos!$A$2:$D$13,4,TRUE)</f>
        <v>9.99</v>
      </c>
      <c r="I957" s="4" t="s">
        <v>17</v>
      </c>
      <c r="J957" s="4">
        <v>159</v>
      </c>
      <c r="K957" s="7">
        <v>42186</v>
      </c>
    </row>
    <row r="958" spans="1:11" x14ac:dyDescent="0.25">
      <c r="A958" s="4">
        <v>24218</v>
      </c>
      <c r="B958" s="4" t="s">
        <v>1142</v>
      </c>
      <c r="C958" s="4" t="s">
        <v>521</v>
      </c>
      <c r="D958" s="4" t="str">
        <f>VLOOKUP(C958,Países!$A$1:$B$186,2,TRUE)</f>
        <v>Sub-Saharan Africa</v>
      </c>
      <c r="E958" s="4" t="s">
        <v>29</v>
      </c>
      <c r="F958" s="4" t="str">
        <f>VLOOKUP(E958,Productos!$A$2:$D$13,2,TRUE)</f>
        <v>botella 0.5l</v>
      </c>
      <c r="G958" s="4">
        <f>VLOOKUP(E958,Productos!$A$2:$D$13,3,TRUE)</f>
        <v>3</v>
      </c>
      <c r="H958" s="4">
        <f>VLOOKUP(E958,Productos!$A$2:$D$13,4,TRUE)</f>
        <v>6</v>
      </c>
      <c r="I958" s="4" t="s">
        <v>10</v>
      </c>
      <c r="J958" s="4">
        <v>66</v>
      </c>
      <c r="K958" s="7">
        <v>42183</v>
      </c>
    </row>
    <row r="959" spans="1:11" x14ac:dyDescent="0.25">
      <c r="A959" s="4">
        <v>24219</v>
      </c>
      <c r="B959" s="4" t="s">
        <v>1143</v>
      </c>
      <c r="C959" s="4" t="s">
        <v>63</v>
      </c>
      <c r="D959" s="4" t="str">
        <f>VLOOKUP(C959,Países!$A$1:$B$186,2,TRUE)</f>
        <v>Australia and Oceania</v>
      </c>
      <c r="E959" s="4" t="s">
        <v>16</v>
      </c>
      <c r="F959" s="4" t="str">
        <f>VLOOKUP(E959,Productos!$A$2:$D$13,2,TRUE)</f>
        <v>botella 5l</v>
      </c>
      <c r="G959" s="4">
        <f>VLOOKUP(E959,Productos!$A$2:$D$13,3,TRUE)</f>
        <v>6</v>
      </c>
      <c r="H959" s="4">
        <f>VLOOKUP(E959,Productos!$A$2:$D$13,4,TRUE)</f>
        <v>9</v>
      </c>
      <c r="I959" s="4" t="s">
        <v>17</v>
      </c>
      <c r="J959" s="4">
        <v>143</v>
      </c>
      <c r="K959" s="7">
        <v>42181</v>
      </c>
    </row>
    <row r="960" spans="1:11" x14ac:dyDescent="0.25">
      <c r="A960" s="4">
        <v>24220</v>
      </c>
      <c r="B960" s="4" t="s">
        <v>1144</v>
      </c>
      <c r="C960" s="4" t="s">
        <v>148</v>
      </c>
      <c r="D960" s="4" t="str">
        <f>VLOOKUP(C960,Países!$A$1:$B$186,2,TRUE)</f>
        <v>Middle East and North Africa</v>
      </c>
      <c r="E960" s="4" t="s">
        <v>13</v>
      </c>
      <c r="F960" s="4" t="str">
        <f>VLOOKUP(E960,Productos!$A$2:$D$13,2,TRUE)</f>
        <v>botella 1l</v>
      </c>
      <c r="G960" s="4">
        <f>VLOOKUP(E960,Productos!$A$2:$D$13,3,TRUE)</f>
        <v>3.5</v>
      </c>
      <c r="H960" s="4">
        <f>VLOOKUP(E960,Productos!$A$2:$D$13,4,TRUE)</f>
        <v>6.5</v>
      </c>
      <c r="I960" s="4" t="s">
        <v>17</v>
      </c>
      <c r="J960" s="4">
        <v>26</v>
      </c>
      <c r="K960" s="7">
        <v>42146</v>
      </c>
    </row>
    <row r="961" spans="1:11" x14ac:dyDescent="0.25">
      <c r="A961" s="4">
        <v>24221</v>
      </c>
      <c r="B961" s="4" t="s">
        <v>1145</v>
      </c>
      <c r="C961" s="4" t="s">
        <v>172</v>
      </c>
      <c r="D961" s="4" t="str">
        <f>VLOOKUP(C961,Países!$A$1:$B$186,2,TRUE)</f>
        <v>Middle East and North Africa</v>
      </c>
      <c r="E961" s="4" t="s">
        <v>34</v>
      </c>
      <c r="F961" s="4" t="str">
        <f>VLOOKUP(E961,Productos!$A$2:$D$13,2,TRUE)</f>
        <v>garrafa 3l</v>
      </c>
      <c r="G961" s="4">
        <f>VLOOKUP(E961,Productos!$A$2:$D$13,3,TRUE)</f>
        <v>3.5</v>
      </c>
      <c r="H961" s="4">
        <f>VLOOKUP(E961,Productos!$A$2:$D$13,4,TRUE)</f>
        <v>6.99</v>
      </c>
      <c r="I961" s="4" t="s">
        <v>10</v>
      </c>
      <c r="J961" s="4">
        <v>190</v>
      </c>
      <c r="K961" s="7">
        <v>42126</v>
      </c>
    </row>
    <row r="962" spans="1:11" x14ac:dyDescent="0.25">
      <c r="A962" s="4">
        <v>24222</v>
      </c>
      <c r="B962" s="4" t="s">
        <v>1146</v>
      </c>
      <c r="C962" s="4" t="s">
        <v>108</v>
      </c>
      <c r="D962" s="4" t="str">
        <f>VLOOKUP(C962,Países!$A$1:$B$186,2,TRUE)</f>
        <v>Sub-Saharan Africa</v>
      </c>
      <c r="E962" s="4" t="s">
        <v>34</v>
      </c>
      <c r="F962" s="4" t="str">
        <f>VLOOKUP(E962,Productos!$A$2:$D$13,2,TRUE)</f>
        <v>garrafa 3l</v>
      </c>
      <c r="G962" s="4">
        <f>VLOOKUP(E962,Productos!$A$2:$D$13,3,TRUE)</f>
        <v>3.5</v>
      </c>
      <c r="H962" s="4">
        <f>VLOOKUP(E962,Productos!$A$2:$D$13,4,TRUE)</f>
        <v>6.99</v>
      </c>
      <c r="I962" s="4" t="s">
        <v>10</v>
      </c>
      <c r="J962" s="4">
        <v>3</v>
      </c>
      <c r="K962" s="7">
        <v>42033</v>
      </c>
    </row>
    <row r="963" spans="1:11" x14ac:dyDescent="0.25">
      <c r="A963" s="4">
        <v>24223</v>
      </c>
      <c r="B963" s="4" t="s">
        <v>1147</v>
      </c>
      <c r="C963" s="4" t="s">
        <v>608</v>
      </c>
      <c r="D963" s="4" t="str">
        <f>VLOOKUP(C963,Países!$A$1:$B$186,2,TRUE)</f>
        <v>Europe</v>
      </c>
      <c r="E963" s="4" t="s">
        <v>23</v>
      </c>
      <c r="F963" s="4" t="str">
        <f>VLOOKUP(E963,Productos!$A$2:$D$13,2,TRUE)</f>
        <v>botellín 400cc</v>
      </c>
      <c r="G963" s="4">
        <f>VLOOKUP(E963,Productos!$A$2:$D$13,3,TRUE)</f>
        <v>2.2999999999999998</v>
      </c>
      <c r="H963" s="4">
        <f>VLOOKUP(E963,Productos!$A$2:$D$13,4,TRUE)</f>
        <v>4.5</v>
      </c>
      <c r="I963" s="4" t="s">
        <v>17</v>
      </c>
      <c r="J963" s="4">
        <v>106</v>
      </c>
      <c r="K963" s="7">
        <v>42018</v>
      </c>
    </row>
    <row r="964" spans="1:11" x14ac:dyDescent="0.25">
      <c r="A964" s="4">
        <v>24224</v>
      </c>
      <c r="B964" s="4" t="s">
        <v>1148</v>
      </c>
      <c r="C964" s="4" t="s">
        <v>142</v>
      </c>
      <c r="D964" s="4" t="str">
        <f>VLOOKUP(C964,Países!$A$1:$B$186,2,TRUE)</f>
        <v>Europe</v>
      </c>
      <c r="E964" s="4" t="s">
        <v>29</v>
      </c>
      <c r="F964" s="4" t="str">
        <f>VLOOKUP(E964,Productos!$A$2:$D$13,2,TRUE)</f>
        <v>botella 0.5l</v>
      </c>
      <c r="G964" s="4">
        <f>VLOOKUP(E964,Productos!$A$2:$D$13,3,TRUE)</f>
        <v>3</v>
      </c>
      <c r="H964" s="4">
        <f>VLOOKUP(E964,Productos!$A$2:$D$13,4,TRUE)</f>
        <v>6</v>
      </c>
      <c r="I964" s="4" t="s">
        <v>10</v>
      </c>
      <c r="J964" s="4">
        <v>181</v>
      </c>
      <c r="K964" s="7">
        <v>42090</v>
      </c>
    </row>
    <row r="965" spans="1:11" x14ac:dyDescent="0.25">
      <c r="A965" s="4">
        <v>24225</v>
      </c>
      <c r="B965" s="4" t="s">
        <v>1149</v>
      </c>
      <c r="C965" s="4" t="s">
        <v>335</v>
      </c>
      <c r="D965" s="4" t="str">
        <f>VLOOKUP(C965,Países!$A$1:$B$186,2,TRUE)</f>
        <v>Middle East and North Africa</v>
      </c>
      <c r="E965" s="4" t="s">
        <v>26</v>
      </c>
      <c r="F965" s="4" t="str">
        <f>VLOOKUP(E965,Productos!$A$2:$D$13,2,TRUE)</f>
        <v>botellín 200cc</v>
      </c>
      <c r="G965" s="4">
        <f>VLOOKUP(E965,Productos!$A$2:$D$13,3,TRUE)</f>
        <v>1.5</v>
      </c>
      <c r="H965" s="4">
        <f>VLOOKUP(E965,Productos!$A$2:$D$13,4,TRUE)</f>
        <v>3</v>
      </c>
      <c r="I965" s="4" t="s">
        <v>17</v>
      </c>
      <c r="J965" s="4">
        <v>141</v>
      </c>
      <c r="K965" s="7">
        <v>42013</v>
      </c>
    </row>
    <row r="966" spans="1:11" x14ac:dyDescent="0.25">
      <c r="A966" s="4">
        <v>24226</v>
      </c>
      <c r="B966" s="4" t="s">
        <v>1150</v>
      </c>
      <c r="C966" s="4" t="s">
        <v>108</v>
      </c>
      <c r="D966" s="4" t="str">
        <f>VLOOKUP(C966,Países!$A$1:$B$186,2,TRUE)</f>
        <v>Sub-Saharan Africa</v>
      </c>
      <c r="E966" s="4" t="s">
        <v>26</v>
      </c>
      <c r="F966" s="4" t="str">
        <f>VLOOKUP(E966,Productos!$A$2:$D$13,2,TRUE)</f>
        <v>botellín 200cc</v>
      </c>
      <c r="G966" s="4">
        <f>VLOOKUP(E966,Productos!$A$2:$D$13,3,TRUE)</f>
        <v>1.5</v>
      </c>
      <c r="H966" s="4">
        <f>VLOOKUP(E966,Productos!$A$2:$D$13,4,TRUE)</f>
        <v>3</v>
      </c>
      <c r="I966" s="4" t="s">
        <v>10</v>
      </c>
      <c r="J966" s="4">
        <v>64</v>
      </c>
      <c r="K966" s="7">
        <v>42082</v>
      </c>
    </row>
    <row r="967" spans="1:11" x14ac:dyDescent="0.25">
      <c r="A967" s="4">
        <v>24227</v>
      </c>
      <c r="B967" s="4" t="s">
        <v>1151</v>
      </c>
      <c r="C967" s="4" t="s">
        <v>164</v>
      </c>
      <c r="D967" s="4" t="str">
        <f>VLOOKUP(C967,Países!$A$1:$B$186,2,TRUE)</f>
        <v>Europe</v>
      </c>
      <c r="E967" s="4" t="s">
        <v>16</v>
      </c>
      <c r="F967" s="4" t="str">
        <f>VLOOKUP(E967,Productos!$A$2:$D$13,2,TRUE)</f>
        <v>botella 5l</v>
      </c>
      <c r="G967" s="4">
        <f>VLOOKUP(E967,Productos!$A$2:$D$13,3,TRUE)</f>
        <v>6</v>
      </c>
      <c r="H967" s="4">
        <f>VLOOKUP(E967,Productos!$A$2:$D$13,4,TRUE)</f>
        <v>9</v>
      </c>
      <c r="I967" s="4" t="s">
        <v>17</v>
      </c>
      <c r="J967" s="4">
        <v>204</v>
      </c>
      <c r="K967" s="7">
        <v>42203</v>
      </c>
    </row>
    <row r="968" spans="1:11" x14ac:dyDescent="0.25">
      <c r="A968" s="4">
        <v>24228</v>
      </c>
      <c r="B968" s="4" t="s">
        <v>1152</v>
      </c>
      <c r="C968" s="4" t="s">
        <v>110</v>
      </c>
      <c r="D968" s="4" t="str">
        <f>VLOOKUP(C968,Países!$A$1:$B$186,2,TRUE)</f>
        <v>Sub-Saharan Africa</v>
      </c>
      <c r="E968" s="4" t="s">
        <v>23</v>
      </c>
      <c r="F968" s="4" t="str">
        <f>VLOOKUP(E968,Productos!$A$2:$D$13,2,TRUE)</f>
        <v>botellín 400cc</v>
      </c>
      <c r="G968" s="4">
        <f>VLOOKUP(E968,Productos!$A$2:$D$13,3,TRUE)</f>
        <v>2.2999999999999998</v>
      </c>
      <c r="H968" s="4">
        <f>VLOOKUP(E968,Productos!$A$2:$D$13,4,TRUE)</f>
        <v>4.5</v>
      </c>
      <c r="I968" s="4" t="s">
        <v>10</v>
      </c>
      <c r="J968" s="4">
        <v>1</v>
      </c>
      <c r="K968" s="7">
        <v>42146</v>
      </c>
    </row>
    <row r="969" spans="1:11" x14ac:dyDescent="0.25">
      <c r="A969" s="4">
        <v>24229</v>
      </c>
      <c r="B969" s="4" t="s">
        <v>1153</v>
      </c>
      <c r="C969" s="4" t="s">
        <v>8</v>
      </c>
      <c r="D969" s="4" t="str">
        <f>VLOOKUP(C969,Países!$A$1:$B$186,2,TRUE)</f>
        <v>Sub-Saharan Africa</v>
      </c>
      <c r="E969" s="4" t="s">
        <v>29</v>
      </c>
      <c r="F969" s="4" t="str">
        <f>VLOOKUP(E969,Productos!$A$2:$D$13,2,TRUE)</f>
        <v>botella 0.5l</v>
      </c>
      <c r="G969" s="4">
        <f>VLOOKUP(E969,Productos!$A$2:$D$13,3,TRUE)</f>
        <v>3</v>
      </c>
      <c r="H969" s="4">
        <f>VLOOKUP(E969,Productos!$A$2:$D$13,4,TRUE)</f>
        <v>6</v>
      </c>
      <c r="I969" s="4" t="s">
        <v>10</v>
      </c>
      <c r="J969" s="4">
        <v>21</v>
      </c>
      <c r="K969" s="7">
        <v>42124</v>
      </c>
    </row>
    <row r="970" spans="1:11" x14ac:dyDescent="0.25">
      <c r="A970" s="4">
        <v>24230</v>
      </c>
      <c r="B970" s="4" t="s">
        <v>1154</v>
      </c>
      <c r="C970" s="4" t="s">
        <v>166</v>
      </c>
      <c r="D970" s="4" t="str">
        <f>VLOOKUP(C970,Países!$A$1:$B$186,2,TRUE)</f>
        <v>Asia</v>
      </c>
      <c r="E970" s="4" t="s">
        <v>9</v>
      </c>
      <c r="F970" s="4" t="str">
        <f>VLOOKUP(E970,Productos!$A$2:$D$13,2,TRUE)</f>
        <v>garrafa 1l</v>
      </c>
      <c r="G970" s="4">
        <f>VLOOKUP(E970,Productos!$A$2:$D$13,3,TRUE)</f>
        <v>1</v>
      </c>
      <c r="H970" s="4">
        <f>VLOOKUP(E970,Productos!$A$2:$D$13,4,TRUE)</f>
        <v>2</v>
      </c>
      <c r="I970" s="4" t="s">
        <v>10</v>
      </c>
      <c r="J970" s="4">
        <v>84</v>
      </c>
      <c r="K970" s="7">
        <v>42215</v>
      </c>
    </row>
    <row r="971" spans="1:11" x14ac:dyDescent="0.25">
      <c r="A971" s="4">
        <v>24231</v>
      </c>
      <c r="B971" s="4" t="s">
        <v>1155</v>
      </c>
      <c r="C971" s="4" t="s">
        <v>263</v>
      </c>
      <c r="D971" s="4" t="str">
        <f>VLOOKUP(C971,Países!$A$1:$B$186,2,TRUE)</f>
        <v>Central America and the Caribbean</v>
      </c>
      <c r="E971" s="4" t="s">
        <v>23</v>
      </c>
      <c r="F971" s="4" t="str">
        <f>VLOOKUP(E971,Productos!$A$2:$D$13,2,TRUE)</f>
        <v>botellín 400cc</v>
      </c>
      <c r="G971" s="4">
        <f>VLOOKUP(E971,Productos!$A$2:$D$13,3,TRUE)</f>
        <v>2.2999999999999998</v>
      </c>
      <c r="H971" s="4">
        <f>VLOOKUP(E971,Productos!$A$2:$D$13,4,TRUE)</f>
        <v>4.5</v>
      </c>
      <c r="I971" s="4" t="s">
        <v>59</v>
      </c>
      <c r="J971" s="4">
        <v>33</v>
      </c>
      <c r="K971" s="7">
        <v>42243</v>
      </c>
    </row>
    <row r="972" spans="1:11" x14ac:dyDescent="0.25">
      <c r="A972" s="4">
        <v>24232</v>
      </c>
      <c r="B972" s="4" t="s">
        <v>1156</v>
      </c>
      <c r="C972" s="4" t="s">
        <v>129</v>
      </c>
      <c r="D972" s="4" t="str">
        <f>VLOOKUP(C972,Países!$A$1:$B$186,2,TRUE)</f>
        <v>Central America and the Caribbean</v>
      </c>
      <c r="E972" s="4" t="s">
        <v>29</v>
      </c>
      <c r="F972" s="4" t="str">
        <f>VLOOKUP(E972,Productos!$A$2:$D$13,2,TRUE)</f>
        <v>botella 0.5l</v>
      </c>
      <c r="G972" s="4">
        <f>VLOOKUP(E972,Productos!$A$2:$D$13,3,TRUE)</f>
        <v>3</v>
      </c>
      <c r="H972" s="4">
        <f>VLOOKUP(E972,Productos!$A$2:$D$13,4,TRUE)</f>
        <v>6</v>
      </c>
      <c r="I972" s="4" t="s">
        <v>17</v>
      </c>
      <c r="J972" s="4">
        <v>177</v>
      </c>
      <c r="K972" s="7">
        <v>42128</v>
      </c>
    </row>
    <row r="973" spans="1:11" x14ac:dyDescent="0.25">
      <c r="A973" s="4">
        <v>24233</v>
      </c>
      <c r="B973" s="4" t="s">
        <v>1157</v>
      </c>
      <c r="C973" s="4" t="s">
        <v>25</v>
      </c>
      <c r="D973" s="4" t="str">
        <f>VLOOKUP(C973,Países!$A$1:$B$186,2,TRUE)</f>
        <v>Middle East and North Africa</v>
      </c>
      <c r="E973" s="4" t="s">
        <v>58</v>
      </c>
      <c r="F973" s="4" t="str">
        <f>VLOOKUP(E973,Productos!$A$2:$D$13,2,TRUE)</f>
        <v>garrafa 2l</v>
      </c>
      <c r="G973" s="4">
        <f>VLOOKUP(E973,Productos!$A$2:$D$13,3,TRUE)</f>
        <v>2.5</v>
      </c>
      <c r="H973" s="4">
        <f>VLOOKUP(E973,Productos!$A$2:$D$13,4,TRUE)</f>
        <v>4.5</v>
      </c>
      <c r="I973" s="4" t="s">
        <v>10</v>
      </c>
      <c r="J973" s="4">
        <v>162</v>
      </c>
      <c r="K973" s="7">
        <v>42074</v>
      </c>
    </row>
    <row r="974" spans="1:11" x14ac:dyDescent="0.25">
      <c r="A974" s="4">
        <v>24234</v>
      </c>
      <c r="B974" s="4" t="s">
        <v>1158</v>
      </c>
      <c r="C974" s="4" t="s">
        <v>129</v>
      </c>
      <c r="D974" s="4" t="str">
        <f>VLOOKUP(C974,Países!$A$1:$B$186,2,TRUE)</f>
        <v>Central America and the Caribbean</v>
      </c>
      <c r="E974" s="4" t="s">
        <v>34</v>
      </c>
      <c r="F974" s="4" t="str">
        <f>VLOOKUP(E974,Productos!$A$2:$D$13,2,TRUE)</f>
        <v>garrafa 3l</v>
      </c>
      <c r="G974" s="4">
        <f>VLOOKUP(E974,Productos!$A$2:$D$13,3,TRUE)</f>
        <v>3.5</v>
      </c>
      <c r="H974" s="4">
        <f>VLOOKUP(E974,Productos!$A$2:$D$13,4,TRUE)</f>
        <v>6.99</v>
      </c>
      <c r="I974" s="4" t="s">
        <v>10</v>
      </c>
      <c r="J974" s="4">
        <v>204</v>
      </c>
      <c r="K974" s="7">
        <v>42235</v>
      </c>
    </row>
    <row r="975" spans="1:11" x14ac:dyDescent="0.25">
      <c r="A975" s="4">
        <v>24235</v>
      </c>
      <c r="B975" s="4" t="s">
        <v>1159</v>
      </c>
      <c r="C975" s="4" t="s">
        <v>119</v>
      </c>
      <c r="D975" s="4" t="str">
        <f>VLOOKUP(C975,Países!$A$1:$B$186,2,TRUE)</f>
        <v>Sub-Saharan Africa</v>
      </c>
      <c r="E975" s="4" t="s">
        <v>34</v>
      </c>
      <c r="F975" s="4" t="str">
        <f>VLOOKUP(E975,Productos!$A$2:$D$13,2,TRUE)</f>
        <v>garrafa 3l</v>
      </c>
      <c r="G975" s="4">
        <f>VLOOKUP(E975,Productos!$A$2:$D$13,3,TRUE)</f>
        <v>3.5</v>
      </c>
      <c r="H975" s="4">
        <f>VLOOKUP(E975,Productos!$A$2:$D$13,4,TRUE)</f>
        <v>6.99</v>
      </c>
      <c r="I975" s="4" t="s">
        <v>10</v>
      </c>
      <c r="J975" s="4">
        <v>138</v>
      </c>
      <c r="K975" s="7">
        <v>42196</v>
      </c>
    </row>
    <row r="976" spans="1:11" x14ac:dyDescent="0.25">
      <c r="A976" s="4">
        <v>24236</v>
      </c>
      <c r="B976" s="4" t="s">
        <v>1160</v>
      </c>
      <c r="C976" s="4" t="s">
        <v>283</v>
      </c>
      <c r="D976" s="4" t="str">
        <f>VLOOKUP(C976,Países!$A$1:$B$186,2,TRUE)</f>
        <v>Middle East and North Africa</v>
      </c>
      <c r="E976" s="4" t="s">
        <v>16</v>
      </c>
      <c r="F976" s="4" t="str">
        <f>VLOOKUP(E976,Productos!$A$2:$D$13,2,TRUE)</f>
        <v>botella 5l</v>
      </c>
      <c r="G976" s="4">
        <f>VLOOKUP(E976,Productos!$A$2:$D$13,3,TRUE)</f>
        <v>6</v>
      </c>
      <c r="H976" s="4">
        <f>VLOOKUP(E976,Productos!$A$2:$D$13,4,TRUE)</f>
        <v>9</v>
      </c>
      <c r="I976" s="4" t="s">
        <v>17</v>
      </c>
      <c r="J976" s="4">
        <v>195</v>
      </c>
      <c r="K976" s="7">
        <v>42056</v>
      </c>
    </row>
    <row r="977" spans="1:11" x14ac:dyDescent="0.25">
      <c r="A977" s="4">
        <v>24237</v>
      </c>
      <c r="B977" s="4" t="s">
        <v>1161</v>
      </c>
      <c r="C977" s="4" t="s">
        <v>538</v>
      </c>
      <c r="D977" s="4" t="str">
        <f>VLOOKUP(C977,Países!$A$1:$B$186,2,TRUE)</f>
        <v>Australia and Oceania</v>
      </c>
      <c r="E977" s="4" t="s">
        <v>26</v>
      </c>
      <c r="F977" s="4" t="str">
        <f>VLOOKUP(E977,Productos!$A$2:$D$13,2,TRUE)</f>
        <v>botellín 200cc</v>
      </c>
      <c r="G977" s="4">
        <f>VLOOKUP(E977,Productos!$A$2:$D$13,3,TRUE)</f>
        <v>1.5</v>
      </c>
      <c r="H977" s="4">
        <f>VLOOKUP(E977,Productos!$A$2:$D$13,4,TRUE)</f>
        <v>3</v>
      </c>
      <c r="I977" s="4" t="s">
        <v>59</v>
      </c>
      <c r="J977" s="4">
        <v>110</v>
      </c>
      <c r="K977" s="7">
        <v>42211</v>
      </c>
    </row>
    <row r="978" spans="1:11" x14ac:dyDescent="0.25">
      <c r="A978" s="4">
        <v>24238</v>
      </c>
      <c r="B978" s="4" t="s">
        <v>1162</v>
      </c>
      <c r="C978" s="4" t="s">
        <v>172</v>
      </c>
      <c r="D978" s="4" t="str">
        <f>VLOOKUP(C978,Países!$A$1:$B$186,2,TRUE)</f>
        <v>Middle East and North Africa</v>
      </c>
      <c r="E978" s="4" t="s">
        <v>13</v>
      </c>
      <c r="F978" s="4" t="str">
        <f>VLOOKUP(E978,Productos!$A$2:$D$13,2,TRUE)</f>
        <v>botella 1l</v>
      </c>
      <c r="G978" s="4">
        <f>VLOOKUP(E978,Productos!$A$2:$D$13,3,TRUE)</f>
        <v>3.5</v>
      </c>
      <c r="H978" s="4">
        <f>VLOOKUP(E978,Productos!$A$2:$D$13,4,TRUE)</f>
        <v>6.5</v>
      </c>
      <c r="I978" s="4" t="s">
        <v>17</v>
      </c>
      <c r="J978" s="4">
        <v>59</v>
      </c>
      <c r="K978" s="7">
        <v>42153</v>
      </c>
    </row>
    <row r="979" spans="1:11" x14ac:dyDescent="0.25">
      <c r="A979" s="4">
        <v>24239</v>
      </c>
      <c r="B979" s="4" t="s">
        <v>1163</v>
      </c>
      <c r="C979" s="4" t="s">
        <v>104</v>
      </c>
      <c r="D979" s="4" t="str">
        <f>VLOOKUP(C979,Países!$A$1:$B$186,2,TRUE)</f>
        <v>Asia</v>
      </c>
      <c r="E979" s="4" t="s">
        <v>23</v>
      </c>
      <c r="F979" s="4" t="str">
        <f>VLOOKUP(E979,Productos!$A$2:$D$13,2,TRUE)</f>
        <v>botellín 400cc</v>
      </c>
      <c r="G979" s="4">
        <f>VLOOKUP(E979,Productos!$A$2:$D$13,3,TRUE)</f>
        <v>2.2999999999999998</v>
      </c>
      <c r="H979" s="4">
        <f>VLOOKUP(E979,Productos!$A$2:$D$13,4,TRUE)</f>
        <v>4.5</v>
      </c>
      <c r="I979" s="4" t="s">
        <v>17</v>
      </c>
      <c r="J979" s="4">
        <v>201</v>
      </c>
      <c r="K979" s="7">
        <v>42158</v>
      </c>
    </row>
    <row r="980" spans="1:11" x14ac:dyDescent="0.25">
      <c r="A980" s="4">
        <v>24240</v>
      </c>
      <c r="B980" s="4" t="s">
        <v>1164</v>
      </c>
      <c r="C980" s="4" t="s">
        <v>326</v>
      </c>
      <c r="D980" s="4" t="str">
        <f>VLOOKUP(C980,Países!$A$1:$B$186,2,TRUE)</f>
        <v>Asia</v>
      </c>
      <c r="E980" s="4" t="s">
        <v>23</v>
      </c>
      <c r="F980" s="4" t="str">
        <f>VLOOKUP(E980,Productos!$A$2:$D$13,2,TRUE)</f>
        <v>botellín 400cc</v>
      </c>
      <c r="G980" s="4">
        <f>VLOOKUP(E980,Productos!$A$2:$D$13,3,TRUE)</f>
        <v>2.2999999999999998</v>
      </c>
      <c r="H980" s="4">
        <f>VLOOKUP(E980,Productos!$A$2:$D$13,4,TRUE)</f>
        <v>4.5</v>
      </c>
      <c r="I980" s="4" t="s">
        <v>59</v>
      </c>
      <c r="J980" s="4">
        <v>44</v>
      </c>
      <c r="K980" s="7">
        <v>42128</v>
      </c>
    </row>
    <row r="981" spans="1:11" x14ac:dyDescent="0.25">
      <c r="A981" s="4">
        <v>24241</v>
      </c>
      <c r="B981" s="4" t="s">
        <v>1165</v>
      </c>
      <c r="C981" s="4" t="s">
        <v>557</v>
      </c>
      <c r="D981" s="4" t="str">
        <f>VLOOKUP(C981,Países!$A$1:$B$186,2,TRUE)</f>
        <v>Europe</v>
      </c>
      <c r="E981" s="4" t="s">
        <v>23</v>
      </c>
      <c r="F981" s="4" t="str">
        <f>VLOOKUP(E981,Productos!$A$2:$D$13,2,TRUE)</f>
        <v>botellín 400cc</v>
      </c>
      <c r="G981" s="4">
        <f>VLOOKUP(E981,Productos!$A$2:$D$13,3,TRUE)</f>
        <v>2.2999999999999998</v>
      </c>
      <c r="H981" s="4">
        <f>VLOOKUP(E981,Productos!$A$2:$D$13,4,TRUE)</f>
        <v>4.5</v>
      </c>
      <c r="I981" s="4" t="s">
        <v>17</v>
      </c>
      <c r="J981" s="4">
        <v>36</v>
      </c>
      <c r="K981" s="7">
        <v>42221</v>
      </c>
    </row>
    <row r="982" spans="1:11" x14ac:dyDescent="0.25">
      <c r="A982" s="4">
        <v>24242</v>
      </c>
      <c r="B982" s="4" t="s">
        <v>1166</v>
      </c>
      <c r="C982" s="4" t="s">
        <v>50</v>
      </c>
      <c r="D982" s="4" t="str">
        <f>VLOOKUP(C982,Países!$A$1:$B$186,2,TRUE)</f>
        <v>Sub-Saharan Africa</v>
      </c>
      <c r="E982" s="4" t="s">
        <v>29</v>
      </c>
      <c r="F982" s="4" t="str">
        <f>VLOOKUP(E982,Productos!$A$2:$D$13,2,TRUE)</f>
        <v>botella 0.5l</v>
      </c>
      <c r="G982" s="4">
        <f>VLOOKUP(E982,Productos!$A$2:$D$13,3,TRUE)</f>
        <v>3</v>
      </c>
      <c r="H982" s="4">
        <f>VLOOKUP(E982,Productos!$A$2:$D$13,4,TRUE)</f>
        <v>6</v>
      </c>
      <c r="I982" s="4" t="s">
        <v>17</v>
      </c>
      <c r="J982" s="4">
        <v>11</v>
      </c>
      <c r="K982" s="7">
        <v>42120</v>
      </c>
    </row>
    <row r="983" spans="1:11" x14ac:dyDescent="0.25">
      <c r="A983" s="4">
        <v>24243</v>
      </c>
      <c r="B983" s="4" t="s">
        <v>1167</v>
      </c>
      <c r="C983" s="4" t="s">
        <v>90</v>
      </c>
      <c r="D983" s="4" t="str">
        <f>VLOOKUP(C983,Países!$A$1:$B$186,2,TRUE)</f>
        <v>Europe</v>
      </c>
      <c r="E983" s="4" t="s">
        <v>23</v>
      </c>
      <c r="F983" s="4" t="str">
        <f>VLOOKUP(E983,Productos!$A$2:$D$13,2,TRUE)</f>
        <v>botellín 400cc</v>
      </c>
      <c r="G983" s="4">
        <f>VLOOKUP(E983,Productos!$A$2:$D$13,3,TRUE)</f>
        <v>2.2999999999999998</v>
      </c>
      <c r="H983" s="4">
        <f>VLOOKUP(E983,Productos!$A$2:$D$13,4,TRUE)</f>
        <v>4.5</v>
      </c>
      <c r="I983" s="4" t="s">
        <v>17</v>
      </c>
      <c r="J983" s="4">
        <v>88</v>
      </c>
      <c r="K983" s="7">
        <v>42039</v>
      </c>
    </row>
    <row r="984" spans="1:11" x14ac:dyDescent="0.25">
      <c r="A984" s="4">
        <v>24244</v>
      </c>
      <c r="B984" s="4" t="s">
        <v>1168</v>
      </c>
      <c r="C984" s="4" t="s">
        <v>278</v>
      </c>
      <c r="D984" s="4" t="str">
        <f>VLOOKUP(C984,Países!$A$1:$B$186,2,TRUE)</f>
        <v>Australia and Oceania</v>
      </c>
      <c r="E984" s="4" t="s">
        <v>23</v>
      </c>
      <c r="F984" s="4" t="str">
        <f>VLOOKUP(E984,Productos!$A$2:$D$13,2,TRUE)</f>
        <v>botellín 400cc</v>
      </c>
      <c r="G984" s="4">
        <f>VLOOKUP(E984,Productos!$A$2:$D$13,3,TRUE)</f>
        <v>2.2999999999999998</v>
      </c>
      <c r="H984" s="4">
        <f>VLOOKUP(E984,Productos!$A$2:$D$13,4,TRUE)</f>
        <v>4.5</v>
      </c>
      <c r="I984" s="4" t="s">
        <v>10</v>
      </c>
      <c r="J984" s="4">
        <v>16</v>
      </c>
      <c r="K984" s="7">
        <v>42245</v>
      </c>
    </row>
    <row r="985" spans="1:11" x14ac:dyDescent="0.25">
      <c r="A985" s="4">
        <v>24245</v>
      </c>
      <c r="B985" s="4" t="s">
        <v>1169</v>
      </c>
      <c r="C985" s="4" t="s">
        <v>923</v>
      </c>
      <c r="D985" s="4" t="str">
        <f>VLOOKUP(C985,Países!$A$1:$B$186,2,TRUE)</f>
        <v>Europe</v>
      </c>
      <c r="E985" s="4" t="s">
        <v>58</v>
      </c>
      <c r="F985" s="4" t="str">
        <f>VLOOKUP(E985,Productos!$A$2:$D$13,2,TRUE)</f>
        <v>garrafa 2l</v>
      </c>
      <c r="G985" s="4">
        <f>VLOOKUP(E985,Productos!$A$2:$D$13,3,TRUE)</f>
        <v>2.5</v>
      </c>
      <c r="H985" s="4">
        <f>VLOOKUP(E985,Productos!$A$2:$D$13,4,TRUE)</f>
        <v>4.5</v>
      </c>
      <c r="I985" s="4" t="s">
        <v>17</v>
      </c>
      <c r="J985" s="4">
        <v>138</v>
      </c>
      <c r="K985" s="7">
        <v>42192</v>
      </c>
    </row>
    <row r="986" spans="1:11" x14ac:dyDescent="0.25">
      <c r="A986" s="4">
        <v>24246</v>
      </c>
      <c r="B986" s="4" t="s">
        <v>1170</v>
      </c>
      <c r="C986" s="4" t="s">
        <v>1171</v>
      </c>
      <c r="D986" s="4" t="str">
        <f>VLOOKUP(C986,Países!$A$1:$B$186,2,TRUE)</f>
        <v>Europe</v>
      </c>
      <c r="E986" s="4" t="s">
        <v>20</v>
      </c>
      <c r="F986" s="4" t="str">
        <f>VLOOKUP(E986,Productos!$A$2:$D$13,2,TRUE)</f>
        <v>garrafa 4l</v>
      </c>
      <c r="G986" s="4">
        <f>VLOOKUP(E986,Productos!$A$2:$D$13,3,TRUE)</f>
        <v>5</v>
      </c>
      <c r="H986" s="4">
        <f>VLOOKUP(E986,Productos!$A$2:$D$13,4,TRUE)</f>
        <v>9.99</v>
      </c>
      <c r="I986" s="4" t="s">
        <v>17</v>
      </c>
      <c r="J986" s="4">
        <v>92</v>
      </c>
      <c r="K986" s="7">
        <v>42166</v>
      </c>
    </row>
    <row r="987" spans="1:11" x14ac:dyDescent="0.25">
      <c r="A987" s="4">
        <v>24247</v>
      </c>
      <c r="B987" s="4" t="s">
        <v>1172</v>
      </c>
      <c r="C987" s="4" t="s">
        <v>174</v>
      </c>
      <c r="D987" s="4" t="str">
        <f>VLOOKUP(C987,Países!$A$1:$B$186,2,TRUE)</f>
        <v>Europe</v>
      </c>
      <c r="E987" s="4" t="s">
        <v>23</v>
      </c>
      <c r="F987" s="4" t="str">
        <f>VLOOKUP(E987,Productos!$A$2:$D$13,2,TRUE)</f>
        <v>botellín 400cc</v>
      </c>
      <c r="G987" s="4">
        <f>VLOOKUP(E987,Productos!$A$2:$D$13,3,TRUE)</f>
        <v>2.2999999999999998</v>
      </c>
      <c r="H987" s="4">
        <f>VLOOKUP(E987,Productos!$A$2:$D$13,4,TRUE)</f>
        <v>4.5</v>
      </c>
      <c r="I987" s="4" t="s">
        <v>17</v>
      </c>
      <c r="J987" s="4">
        <v>74</v>
      </c>
      <c r="K987" s="7">
        <v>42214</v>
      </c>
    </row>
    <row r="988" spans="1:11" x14ac:dyDescent="0.25">
      <c r="A988" s="4">
        <v>24248</v>
      </c>
      <c r="B988" s="4" t="s">
        <v>1173</v>
      </c>
      <c r="C988" s="4" t="s">
        <v>535</v>
      </c>
      <c r="D988" s="4" t="str">
        <f>VLOOKUP(C988,Países!$A$1:$B$186,2,TRUE)</f>
        <v>Sub-Saharan Africa</v>
      </c>
      <c r="E988" s="4" t="s">
        <v>9</v>
      </c>
      <c r="F988" s="4" t="str">
        <f>VLOOKUP(E988,Productos!$A$2:$D$13,2,TRUE)</f>
        <v>garrafa 1l</v>
      </c>
      <c r="G988" s="4">
        <f>VLOOKUP(E988,Productos!$A$2:$D$13,3,TRUE)</f>
        <v>1</v>
      </c>
      <c r="H988" s="4">
        <f>VLOOKUP(E988,Productos!$A$2:$D$13,4,TRUE)</f>
        <v>2</v>
      </c>
      <c r="I988" s="4" t="s">
        <v>17</v>
      </c>
      <c r="J988" s="4">
        <v>144</v>
      </c>
      <c r="K988" s="7">
        <v>42153</v>
      </c>
    </row>
    <row r="989" spans="1:11" x14ac:dyDescent="0.25">
      <c r="A989" s="4">
        <v>24249</v>
      </c>
      <c r="B989" s="4" t="s">
        <v>1174</v>
      </c>
      <c r="C989" s="4" t="s">
        <v>288</v>
      </c>
      <c r="D989" s="4" t="str">
        <f>VLOOKUP(C989,Países!$A$1:$B$186,2,TRUE)</f>
        <v>Europe</v>
      </c>
      <c r="E989" s="4" t="s">
        <v>9</v>
      </c>
      <c r="F989" s="4" t="str">
        <f>VLOOKUP(E989,Productos!$A$2:$D$13,2,TRUE)</f>
        <v>garrafa 1l</v>
      </c>
      <c r="G989" s="4">
        <f>VLOOKUP(E989,Productos!$A$2:$D$13,3,TRUE)</f>
        <v>1</v>
      </c>
      <c r="H989" s="4">
        <f>VLOOKUP(E989,Productos!$A$2:$D$13,4,TRUE)</f>
        <v>2</v>
      </c>
      <c r="I989" s="4" t="s">
        <v>59</v>
      </c>
      <c r="J989" s="4">
        <v>151</v>
      </c>
      <c r="K989" s="7">
        <v>42071</v>
      </c>
    </row>
    <row r="990" spans="1:11" x14ac:dyDescent="0.25">
      <c r="A990" s="4">
        <v>24250</v>
      </c>
      <c r="B990" s="4" t="s">
        <v>1175</v>
      </c>
      <c r="C990" s="4" t="s">
        <v>172</v>
      </c>
      <c r="D990" s="4" t="str">
        <f>VLOOKUP(C990,Países!$A$1:$B$186,2,TRUE)</f>
        <v>Middle East and North Africa</v>
      </c>
      <c r="E990" s="4" t="s">
        <v>58</v>
      </c>
      <c r="F990" s="4" t="str">
        <f>VLOOKUP(E990,Productos!$A$2:$D$13,2,TRUE)</f>
        <v>garrafa 2l</v>
      </c>
      <c r="G990" s="4">
        <f>VLOOKUP(E990,Productos!$A$2:$D$13,3,TRUE)</f>
        <v>2.5</v>
      </c>
      <c r="H990" s="4">
        <f>VLOOKUP(E990,Productos!$A$2:$D$13,4,TRUE)</f>
        <v>4.5</v>
      </c>
      <c r="I990" s="4" t="s">
        <v>17</v>
      </c>
      <c r="J990" s="4">
        <v>11</v>
      </c>
      <c r="K990" s="7">
        <v>42071</v>
      </c>
    </row>
    <row r="991" spans="1:11" x14ac:dyDescent="0.25">
      <c r="A991" s="4">
        <v>24251</v>
      </c>
      <c r="B991" s="4" t="s">
        <v>382</v>
      </c>
      <c r="C991" s="4" t="s">
        <v>1171</v>
      </c>
      <c r="D991" s="4" t="str">
        <f>VLOOKUP(C991,Países!$A$1:$B$186,2,TRUE)</f>
        <v>Europe</v>
      </c>
      <c r="E991" s="4" t="s">
        <v>46</v>
      </c>
      <c r="F991" s="4" t="str">
        <f>VLOOKUP(E991,Productos!$A$2:$D$13,2,TRUE)</f>
        <v>botellín 500cc</v>
      </c>
      <c r="G991" s="4">
        <f>VLOOKUP(E991,Productos!$A$2:$D$13,3,TRUE)</f>
        <v>3.5</v>
      </c>
      <c r="H991" s="4">
        <f>VLOOKUP(E991,Productos!$A$2:$D$13,4,TRUE)</f>
        <v>6.5</v>
      </c>
      <c r="I991" s="4" t="s">
        <v>10</v>
      </c>
      <c r="J991" s="4">
        <v>15</v>
      </c>
      <c r="K991" s="7">
        <v>42121</v>
      </c>
    </row>
    <row r="992" spans="1:11" x14ac:dyDescent="0.25">
      <c r="A992" s="4">
        <v>24252</v>
      </c>
      <c r="B992" s="4" t="s">
        <v>1176</v>
      </c>
      <c r="C992" s="4" t="s">
        <v>267</v>
      </c>
      <c r="D992" s="4" t="str">
        <f>VLOOKUP(C992,Países!$A$1:$B$186,2,TRUE)</f>
        <v>Sub-Saharan Africa</v>
      </c>
      <c r="E992" s="4" t="s">
        <v>23</v>
      </c>
      <c r="F992" s="4" t="str">
        <f>VLOOKUP(E992,Productos!$A$2:$D$13,2,TRUE)</f>
        <v>botellín 400cc</v>
      </c>
      <c r="G992" s="4">
        <f>VLOOKUP(E992,Productos!$A$2:$D$13,3,TRUE)</f>
        <v>2.2999999999999998</v>
      </c>
      <c r="H992" s="4">
        <f>VLOOKUP(E992,Productos!$A$2:$D$13,4,TRUE)</f>
        <v>4.5</v>
      </c>
      <c r="I992" s="4" t="s">
        <v>17</v>
      </c>
      <c r="J992" s="4">
        <v>170</v>
      </c>
      <c r="K992" s="7">
        <v>42159</v>
      </c>
    </row>
    <row r="993" spans="1:11" x14ac:dyDescent="0.25">
      <c r="A993" s="4">
        <v>24253</v>
      </c>
      <c r="B993" s="4" t="s">
        <v>1177</v>
      </c>
      <c r="C993" s="4" t="s">
        <v>203</v>
      </c>
      <c r="D993" s="4" t="str">
        <f>VLOOKUP(C993,Países!$A$1:$B$186,2,TRUE)</f>
        <v>Middle East and North Africa</v>
      </c>
      <c r="E993" s="4" t="s">
        <v>29</v>
      </c>
      <c r="F993" s="4" t="str">
        <f>VLOOKUP(E993,Productos!$A$2:$D$13,2,TRUE)</f>
        <v>botella 0.5l</v>
      </c>
      <c r="G993" s="4">
        <f>VLOOKUP(E993,Productos!$A$2:$D$13,3,TRUE)</f>
        <v>3</v>
      </c>
      <c r="H993" s="4">
        <f>VLOOKUP(E993,Productos!$A$2:$D$13,4,TRUE)</f>
        <v>6</v>
      </c>
      <c r="I993" s="4" t="s">
        <v>17</v>
      </c>
      <c r="J993" s="4">
        <v>77</v>
      </c>
      <c r="K993" s="7">
        <v>42132</v>
      </c>
    </row>
    <row r="994" spans="1:11" x14ac:dyDescent="0.25">
      <c r="A994" s="4">
        <v>24254</v>
      </c>
      <c r="B994" s="4" t="s">
        <v>1178</v>
      </c>
      <c r="C994" s="4" t="s">
        <v>403</v>
      </c>
      <c r="D994" s="4" t="str">
        <f>VLOOKUP(C994,Países!$A$1:$B$186,2,TRUE)</f>
        <v>Central America and the Caribbean</v>
      </c>
      <c r="E994" s="4" t="s">
        <v>16</v>
      </c>
      <c r="F994" s="4" t="str">
        <f>VLOOKUP(E994,Productos!$A$2:$D$13,2,TRUE)</f>
        <v>botella 5l</v>
      </c>
      <c r="G994" s="4">
        <f>VLOOKUP(E994,Productos!$A$2:$D$13,3,TRUE)</f>
        <v>6</v>
      </c>
      <c r="H994" s="4">
        <f>VLOOKUP(E994,Productos!$A$2:$D$13,4,TRUE)</f>
        <v>9</v>
      </c>
      <c r="I994" s="4" t="s">
        <v>17</v>
      </c>
      <c r="J994" s="4">
        <v>6</v>
      </c>
      <c r="K994" s="7">
        <v>42192</v>
      </c>
    </row>
    <row r="995" spans="1:11" x14ac:dyDescent="0.25">
      <c r="A995" s="4">
        <v>24255</v>
      </c>
      <c r="B995" s="4" t="s">
        <v>1179</v>
      </c>
      <c r="C995" s="4" t="s">
        <v>551</v>
      </c>
      <c r="D995" s="4" t="str">
        <f>VLOOKUP(C995,Países!$A$1:$B$186,2,TRUE)</f>
        <v>Asia</v>
      </c>
      <c r="E995" s="4" t="s">
        <v>29</v>
      </c>
      <c r="F995" s="4" t="str">
        <f>VLOOKUP(E995,Productos!$A$2:$D$13,2,TRUE)</f>
        <v>botella 0.5l</v>
      </c>
      <c r="G995" s="4">
        <f>VLOOKUP(E995,Productos!$A$2:$D$13,3,TRUE)</f>
        <v>3</v>
      </c>
      <c r="H995" s="4">
        <f>VLOOKUP(E995,Productos!$A$2:$D$13,4,TRUE)</f>
        <v>6</v>
      </c>
      <c r="I995" s="4" t="s">
        <v>10</v>
      </c>
      <c r="J995" s="4">
        <v>189</v>
      </c>
      <c r="K995" s="7">
        <v>42012</v>
      </c>
    </row>
    <row r="996" spans="1:11" x14ac:dyDescent="0.25">
      <c r="A996" s="4">
        <v>24256</v>
      </c>
      <c r="B996" s="4" t="s">
        <v>1180</v>
      </c>
      <c r="C996" s="4" t="s">
        <v>220</v>
      </c>
      <c r="D996" s="4" t="str">
        <f>VLOOKUP(C996,Países!$A$1:$B$186,2,TRUE)</f>
        <v>Australia and Oceania</v>
      </c>
      <c r="E996" s="4" t="s">
        <v>46</v>
      </c>
      <c r="F996" s="4" t="str">
        <f>VLOOKUP(E996,Productos!$A$2:$D$13,2,TRUE)</f>
        <v>botellín 500cc</v>
      </c>
      <c r="G996" s="4">
        <f>VLOOKUP(E996,Productos!$A$2:$D$13,3,TRUE)</f>
        <v>3.5</v>
      </c>
      <c r="H996" s="4">
        <f>VLOOKUP(E996,Productos!$A$2:$D$13,4,TRUE)</f>
        <v>6.5</v>
      </c>
      <c r="I996" s="4" t="s">
        <v>17</v>
      </c>
      <c r="J996" s="4">
        <v>43</v>
      </c>
      <c r="K996" s="7">
        <v>42131</v>
      </c>
    </row>
    <row r="997" spans="1:11" x14ac:dyDescent="0.25">
      <c r="A997" s="4">
        <v>24257</v>
      </c>
      <c r="B997" s="4" t="s">
        <v>1181</v>
      </c>
      <c r="C997" s="4" t="s">
        <v>323</v>
      </c>
      <c r="D997" s="4" t="str">
        <f>VLOOKUP(C997,Países!$A$1:$B$186,2,TRUE)</f>
        <v>Europe</v>
      </c>
      <c r="E997" s="4" t="s">
        <v>16</v>
      </c>
      <c r="F997" s="4" t="str">
        <f>VLOOKUP(E997,Productos!$A$2:$D$13,2,TRUE)</f>
        <v>botella 5l</v>
      </c>
      <c r="G997" s="4">
        <f>VLOOKUP(E997,Productos!$A$2:$D$13,3,TRUE)</f>
        <v>6</v>
      </c>
      <c r="H997" s="4">
        <f>VLOOKUP(E997,Productos!$A$2:$D$13,4,TRUE)</f>
        <v>9</v>
      </c>
      <c r="I997" s="4" t="s">
        <v>17</v>
      </c>
      <c r="J997" s="4">
        <v>17</v>
      </c>
      <c r="K997" s="7">
        <v>42038</v>
      </c>
    </row>
    <row r="998" spans="1:11" x14ac:dyDescent="0.25">
      <c r="A998" s="4">
        <v>24258</v>
      </c>
      <c r="B998" s="4" t="s">
        <v>1182</v>
      </c>
      <c r="C998" s="4" t="s">
        <v>73</v>
      </c>
      <c r="D998" s="4" t="str">
        <f>VLOOKUP(C998,Países!$A$1:$B$186,2,TRUE)</f>
        <v>Europe</v>
      </c>
      <c r="E998" s="4" t="s">
        <v>34</v>
      </c>
      <c r="F998" s="4" t="str">
        <f>VLOOKUP(E998,Productos!$A$2:$D$13,2,TRUE)</f>
        <v>garrafa 3l</v>
      </c>
      <c r="G998" s="4">
        <f>VLOOKUP(E998,Productos!$A$2:$D$13,3,TRUE)</f>
        <v>3.5</v>
      </c>
      <c r="H998" s="4">
        <f>VLOOKUP(E998,Productos!$A$2:$D$13,4,TRUE)</f>
        <v>6.99</v>
      </c>
      <c r="I998" s="4" t="s">
        <v>17</v>
      </c>
      <c r="J998" s="4">
        <v>80</v>
      </c>
      <c r="K998" s="7">
        <v>42016</v>
      </c>
    </row>
    <row r="999" spans="1:11" x14ac:dyDescent="0.25">
      <c r="A999" s="4">
        <v>24259</v>
      </c>
      <c r="B999" s="4" t="s">
        <v>1183</v>
      </c>
      <c r="C999" s="4" t="s">
        <v>100</v>
      </c>
      <c r="D999" s="4" t="str">
        <f>VLOOKUP(C999,Países!$A$1:$B$186,2,TRUE)</f>
        <v>Asia</v>
      </c>
      <c r="E999" s="4" t="s">
        <v>46</v>
      </c>
      <c r="F999" s="4" t="str">
        <f>VLOOKUP(E999,Productos!$A$2:$D$13,2,TRUE)</f>
        <v>botellín 500cc</v>
      </c>
      <c r="G999" s="4">
        <f>VLOOKUP(E999,Productos!$A$2:$D$13,3,TRUE)</f>
        <v>3.5</v>
      </c>
      <c r="H999" s="4">
        <f>VLOOKUP(E999,Productos!$A$2:$D$13,4,TRUE)</f>
        <v>6.5</v>
      </c>
      <c r="I999" s="4" t="s">
        <v>10</v>
      </c>
      <c r="J999" s="4">
        <v>138</v>
      </c>
      <c r="K999" s="7">
        <v>42225</v>
      </c>
    </row>
    <row r="1000" spans="1:1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ABB0-D6E3-4676-93E1-AD286C8347FE}">
  <dimension ref="F1:O11"/>
  <sheetViews>
    <sheetView topLeftCell="D1" workbookViewId="0">
      <selection activeCell="K3" sqref="K3"/>
    </sheetView>
  </sheetViews>
  <sheetFormatPr baseColWidth="10" defaultColWidth="8.88671875" defaultRowHeight="13.2" x14ac:dyDescent="0.25"/>
  <cols>
    <col min="6" max="6" width="31" customWidth="1"/>
    <col min="7" max="7" width="13.88671875" customWidth="1"/>
    <col min="8" max="8" width="12.33203125" customWidth="1"/>
    <col min="9" max="9" width="15.21875" customWidth="1"/>
    <col min="10" max="10" width="15.88671875" customWidth="1"/>
    <col min="11" max="11" width="14.109375" customWidth="1"/>
    <col min="12" max="12" width="27.33203125" bestFit="1" customWidth="1"/>
    <col min="13" max="13" width="16.6640625" bestFit="1" customWidth="1"/>
    <col min="14" max="14" width="18.109375" bestFit="1" customWidth="1"/>
    <col min="15" max="15" width="19.5546875" bestFit="1" customWidth="1"/>
    <col min="16" max="105" width="3.109375" bestFit="1" customWidth="1"/>
    <col min="106" max="217" width="4.33203125" bestFit="1" customWidth="1"/>
    <col min="218" max="218" width="11" bestFit="1" customWidth="1"/>
    <col min="219" max="219" width="12.6640625" bestFit="1" customWidth="1"/>
  </cols>
  <sheetData>
    <row r="1" spans="6:15" x14ac:dyDescent="0.25">
      <c r="F1" s="11" t="s">
        <v>1226</v>
      </c>
      <c r="G1" t="s">
        <v>1235</v>
      </c>
    </row>
    <row r="3" spans="6:15" s="30" customFormat="1" ht="26.4" x14ac:dyDescent="0.25">
      <c r="F3" s="29" t="s">
        <v>1228</v>
      </c>
      <c r="G3" s="30" t="s">
        <v>1236</v>
      </c>
      <c r="H3" s="30" t="s">
        <v>1237</v>
      </c>
      <c r="I3" s="30" t="s">
        <v>1238</v>
      </c>
      <c r="J3" s="30" t="s">
        <v>1239</v>
      </c>
      <c r="K3" s="31" t="s">
        <v>1240</v>
      </c>
      <c r="L3" s="31" t="s">
        <v>1241</v>
      </c>
      <c r="M3" s="31" t="s">
        <v>1242</v>
      </c>
      <c r="N3" s="31" t="s">
        <v>1243</v>
      </c>
      <c r="O3" s="31" t="s">
        <v>1244</v>
      </c>
    </row>
    <row r="4" spans="6:15" x14ac:dyDescent="0.25">
      <c r="F4" t="s">
        <v>1206</v>
      </c>
      <c r="G4">
        <v>14664</v>
      </c>
      <c r="H4">
        <v>50661</v>
      </c>
      <c r="I4">
        <v>94131.50999999998</v>
      </c>
      <c r="J4">
        <v>43470.510000000017</v>
      </c>
      <c r="K4" s="8">
        <v>0.04</v>
      </c>
      <c r="L4" s="12">
        <f>G4*(1+K4)</f>
        <v>15250.560000000001</v>
      </c>
      <c r="M4" s="12">
        <f>H4*(1+$K4)</f>
        <v>52687.44</v>
      </c>
      <c r="N4" s="12">
        <f>I4*(1+$K4)</f>
        <v>97896.770399999979</v>
      </c>
      <c r="O4" s="12">
        <f>J4*(1+$K4)</f>
        <v>45209.330400000021</v>
      </c>
    </row>
    <row r="5" spans="6:15" x14ac:dyDescent="0.25">
      <c r="F5" t="s">
        <v>1205</v>
      </c>
      <c r="G5">
        <v>9101</v>
      </c>
      <c r="H5">
        <v>28672.5</v>
      </c>
      <c r="I5">
        <v>53471.88</v>
      </c>
      <c r="J5">
        <v>24799.38</v>
      </c>
      <c r="K5" s="8">
        <v>0.01</v>
      </c>
      <c r="L5" s="12">
        <f t="shared" ref="L5:L10" si="0">G5*(1+K5)</f>
        <v>9192.01</v>
      </c>
      <c r="M5" s="12">
        <f t="shared" ref="M5:M10" si="1">H5*(1+$K5)</f>
        <v>28959.224999999999</v>
      </c>
      <c r="N5" s="12">
        <f t="shared" ref="N5:N10" si="2">I5*(1+$K5)</f>
        <v>54006.5988</v>
      </c>
      <c r="O5" s="12">
        <f t="shared" ref="O5:O10" si="3">J5*(1+$K5)</f>
        <v>25047.373800000001</v>
      </c>
    </row>
    <row r="6" spans="6:15" x14ac:dyDescent="0.25">
      <c r="F6" t="s">
        <v>1204</v>
      </c>
      <c r="G6">
        <v>10981</v>
      </c>
      <c r="H6">
        <v>31760.5</v>
      </c>
      <c r="I6">
        <v>59874.979999999996</v>
      </c>
      <c r="J6">
        <v>28114.479999999996</v>
      </c>
      <c r="K6" s="8">
        <v>0.02</v>
      </c>
      <c r="L6" s="12">
        <f t="shared" si="0"/>
        <v>11200.62</v>
      </c>
      <c r="M6" s="12">
        <f t="shared" si="1"/>
        <v>32395.71</v>
      </c>
      <c r="N6" s="12">
        <f t="shared" si="2"/>
        <v>61072.479599999999</v>
      </c>
      <c r="O6" s="12">
        <f t="shared" si="3"/>
        <v>28676.769599999996</v>
      </c>
    </row>
    <row r="7" spans="6:15" x14ac:dyDescent="0.25">
      <c r="F7" t="s">
        <v>1202</v>
      </c>
      <c r="G7">
        <v>26929</v>
      </c>
      <c r="H7">
        <v>87112.5</v>
      </c>
      <c r="I7">
        <v>163060.4</v>
      </c>
      <c r="J7">
        <v>75947.899999999951</v>
      </c>
      <c r="K7" s="8">
        <v>-0.02</v>
      </c>
      <c r="L7" s="12">
        <f t="shared" si="0"/>
        <v>26390.42</v>
      </c>
      <c r="M7" s="12">
        <f t="shared" si="1"/>
        <v>85370.25</v>
      </c>
      <c r="N7" s="12">
        <f t="shared" si="2"/>
        <v>159799.19199999998</v>
      </c>
      <c r="O7" s="12">
        <f t="shared" si="3"/>
        <v>74428.941999999952</v>
      </c>
    </row>
    <row r="8" spans="6:15" x14ac:dyDescent="0.25">
      <c r="F8" t="s">
        <v>1201</v>
      </c>
      <c r="G8">
        <v>13689</v>
      </c>
      <c r="H8">
        <v>45325</v>
      </c>
      <c r="I8">
        <v>83814.86</v>
      </c>
      <c r="J8">
        <v>38489.859999999993</v>
      </c>
      <c r="K8" s="8">
        <v>-0.01</v>
      </c>
      <c r="L8" s="12">
        <f t="shared" si="0"/>
        <v>13552.11</v>
      </c>
      <c r="M8" s="12">
        <f t="shared" si="1"/>
        <v>44871.75</v>
      </c>
      <c r="N8" s="12">
        <f t="shared" si="2"/>
        <v>82976.7114</v>
      </c>
      <c r="O8" s="12">
        <f t="shared" si="3"/>
        <v>38104.961399999993</v>
      </c>
    </row>
    <row r="9" spans="6:15" x14ac:dyDescent="0.25">
      <c r="F9" t="s">
        <v>1207</v>
      </c>
      <c r="G9">
        <v>1028</v>
      </c>
      <c r="H9">
        <v>4488.5</v>
      </c>
      <c r="I9">
        <v>8247.9</v>
      </c>
      <c r="J9">
        <v>3759.3999999999996</v>
      </c>
      <c r="K9" s="8">
        <v>0.02</v>
      </c>
      <c r="L9" s="12">
        <f t="shared" si="0"/>
        <v>1048.56</v>
      </c>
      <c r="M9" s="12">
        <f t="shared" si="1"/>
        <v>4578.2700000000004</v>
      </c>
      <c r="N9" s="12">
        <f t="shared" si="2"/>
        <v>8412.8580000000002</v>
      </c>
      <c r="O9" s="12">
        <f t="shared" si="3"/>
        <v>3834.5879999999997</v>
      </c>
    </row>
    <row r="10" spans="6:15" x14ac:dyDescent="0.25">
      <c r="F10" t="s">
        <v>1203</v>
      </c>
      <c r="G10">
        <v>31648</v>
      </c>
      <c r="H10">
        <v>108910.5</v>
      </c>
      <c r="I10">
        <v>199821.17999999988</v>
      </c>
      <c r="J10">
        <v>90910.68</v>
      </c>
      <c r="K10" s="8">
        <v>-0.03</v>
      </c>
      <c r="L10" s="12">
        <f t="shared" si="0"/>
        <v>30698.559999999998</v>
      </c>
      <c r="M10" s="12">
        <f t="shared" si="1"/>
        <v>105643.185</v>
      </c>
      <c r="N10" s="12">
        <f t="shared" si="2"/>
        <v>193826.54459999988</v>
      </c>
      <c r="O10" s="12">
        <f t="shared" si="3"/>
        <v>88183.359599999996</v>
      </c>
    </row>
    <row r="11" spans="6:15" x14ac:dyDescent="0.25">
      <c r="F11" t="s">
        <v>1231</v>
      </c>
      <c r="G11">
        <v>108040</v>
      </c>
      <c r="H11">
        <v>356930.5</v>
      </c>
      <c r="I11">
        <v>662422.71</v>
      </c>
      <c r="J11">
        <v>305492.20999999996</v>
      </c>
      <c r="K11" s="12"/>
      <c r="L11" s="26">
        <f>SUM(L4:L10)</f>
        <v>107332.84</v>
      </c>
      <c r="M11" s="26">
        <f t="shared" ref="M11:O11" si="4">SUM(M4:M10)</f>
        <v>354505.82999999996</v>
      </c>
      <c r="N11" s="26">
        <f t="shared" si="4"/>
        <v>657991.1547999999</v>
      </c>
      <c r="O11" s="26">
        <f t="shared" si="4"/>
        <v>303485.32479999994</v>
      </c>
    </row>
  </sheetData>
  <scenarios current="1" show="1">
    <scenario name="Optimista" locked="1" count="7" user="NOR0074M" comment="Creado por Angel el 01/10/2025">
      <inputCells r="K4" val="0,16" numFmtId="9"/>
      <inputCells r="K5" val="0,03" numFmtId="9"/>
      <inputCells r="K6" val="0,04" numFmtId="9"/>
      <inputCells r="K7" val="0,02" numFmtId="9"/>
      <inputCells r="K8" val="0,05" numFmtId="9"/>
      <inputCells r="K9" val="0,04" numFmtId="9"/>
      <inputCells r="K10" val="0,07" numFmtId="9"/>
    </scenario>
    <scenario name="Pesimista" locked="1" count="7" user="NOR0074M" comment="Creado por Angel el 01/10/2025">
      <inputCells r="K4" val="0,04" numFmtId="9"/>
      <inputCells r="K5" val="0,01" numFmtId="9"/>
      <inputCells r="K6" val="0,02" numFmtId="9"/>
      <inputCells r="K7" val="-0,02" numFmtId="9"/>
      <inputCells r="K8" val="-0,01" numFmtId="9"/>
      <inputCells r="K9" val="0,02" numFmtId="9"/>
      <inputCells r="K10" val="-0,03" numFmtId="9"/>
    </scenario>
  </scenario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4E8F-08CC-42D8-80FD-5756BC40F3FF}">
  <dimension ref="A1:I109"/>
  <sheetViews>
    <sheetView tabSelected="1" workbookViewId="0">
      <selection activeCell="F17" sqref="F17"/>
    </sheetView>
  </sheetViews>
  <sheetFormatPr baseColWidth="10" defaultColWidth="8.88671875" defaultRowHeight="13.2" x14ac:dyDescent="0.25"/>
  <cols>
    <col min="1" max="1" width="9.109375" style="16"/>
    <col min="2" max="2" width="61.6640625" style="16" customWidth="1"/>
    <col min="3" max="3" width="21.33203125" style="16" bestFit="1" customWidth="1"/>
    <col min="4" max="5" width="20.44140625" style="16" customWidth="1"/>
    <col min="6" max="6" width="19.33203125" style="16" customWidth="1"/>
    <col min="7" max="7" width="18.88671875" style="16" bestFit="1" customWidth="1"/>
    <col min="8" max="8" width="28.88671875" style="16" bestFit="1" customWidth="1"/>
    <col min="9" max="9" width="23.88671875" style="16" bestFit="1" customWidth="1"/>
    <col min="10" max="10" width="33.88671875" bestFit="1" customWidth="1"/>
  </cols>
  <sheetData>
    <row r="1" spans="2:6" x14ac:dyDescent="0.25">
      <c r="B1" s="27" t="s">
        <v>1230</v>
      </c>
      <c r="C1" s="17" t="s">
        <v>1229</v>
      </c>
    </row>
    <row r="2" spans="2:6" x14ac:dyDescent="0.25">
      <c r="B2" s="29" t="s">
        <v>1228</v>
      </c>
      <c r="C2" s="28" t="s">
        <v>59</v>
      </c>
      <c r="D2" s="28" t="s">
        <v>10</v>
      </c>
      <c r="E2" s="28" t="s">
        <v>17</v>
      </c>
      <c r="F2" s="28" t="s">
        <v>1231</v>
      </c>
    </row>
    <row r="3" spans="2:6" x14ac:dyDescent="0.25">
      <c r="B3" s="16" t="s">
        <v>1206</v>
      </c>
      <c r="C3" s="18">
        <v>12571.47</v>
      </c>
      <c r="D3" s="18">
        <v>47648.410000000011</v>
      </c>
      <c r="E3" s="18">
        <v>33911.629999999997</v>
      </c>
      <c r="F3" s="18">
        <v>94131.510000000009</v>
      </c>
    </row>
    <row r="4" spans="2:6" x14ac:dyDescent="0.25">
      <c r="B4" s="16" t="s">
        <v>1205</v>
      </c>
      <c r="C4" s="18">
        <v>4909.7800000000007</v>
      </c>
      <c r="D4" s="18">
        <v>27444.920000000002</v>
      </c>
      <c r="E4" s="18">
        <v>21117.18</v>
      </c>
      <c r="F4" s="18">
        <v>53471.880000000005</v>
      </c>
    </row>
    <row r="5" spans="2:6" x14ac:dyDescent="0.25">
      <c r="B5" s="16" t="s">
        <v>1204</v>
      </c>
      <c r="C5" s="18">
        <v>3258.07</v>
      </c>
      <c r="D5" s="18">
        <v>33951.42</v>
      </c>
      <c r="E5" s="18">
        <v>22665.489999999998</v>
      </c>
      <c r="F5" s="18">
        <v>59874.979999999996</v>
      </c>
    </row>
    <row r="6" spans="2:6" x14ac:dyDescent="0.25">
      <c r="B6" s="16" t="s">
        <v>1202</v>
      </c>
      <c r="C6" s="18">
        <v>24247.629999999994</v>
      </c>
      <c r="D6" s="18">
        <v>66313.440000000002</v>
      </c>
      <c r="E6" s="18">
        <v>72499.33</v>
      </c>
      <c r="F6" s="18">
        <v>163060.4</v>
      </c>
    </row>
    <row r="7" spans="2:6" x14ac:dyDescent="0.25">
      <c r="B7" s="16" t="s">
        <v>1201</v>
      </c>
      <c r="C7" s="18">
        <v>5907.58</v>
      </c>
      <c r="D7" s="18">
        <v>38810.469999999994</v>
      </c>
      <c r="E7" s="18">
        <v>39096.81</v>
      </c>
      <c r="F7" s="18">
        <v>83814.859999999986</v>
      </c>
    </row>
    <row r="8" spans="2:6" x14ac:dyDescent="0.25">
      <c r="B8" s="16" t="s">
        <v>1207</v>
      </c>
      <c r="C8" s="18"/>
      <c r="D8" s="18">
        <v>4227.72</v>
      </c>
      <c r="E8" s="18">
        <v>4020.18</v>
      </c>
      <c r="F8" s="18">
        <v>8247.9</v>
      </c>
    </row>
    <row r="9" spans="2:6" x14ac:dyDescent="0.25">
      <c r="B9" s="16" t="s">
        <v>1203</v>
      </c>
      <c r="C9" s="18">
        <v>16043.369999999999</v>
      </c>
      <c r="D9" s="18">
        <v>93356.239999999991</v>
      </c>
      <c r="E9" s="18">
        <v>90421.569999999992</v>
      </c>
      <c r="F9" s="18">
        <v>199821.18</v>
      </c>
    </row>
    <row r="10" spans="2:6" x14ac:dyDescent="0.25">
      <c r="B10" s="16" t="s">
        <v>1231</v>
      </c>
      <c r="C10" s="18">
        <v>66937.899999999994</v>
      </c>
      <c r="D10" s="18">
        <v>311752.62</v>
      </c>
      <c r="E10" s="18">
        <v>283732.19</v>
      </c>
      <c r="F10" s="18">
        <v>662422.71</v>
      </c>
    </row>
    <row r="31" spans="2:6" x14ac:dyDescent="0.25">
      <c r="B31" s="17" t="s">
        <v>1232</v>
      </c>
      <c r="C31" s="17" t="s">
        <v>1229</v>
      </c>
    </row>
    <row r="32" spans="2:6" x14ac:dyDescent="0.25">
      <c r="B32" s="27" t="s">
        <v>1228</v>
      </c>
      <c r="C32" s="28" t="s">
        <v>59</v>
      </c>
      <c r="D32" s="28" t="s">
        <v>10</v>
      </c>
      <c r="E32" s="28" t="s">
        <v>17</v>
      </c>
      <c r="F32" s="28" t="s">
        <v>1231</v>
      </c>
    </row>
    <row r="33" spans="2:6" x14ac:dyDescent="0.25">
      <c r="B33" s="16" t="s">
        <v>1206</v>
      </c>
      <c r="C33" s="18">
        <v>6774.5</v>
      </c>
      <c r="D33" s="18">
        <v>25880.5</v>
      </c>
      <c r="E33" s="18">
        <v>18006</v>
      </c>
      <c r="F33" s="18">
        <v>50661</v>
      </c>
    </row>
    <row r="34" spans="2:6" x14ac:dyDescent="0.25">
      <c r="B34" s="16" t="s">
        <v>1205</v>
      </c>
      <c r="C34" s="18">
        <v>2796.5</v>
      </c>
      <c r="D34" s="18">
        <v>14312.5</v>
      </c>
      <c r="E34" s="18">
        <v>11563.5</v>
      </c>
      <c r="F34" s="18">
        <v>28672.5</v>
      </c>
    </row>
    <row r="35" spans="2:6" x14ac:dyDescent="0.25">
      <c r="B35" s="16" t="s">
        <v>1204</v>
      </c>
      <c r="C35" s="18">
        <v>1795.5</v>
      </c>
      <c r="D35" s="18">
        <v>18040.5</v>
      </c>
      <c r="E35" s="18">
        <v>11924.5</v>
      </c>
      <c r="F35" s="18">
        <v>31760.5</v>
      </c>
    </row>
    <row r="36" spans="2:6" x14ac:dyDescent="0.25">
      <c r="B36" s="16" t="s">
        <v>1202</v>
      </c>
      <c r="C36" s="18">
        <v>12621.5</v>
      </c>
      <c r="D36" s="18">
        <v>35505</v>
      </c>
      <c r="E36" s="18">
        <v>38986</v>
      </c>
      <c r="F36" s="18">
        <v>87112.5</v>
      </c>
    </row>
    <row r="37" spans="2:6" x14ac:dyDescent="0.25">
      <c r="B37" s="16" t="s">
        <v>1201</v>
      </c>
      <c r="C37" s="18">
        <v>3222</v>
      </c>
      <c r="D37" s="18">
        <v>20786</v>
      </c>
      <c r="E37" s="18">
        <v>21317</v>
      </c>
      <c r="F37" s="18">
        <v>45325</v>
      </c>
    </row>
    <row r="38" spans="2:6" x14ac:dyDescent="0.25">
      <c r="B38" s="16" t="s">
        <v>1207</v>
      </c>
      <c r="C38" s="18"/>
      <c r="D38" s="18">
        <v>2333.5</v>
      </c>
      <c r="E38" s="18">
        <v>2155</v>
      </c>
      <c r="F38" s="18">
        <v>4488.5</v>
      </c>
    </row>
    <row r="39" spans="2:6" x14ac:dyDescent="0.25">
      <c r="B39" s="16" t="s">
        <v>1203</v>
      </c>
      <c r="C39" s="18">
        <v>8519</v>
      </c>
      <c r="D39" s="18">
        <v>50635.5</v>
      </c>
      <c r="E39" s="18">
        <v>49756</v>
      </c>
      <c r="F39" s="18">
        <v>108910.5</v>
      </c>
    </row>
    <row r="40" spans="2:6" x14ac:dyDescent="0.25">
      <c r="B40" s="16" t="s">
        <v>1231</v>
      </c>
      <c r="C40" s="18">
        <v>35729</v>
      </c>
      <c r="D40" s="18">
        <v>167493.5</v>
      </c>
      <c r="E40" s="18">
        <v>153708</v>
      </c>
      <c r="F40" s="18">
        <v>356930.5</v>
      </c>
    </row>
    <row r="61" spans="2:9" x14ac:dyDescent="0.25">
      <c r="B61" s="11" t="s">
        <v>1233</v>
      </c>
      <c r="C61" s="11" t="s">
        <v>1229</v>
      </c>
      <c r="D61"/>
      <c r="E61"/>
      <c r="F61"/>
      <c r="G61"/>
      <c r="H61"/>
      <c r="I61"/>
    </row>
    <row r="62" spans="2:9" x14ac:dyDescent="0.25">
      <c r="B62" s="32" t="s">
        <v>1228</v>
      </c>
      <c r="C62" s="33" t="s">
        <v>59</v>
      </c>
      <c r="D62" s="33" t="s">
        <v>10</v>
      </c>
      <c r="E62" s="33" t="s">
        <v>17</v>
      </c>
      <c r="F62" s="33" t="s">
        <v>1231</v>
      </c>
      <c r="G62"/>
      <c r="H62"/>
      <c r="I62"/>
    </row>
    <row r="63" spans="2:9" x14ac:dyDescent="0.25">
      <c r="B63" t="s">
        <v>1206</v>
      </c>
      <c r="C63" s="15">
        <v>5796.97</v>
      </c>
      <c r="D63" s="15">
        <v>21767.910000000003</v>
      </c>
      <c r="E63" s="15">
        <v>15905.63</v>
      </c>
      <c r="F63" s="15">
        <v>43470.51</v>
      </c>
      <c r="G63"/>
      <c r="H63"/>
      <c r="I63"/>
    </row>
    <row r="64" spans="2:9" x14ac:dyDescent="0.25">
      <c r="B64" t="s">
        <v>1205</v>
      </c>
      <c r="C64" s="15">
        <v>2113.2800000000002</v>
      </c>
      <c r="D64" s="15">
        <v>13132.419999999998</v>
      </c>
      <c r="E64" s="15">
        <v>9553.6800000000021</v>
      </c>
      <c r="F64" s="15">
        <v>24799.38</v>
      </c>
      <c r="G64"/>
      <c r="H64"/>
      <c r="I64"/>
    </row>
    <row r="65" spans="2:9" x14ac:dyDescent="0.25">
      <c r="B65" t="s">
        <v>1204</v>
      </c>
      <c r="C65" s="15">
        <v>1462.5700000000002</v>
      </c>
      <c r="D65" s="15">
        <v>15910.920000000002</v>
      </c>
      <c r="E65" s="15">
        <v>10740.990000000002</v>
      </c>
      <c r="F65" s="15">
        <v>28114.480000000003</v>
      </c>
      <c r="G65"/>
      <c r="H65"/>
      <c r="I65"/>
    </row>
    <row r="66" spans="2:9" x14ac:dyDescent="0.25">
      <c r="B66" t="s">
        <v>1202</v>
      </c>
      <c r="C66" s="15">
        <v>11626.13</v>
      </c>
      <c r="D66" s="15">
        <v>30808.440000000002</v>
      </c>
      <c r="E66" s="15">
        <v>33513.33</v>
      </c>
      <c r="F66" s="15">
        <v>75947.899999999994</v>
      </c>
      <c r="G66"/>
      <c r="H66"/>
      <c r="I66"/>
    </row>
    <row r="67" spans="2:9" x14ac:dyDescent="0.25">
      <c r="B67" t="s">
        <v>1201</v>
      </c>
      <c r="C67" s="15">
        <v>2685.58</v>
      </c>
      <c r="D67" s="15">
        <v>18024.47</v>
      </c>
      <c r="E67" s="15">
        <v>17779.810000000001</v>
      </c>
      <c r="F67" s="15">
        <v>38489.86</v>
      </c>
      <c r="G67"/>
      <c r="H67"/>
      <c r="I67"/>
    </row>
    <row r="68" spans="2:9" x14ac:dyDescent="0.25">
      <c r="B68" t="s">
        <v>1207</v>
      </c>
      <c r="C68" s="15"/>
      <c r="D68" s="15">
        <v>1894.2200000000003</v>
      </c>
      <c r="E68" s="15">
        <v>1865.1800000000003</v>
      </c>
      <c r="F68" s="15">
        <v>3759.4000000000005</v>
      </c>
      <c r="G68"/>
      <c r="H68"/>
      <c r="I68"/>
    </row>
    <row r="69" spans="2:9" x14ac:dyDescent="0.25">
      <c r="B69" t="s">
        <v>1203</v>
      </c>
      <c r="C69" s="15">
        <v>7524.37</v>
      </c>
      <c r="D69" s="15">
        <v>42720.74000000002</v>
      </c>
      <c r="E69" s="15">
        <v>40665.57</v>
      </c>
      <c r="F69" s="15">
        <v>90910.680000000022</v>
      </c>
      <c r="G69"/>
      <c r="H69"/>
      <c r="I69"/>
    </row>
    <row r="70" spans="2:9" x14ac:dyDescent="0.25">
      <c r="B70" t="s">
        <v>1231</v>
      </c>
      <c r="C70" s="15">
        <v>31208.899999999998</v>
      </c>
      <c r="D70" s="15">
        <v>144259.12000000002</v>
      </c>
      <c r="E70" s="15">
        <v>130024.19</v>
      </c>
      <c r="F70" s="15">
        <v>305492.21000000002</v>
      </c>
      <c r="G70"/>
      <c r="H70"/>
      <c r="I70"/>
    </row>
    <row r="71" spans="2:9" x14ac:dyDescent="0.25">
      <c r="B71"/>
      <c r="C71"/>
      <c r="D71"/>
      <c r="E71"/>
      <c r="F71"/>
      <c r="G71"/>
      <c r="H71"/>
      <c r="I71"/>
    </row>
    <row r="72" spans="2:9" x14ac:dyDescent="0.25">
      <c r="B72"/>
      <c r="C72"/>
      <c r="D72"/>
      <c r="E72"/>
      <c r="F72"/>
      <c r="G72"/>
    </row>
    <row r="73" spans="2:9" x14ac:dyDescent="0.25">
      <c r="B73"/>
      <c r="C73"/>
      <c r="D73"/>
      <c r="E73"/>
      <c r="F73"/>
      <c r="G73"/>
    </row>
    <row r="74" spans="2:9" x14ac:dyDescent="0.25">
      <c r="B74"/>
      <c r="C74"/>
      <c r="D74"/>
      <c r="E74"/>
      <c r="F74"/>
      <c r="G74"/>
    </row>
    <row r="75" spans="2:9" x14ac:dyDescent="0.25">
      <c r="B75"/>
      <c r="C75"/>
      <c r="D75"/>
      <c r="E75"/>
      <c r="F75"/>
      <c r="G75"/>
    </row>
    <row r="76" spans="2:9" x14ac:dyDescent="0.25">
      <c r="B76"/>
      <c r="C76"/>
      <c r="D76"/>
      <c r="E76"/>
      <c r="F76"/>
      <c r="G76"/>
    </row>
    <row r="77" spans="2:9" x14ac:dyDescent="0.25">
      <c r="B77"/>
      <c r="C77"/>
      <c r="D77"/>
      <c r="E77"/>
      <c r="F77"/>
      <c r="G77"/>
    </row>
    <row r="78" spans="2:9" x14ac:dyDescent="0.25">
      <c r="B78"/>
      <c r="C78"/>
      <c r="D78"/>
      <c r="E78"/>
      <c r="F78"/>
      <c r="G78"/>
    </row>
    <row r="79" spans="2:9" x14ac:dyDescent="0.25">
      <c r="B79"/>
      <c r="C79"/>
      <c r="D79"/>
      <c r="E79"/>
      <c r="F79"/>
      <c r="G79"/>
    </row>
    <row r="91" spans="2:9" x14ac:dyDescent="0.25">
      <c r="B91" s="11" t="s">
        <v>1234</v>
      </c>
      <c r="C91" s="11" t="s">
        <v>1229</v>
      </c>
      <c r="D91"/>
      <c r="E91"/>
      <c r="F91"/>
      <c r="G91"/>
      <c r="H91"/>
      <c r="I91"/>
    </row>
    <row r="92" spans="2:9" x14ac:dyDescent="0.25">
      <c r="B92" s="32" t="s">
        <v>1228</v>
      </c>
      <c r="C92" s="33" t="s">
        <v>59</v>
      </c>
      <c r="D92" s="33" t="s">
        <v>10</v>
      </c>
      <c r="E92" s="33" t="s">
        <v>17</v>
      </c>
      <c r="F92" s="33" t="s">
        <v>1231</v>
      </c>
      <c r="G92"/>
      <c r="H92"/>
      <c r="I92"/>
    </row>
    <row r="93" spans="2:9" x14ac:dyDescent="0.25">
      <c r="B93" t="s">
        <v>1206</v>
      </c>
      <c r="C93" s="19">
        <v>1588</v>
      </c>
      <c r="D93" s="19">
        <v>7212</v>
      </c>
      <c r="E93" s="19">
        <v>5864</v>
      </c>
      <c r="F93" s="19">
        <v>14664</v>
      </c>
      <c r="G93"/>
      <c r="H93"/>
      <c r="I93"/>
    </row>
    <row r="94" spans="2:9" x14ac:dyDescent="0.25">
      <c r="B94" t="s">
        <v>1205</v>
      </c>
      <c r="C94" s="19">
        <v>848</v>
      </c>
      <c r="D94" s="19">
        <v>5112</v>
      </c>
      <c r="E94" s="19">
        <v>3141</v>
      </c>
      <c r="F94" s="19">
        <v>9101</v>
      </c>
      <c r="G94"/>
      <c r="H94"/>
      <c r="I94"/>
    </row>
    <row r="95" spans="2:9" x14ac:dyDescent="0.25">
      <c r="B95" t="s">
        <v>1204</v>
      </c>
      <c r="C95" s="19">
        <v>740</v>
      </c>
      <c r="D95" s="19">
        <v>5913</v>
      </c>
      <c r="E95" s="19">
        <v>4328</v>
      </c>
      <c r="F95" s="19">
        <v>10981</v>
      </c>
      <c r="G95"/>
      <c r="H95"/>
      <c r="I95"/>
    </row>
    <row r="96" spans="2:9" x14ac:dyDescent="0.25">
      <c r="B96" t="s">
        <v>1202</v>
      </c>
      <c r="C96" s="19">
        <v>3588</v>
      </c>
      <c r="D96" s="19">
        <v>11805</v>
      </c>
      <c r="E96" s="19">
        <v>11536</v>
      </c>
      <c r="F96" s="19">
        <v>26929</v>
      </c>
      <c r="G96"/>
      <c r="H96"/>
      <c r="I96"/>
    </row>
    <row r="97" spans="2:9" x14ac:dyDescent="0.25">
      <c r="B97" t="s">
        <v>1201</v>
      </c>
      <c r="C97" s="19">
        <v>1014</v>
      </c>
      <c r="D97" s="19">
        <v>6707</v>
      </c>
      <c r="E97" s="19">
        <v>5968</v>
      </c>
      <c r="F97" s="19">
        <v>13689</v>
      </c>
      <c r="G97"/>
      <c r="H97"/>
      <c r="I97"/>
    </row>
    <row r="98" spans="2:9" x14ac:dyDescent="0.25">
      <c r="B98" t="s">
        <v>1207</v>
      </c>
      <c r="C98" s="19"/>
      <c r="D98" s="19">
        <v>573</v>
      </c>
      <c r="E98" s="19">
        <v>455</v>
      </c>
      <c r="F98" s="19">
        <v>1028</v>
      </c>
      <c r="G98"/>
      <c r="H98"/>
      <c r="I98"/>
    </row>
    <row r="99" spans="2:9" x14ac:dyDescent="0.25">
      <c r="B99" t="s">
        <v>1203</v>
      </c>
      <c r="C99" s="19">
        <v>2985</v>
      </c>
      <c r="D99" s="19">
        <v>15335</v>
      </c>
      <c r="E99" s="19">
        <v>13328</v>
      </c>
      <c r="F99" s="19">
        <v>31648</v>
      </c>
      <c r="G99"/>
      <c r="H99"/>
      <c r="I99"/>
    </row>
    <row r="100" spans="2:9" x14ac:dyDescent="0.25">
      <c r="B100" t="s">
        <v>1231</v>
      </c>
      <c r="C100" s="19">
        <v>10763</v>
      </c>
      <c r="D100" s="19">
        <v>52657</v>
      </c>
      <c r="E100" s="19">
        <v>44620</v>
      </c>
      <c r="F100" s="19">
        <v>108040</v>
      </c>
      <c r="G100"/>
      <c r="H100"/>
      <c r="I100"/>
    </row>
    <row r="101" spans="2:9" x14ac:dyDescent="0.25">
      <c r="B101"/>
      <c r="C101"/>
      <c r="D101"/>
      <c r="E101"/>
      <c r="F101"/>
      <c r="G101"/>
      <c r="H101"/>
      <c r="I101"/>
    </row>
    <row r="102" spans="2:9" x14ac:dyDescent="0.25">
      <c r="B102"/>
      <c r="C102"/>
      <c r="D102"/>
      <c r="E102"/>
      <c r="F102"/>
      <c r="G102"/>
    </row>
    <row r="103" spans="2:9" x14ac:dyDescent="0.25">
      <c r="B103"/>
      <c r="C103"/>
      <c r="D103"/>
      <c r="E103"/>
      <c r="F103"/>
      <c r="G103"/>
    </row>
    <row r="104" spans="2:9" x14ac:dyDescent="0.25">
      <c r="B104"/>
      <c r="C104"/>
      <c r="D104"/>
      <c r="E104"/>
      <c r="F104"/>
      <c r="G104"/>
    </row>
    <row r="105" spans="2:9" x14ac:dyDescent="0.25">
      <c r="B105"/>
      <c r="C105"/>
      <c r="D105"/>
      <c r="E105"/>
      <c r="F105"/>
      <c r="G105"/>
    </row>
    <row r="106" spans="2:9" x14ac:dyDescent="0.25">
      <c r="B106"/>
      <c r="C106"/>
      <c r="D106"/>
      <c r="E106"/>
      <c r="F106"/>
      <c r="G106"/>
    </row>
    <row r="107" spans="2:9" x14ac:dyDescent="0.25">
      <c r="B107"/>
      <c r="C107"/>
      <c r="D107"/>
      <c r="E107"/>
      <c r="F107"/>
      <c r="G107"/>
    </row>
    <row r="108" spans="2:9" x14ac:dyDescent="0.25">
      <c r="B108"/>
      <c r="C108"/>
      <c r="D108"/>
      <c r="E108"/>
      <c r="F108"/>
      <c r="G108"/>
    </row>
    <row r="109" spans="2:9" x14ac:dyDescent="0.25">
      <c r="B109"/>
      <c r="C109"/>
      <c r="D109"/>
      <c r="E109"/>
      <c r="F109"/>
      <c r="G109"/>
    </row>
  </sheetData>
  <pageMargins left="0.7" right="0.7" top="0.75" bottom="0.75" header="0.3" footer="0.3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C88A0-DB50-4788-8D74-B7B22F4C4059}">
  <dimension ref="A1:I33"/>
  <sheetViews>
    <sheetView workbookViewId="0">
      <selection activeCell="K21" sqref="K21"/>
    </sheetView>
  </sheetViews>
  <sheetFormatPr baseColWidth="10" defaultColWidth="8.88671875" defaultRowHeight="13.2" x14ac:dyDescent="0.25"/>
  <cols>
    <col min="1" max="1" width="30" bestFit="1" customWidth="1"/>
    <col min="2" max="2" width="16.88671875" bestFit="1" customWidth="1"/>
    <col min="3" max="3" width="21.109375" bestFit="1" customWidth="1"/>
    <col min="4" max="4" width="19" bestFit="1" customWidth="1"/>
    <col min="5" max="5" width="25.5546875" customWidth="1"/>
    <col min="8" max="8" width="9.109375" bestFit="1" customWidth="1"/>
    <col min="9" max="9" width="12.33203125" customWidth="1"/>
  </cols>
  <sheetData>
    <row r="1" spans="1:9" x14ac:dyDescent="0.25">
      <c r="A1" s="11" t="s">
        <v>1226</v>
      </c>
      <c r="B1" s="20">
        <v>2015</v>
      </c>
    </row>
    <row r="3" spans="1:9" x14ac:dyDescent="0.25">
      <c r="A3" s="11" t="s">
        <v>1228</v>
      </c>
      <c r="B3" t="s">
        <v>1236</v>
      </c>
      <c r="C3" t="s">
        <v>1237</v>
      </c>
      <c r="D3" t="s">
        <v>1238</v>
      </c>
      <c r="E3" t="s">
        <v>1239</v>
      </c>
      <c r="F3" s="14" t="s">
        <v>1251</v>
      </c>
      <c r="G3" s="13" t="s">
        <v>1245</v>
      </c>
      <c r="H3" s="13" t="s">
        <v>1246</v>
      </c>
      <c r="I3" s="13" t="s">
        <v>1247</v>
      </c>
    </row>
    <row r="4" spans="1:9" x14ac:dyDescent="0.25">
      <c r="A4" t="s">
        <v>1206</v>
      </c>
      <c r="B4" s="19">
        <v>6643</v>
      </c>
      <c r="C4" s="19">
        <v>19625</v>
      </c>
      <c r="D4" s="19">
        <v>37033.449999999997</v>
      </c>
      <c r="E4" s="19">
        <v>17408.45</v>
      </c>
      <c r="F4" s="12">
        <f>Inventarios!B3</f>
        <v>10972</v>
      </c>
      <c r="G4" s="21">
        <f>C4/F4</f>
        <v>1.788643820634342</v>
      </c>
      <c r="H4" s="21">
        <f>(D4-C4)/C4</f>
        <v>0.88705477707006353</v>
      </c>
      <c r="I4" s="21">
        <f>H4*G4</f>
        <v>1.5866250455705428</v>
      </c>
    </row>
    <row r="5" spans="1:9" x14ac:dyDescent="0.25">
      <c r="A5" t="s">
        <v>1205</v>
      </c>
      <c r="B5" s="19">
        <v>3144</v>
      </c>
      <c r="C5" s="19">
        <v>9022</v>
      </c>
      <c r="D5" s="19">
        <v>17018.580000000002</v>
      </c>
      <c r="E5" s="19">
        <v>7996.58</v>
      </c>
      <c r="F5" s="12">
        <f>Inventarios!B4</f>
        <v>4047</v>
      </c>
      <c r="G5" s="21">
        <f t="shared" ref="G5:G10" si="0">C5/F5</f>
        <v>2.2293056585124784</v>
      </c>
      <c r="H5" s="21">
        <f t="shared" ref="H5:H10" si="1">(D5-C5)/C5</f>
        <v>0.88634227444025737</v>
      </c>
      <c r="I5" s="21">
        <f t="shared" ref="I5:I10" si="2">H5*G5</f>
        <v>1.9759278477884858</v>
      </c>
    </row>
    <row r="6" spans="1:9" x14ac:dyDescent="0.25">
      <c r="A6" t="s">
        <v>1204</v>
      </c>
      <c r="B6" s="19">
        <v>3910</v>
      </c>
      <c r="C6" s="19">
        <v>11037.5</v>
      </c>
      <c r="D6" s="19">
        <v>21013.329999999998</v>
      </c>
      <c r="E6" s="19">
        <v>9975.8299999999981</v>
      </c>
      <c r="F6" s="12">
        <f>Inventarios!B5</f>
        <v>7690</v>
      </c>
      <c r="G6" s="21">
        <f t="shared" si="0"/>
        <v>1.4353055916775033</v>
      </c>
      <c r="H6" s="21">
        <f t="shared" si="1"/>
        <v>0.9038124575311437</v>
      </c>
      <c r="I6" s="21">
        <f t="shared" si="2"/>
        <v>1.2972470741222366</v>
      </c>
    </row>
    <row r="7" spans="1:9" x14ac:dyDescent="0.25">
      <c r="A7" t="s">
        <v>1202</v>
      </c>
      <c r="B7" s="19">
        <v>10432</v>
      </c>
      <c r="C7" s="19">
        <v>30254</v>
      </c>
      <c r="D7" s="19">
        <v>56872.479999999996</v>
      </c>
      <c r="E7" s="19">
        <v>26618.48</v>
      </c>
      <c r="F7" s="12">
        <f>Inventarios!B6</f>
        <v>12372</v>
      </c>
      <c r="G7" s="21">
        <f t="shared" si="0"/>
        <v>2.4453604914322664</v>
      </c>
      <c r="H7" s="21">
        <f t="shared" si="1"/>
        <v>0.87983341045812113</v>
      </c>
      <c r="I7" s="21">
        <f t="shared" si="2"/>
        <v>2.1515098609763981</v>
      </c>
    </row>
    <row r="8" spans="1:9" x14ac:dyDescent="0.25">
      <c r="A8" t="s">
        <v>1201</v>
      </c>
      <c r="B8" s="19">
        <v>6182</v>
      </c>
      <c r="C8" s="19">
        <v>19765.5</v>
      </c>
      <c r="D8" s="19">
        <v>36690.79</v>
      </c>
      <c r="E8" s="19">
        <v>16925.29</v>
      </c>
      <c r="F8" s="12">
        <f>Inventarios!B7</f>
        <v>11415</v>
      </c>
      <c r="G8" s="21">
        <f t="shared" si="0"/>
        <v>1.7315374507227332</v>
      </c>
      <c r="H8" s="21">
        <f t="shared" si="1"/>
        <v>0.8563046722825125</v>
      </c>
      <c r="I8" s="21">
        <f t="shared" si="2"/>
        <v>1.4827236092860272</v>
      </c>
    </row>
    <row r="9" spans="1:9" x14ac:dyDescent="0.25">
      <c r="A9" t="s">
        <v>1207</v>
      </c>
      <c r="B9" s="19">
        <v>209</v>
      </c>
      <c r="C9" s="19">
        <v>476.5</v>
      </c>
      <c r="D9" s="19">
        <v>947.97</v>
      </c>
      <c r="E9" s="19">
        <v>471.47</v>
      </c>
      <c r="F9" s="12">
        <f>Inventarios!B8</f>
        <v>285</v>
      </c>
      <c r="G9" s="21">
        <f t="shared" si="0"/>
        <v>1.6719298245614036</v>
      </c>
      <c r="H9" s="21">
        <f t="shared" si="1"/>
        <v>0.9894438614900315</v>
      </c>
      <c r="I9" s="21">
        <f t="shared" si="2"/>
        <v>1.6542807017543861</v>
      </c>
    </row>
    <row r="10" spans="1:9" x14ac:dyDescent="0.25">
      <c r="A10" t="s">
        <v>1203</v>
      </c>
      <c r="B10" s="19">
        <v>11849</v>
      </c>
      <c r="C10" s="19">
        <v>43322</v>
      </c>
      <c r="D10" s="19">
        <v>78578.840000000011</v>
      </c>
      <c r="E10" s="19">
        <v>35256.839999999997</v>
      </c>
      <c r="F10" s="12">
        <f>Inventarios!B9</f>
        <v>26618</v>
      </c>
      <c r="G10" s="21">
        <f t="shared" si="0"/>
        <v>1.6275452701179653</v>
      </c>
      <c r="H10" s="21">
        <f t="shared" si="1"/>
        <v>0.81383223304556607</v>
      </c>
      <c r="I10" s="21">
        <f t="shared" si="2"/>
        <v>1.3245488015628528</v>
      </c>
    </row>
    <row r="11" spans="1:9" x14ac:dyDescent="0.25">
      <c r="A11" t="s">
        <v>1231</v>
      </c>
      <c r="B11" s="19">
        <v>42369</v>
      </c>
      <c r="C11" s="19">
        <v>133502.5</v>
      </c>
      <c r="D11" s="19">
        <v>248155.44</v>
      </c>
      <c r="E11" s="19">
        <v>114652.94</v>
      </c>
      <c r="F11" s="13">
        <f>SUM(F4:F10)</f>
        <v>73399</v>
      </c>
      <c r="G11" s="13">
        <f>AVERAGE(G4:G10)</f>
        <v>1.8470897296655273</v>
      </c>
      <c r="H11" s="13">
        <f t="shared" ref="H11:I11" si="3">AVERAGE(H4:H10)</f>
        <v>0.88808909804538516</v>
      </c>
      <c r="I11" s="13">
        <f t="shared" si="3"/>
        <v>1.6389804201515616</v>
      </c>
    </row>
    <row r="14" spans="1:9" x14ac:dyDescent="0.25">
      <c r="C14" s="23" t="s">
        <v>1248</v>
      </c>
      <c r="D14" s="23" t="s">
        <v>1249</v>
      </c>
      <c r="E14" s="23" t="s">
        <v>1250</v>
      </c>
    </row>
    <row r="15" spans="1:9" x14ac:dyDescent="0.25">
      <c r="C15" s="24">
        <f>E11/F11</f>
        <v>1.5620504366544503</v>
      </c>
      <c r="D15" s="25">
        <f>IFERROR(E11/$E$15,0)</f>
        <v>3.9999993842223063</v>
      </c>
      <c r="E15" s="25">
        <v>28663.239412545867</v>
      </c>
    </row>
    <row r="18" spans="1:9" x14ac:dyDescent="0.25">
      <c r="A18" s="11" t="s">
        <v>1226</v>
      </c>
      <c r="B18" s="20">
        <v>2016</v>
      </c>
    </row>
    <row r="20" spans="1:9" x14ac:dyDescent="0.25">
      <c r="A20" s="11" t="s">
        <v>1228</v>
      </c>
      <c r="B20" t="s">
        <v>1237</v>
      </c>
      <c r="C20" t="s">
        <v>1236</v>
      </c>
      <c r="D20" t="s">
        <v>1238</v>
      </c>
      <c r="E20" t="s">
        <v>1239</v>
      </c>
      <c r="F20" s="22" t="s">
        <v>1251</v>
      </c>
      <c r="G20" s="13" t="s">
        <v>1245</v>
      </c>
      <c r="H20" s="13" t="s">
        <v>1246</v>
      </c>
      <c r="I20" s="13" t="s">
        <v>1247</v>
      </c>
    </row>
    <row r="21" spans="1:9" x14ac:dyDescent="0.25">
      <c r="A21" t="s">
        <v>1206</v>
      </c>
      <c r="B21" s="19">
        <v>31036</v>
      </c>
      <c r="C21" s="19">
        <v>8021</v>
      </c>
      <c r="D21" s="19">
        <v>57098.05999999999</v>
      </c>
      <c r="E21" s="19">
        <v>26062.06</v>
      </c>
      <c r="F21" s="12">
        <f>Inventarios!C3</f>
        <v>18721</v>
      </c>
      <c r="G21" s="21">
        <f>B21/F21</f>
        <v>1.6578174242828909</v>
      </c>
      <c r="H21" s="21">
        <f>(D21-B21)/B21</f>
        <v>0.83973643510761664</v>
      </c>
      <c r="I21" s="21">
        <f>H21*G21</f>
        <v>1.3921296939266059</v>
      </c>
    </row>
    <row r="22" spans="1:9" x14ac:dyDescent="0.25">
      <c r="A22" t="s">
        <v>1205</v>
      </c>
      <c r="B22" s="19">
        <v>19650.5</v>
      </c>
      <c r="C22" s="19">
        <v>5957</v>
      </c>
      <c r="D22" s="19">
        <v>36453.299999999996</v>
      </c>
      <c r="E22" s="19">
        <v>16802.800000000007</v>
      </c>
      <c r="F22" s="12">
        <f>Inventarios!C4</f>
        <v>9654</v>
      </c>
      <c r="G22" s="21">
        <f t="shared" ref="G22:G27" si="4">B22/F22</f>
        <v>2.0354775222705612</v>
      </c>
      <c r="H22" s="21">
        <f t="shared" ref="H22:H27" si="5">(D22-B22)/B22</f>
        <v>0.85508256787359083</v>
      </c>
      <c r="I22" s="21">
        <f t="shared" ref="I22:I27" si="6">H22*G22</f>
        <v>1.7405013465920856</v>
      </c>
    </row>
    <row r="23" spans="1:9" x14ac:dyDescent="0.25">
      <c r="A23" t="s">
        <v>1204</v>
      </c>
      <c r="B23" s="19">
        <v>20723</v>
      </c>
      <c r="C23" s="19">
        <v>7071</v>
      </c>
      <c r="D23" s="19">
        <v>38861.649999999994</v>
      </c>
      <c r="E23" s="19">
        <v>18138.650000000001</v>
      </c>
      <c r="F23" s="12">
        <f>Inventarios!C5</f>
        <v>14672</v>
      </c>
      <c r="G23" s="21">
        <f t="shared" si="4"/>
        <v>1.412418211559433</v>
      </c>
      <c r="H23" s="21">
        <f t="shared" si="5"/>
        <v>0.87529073975775684</v>
      </c>
      <c r="I23" s="21">
        <f t="shared" si="6"/>
        <v>1.236276581243184</v>
      </c>
    </row>
    <row r="24" spans="1:9" x14ac:dyDescent="0.25">
      <c r="A24" t="s">
        <v>1202</v>
      </c>
      <c r="B24" s="19">
        <v>56858.5</v>
      </c>
      <c r="C24" s="19">
        <v>16497</v>
      </c>
      <c r="D24" s="19">
        <v>106187.91999999998</v>
      </c>
      <c r="E24" s="19">
        <v>49329.42</v>
      </c>
      <c r="F24" s="12">
        <f>Inventarios!C6</f>
        <v>22716</v>
      </c>
      <c r="G24" s="21">
        <f t="shared" si="4"/>
        <v>2.5030154956858603</v>
      </c>
      <c r="H24" s="21">
        <f t="shared" si="5"/>
        <v>0.86758215570231334</v>
      </c>
      <c r="I24" s="21">
        <f t="shared" si="6"/>
        <v>2.1715715795034329</v>
      </c>
    </row>
    <row r="25" spans="1:9" x14ac:dyDescent="0.25">
      <c r="A25" t="s">
        <v>1201</v>
      </c>
      <c r="B25" s="19">
        <v>25559.5</v>
      </c>
      <c r="C25" s="19">
        <v>7507</v>
      </c>
      <c r="D25" s="19">
        <v>47124.07</v>
      </c>
      <c r="E25" s="19">
        <v>21564.57</v>
      </c>
      <c r="F25" s="12">
        <f>Inventarios!C7</f>
        <v>15102</v>
      </c>
      <c r="G25" s="21">
        <f t="shared" si="4"/>
        <v>1.6924579525890611</v>
      </c>
      <c r="H25" s="21">
        <f t="shared" si="5"/>
        <v>0.84370077661926091</v>
      </c>
      <c r="I25" s="21">
        <f t="shared" si="6"/>
        <v>1.4279280889948351</v>
      </c>
    </row>
    <row r="26" spans="1:9" x14ac:dyDescent="0.25">
      <c r="A26" t="s">
        <v>1207</v>
      </c>
      <c r="B26" s="19">
        <v>4012</v>
      </c>
      <c r="C26" s="19">
        <v>819</v>
      </c>
      <c r="D26" s="19">
        <v>7299.9299999999994</v>
      </c>
      <c r="E26" s="19">
        <v>3287.9299999999994</v>
      </c>
      <c r="F26" s="12">
        <f>Inventarios!C8</f>
        <v>1429</v>
      </c>
      <c r="G26" s="21">
        <f t="shared" si="4"/>
        <v>2.8075577326801961</v>
      </c>
      <c r="H26" s="21">
        <f t="shared" si="5"/>
        <v>0.8195239282153538</v>
      </c>
      <c r="I26" s="21">
        <f t="shared" si="6"/>
        <v>2.3008607417774667</v>
      </c>
    </row>
    <row r="27" spans="1:9" x14ac:dyDescent="0.25">
      <c r="A27" t="s">
        <v>1203</v>
      </c>
      <c r="B27" s="19">
        <v>65588.5</v>
      </c>
      <c r="C27" s="19">
        <v>19799</v>
      </c>
      <c r="D27" s="19">
        <v>121242.33999999997</v>
      </c>
      <c r="E27" s="19">
        <v>55653.840000000004</v>
      </c>
      <c r="F27" s="12">
        <f>Inventarios!C9</f>
        <v>39447</v>
      </c>
      <c r="G27" s="21">
        <f t="shared" si="4"/>
        <v>1.6626993180723502</v>
      </c>
      <c r="H27" s="21">
        <f t="shared" si="5"/>
        <v>0.84853045884568135</v>
      </c>
      <c r="I27" s="21">
        <f t="shared" si="6"/>
        <v>1.4108510152863327</v>
      </c>
    </row>
    <row r="28" spans="1:9" x14ac:dyDescent="0.25">
      <c r="A28" t="s">
        <v>1231</v>
      </c>
      <c r="B28" s="19">
        <v>223428</v>
      </c>
      <c r="C28" s="19">
        <v>65671</v>
      </c>
      <c r="D28" s="19">
        <v>414267.2699999999</v>
      </c>
      <c r="E28" s="19">
        <v>190839.27</v>
      </c>
      <c r="F28" s="13">
        <f>SUM(F21:F27)</f>
        <v>121741</v>
      </c>
      <c r="G28" s="13">
        <f>AVERAGE(G21:G27)</f>
        <v>1.9673490938771934</v>
      </c>
      <c r="H28" s="13">
        <f t="shared" ref="H28:I28" si="7">AVERAGE(H21:H27)</f>
        <v>0.8499210088745105</v>
      </c>
      <c r="I28" s="13">
        <f t="shared" si="7"/>
        <v>1.668588435331992</v>
      </c>
    </row>
    <row r="32" spans="1:9" x14ac:dyDescent="0.25">
      <c r="C32" s="23" t="s">
        <v>1248</v>
      </c>
      <c r="D32" s="23" t="s">
        <v>1249</v>
      </c>
      <c r="E32" s="23" t="s">
        <v>1250</v>
      </c>
    </row>
    <row r="33" spans="3:5" x14ac:dyDescent="0.25">
      <c r="C33" s="24">
        <f>E28/F28</f>
        <v>1.5675842156709736</v>
      </c>
      <c r="D33" s="25">
        <f>IFERROR(E28/E33,0)</f>
        <v>3.9999999963375266</v>
      </c>
      <c r="E33" s="25">
        <v>47709.817543683981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Ventas</vt:lpstr>
      <vt:lpstr>Productos</vt:lpstr>
      <vt:lpstr>Países</vt:lpstr>
      <vt:lpstr>Clientes</vt:lpstr>
      <vt:lpstr>Inventarios</vt:lpstr>
      <vt:lpstr>Estimaciones</vt:lpstr>
      <vt:lpstr>Calculos</vt:lpstr>
      <vt:lpstr>TablaCompleta</vt:lpstr>
      <vt:lpstr>Escenarios</vt:lpstr>
      <vt:lpstr>Gráficos</vt:lpstr>
      <vt:lpstr>Rentabilidad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Ángel Ortiz de Lejarazu Sánchez</cp:lastModifiedBy>
  <cp:revision/>
  <dcterms:created xsi:type="dcterms:W3CDTF">2025-09-28T18:01:33Z</dcterms:created>
  <dcterms:modified xsi:type="dcterms:W3CDTF">2025-10-03T14:01:07Z</dcterms:modified>
  <cp:category/>
  <cp:contentStatus/>
</cp:coreProperties>
</file>