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at\OneDrive\Escritorio\RUBENCA\GITHUB\ubu-gestion-de-la-informacion\"/>
    </mc:Choice>
  </mc:AlternateContent>
  <xr:revisionPtr revIDLastSave="0" documentId="13_ncr:1_{F4BEEDDE-41FE-4535-BFF0-4F669C7C6692}" xr6:coauthVersionLast="47" xr6:coauthVersionMax="47" xr10:uidLastSave="{00000000-0000-0000-0000-000000000000}"/>
  <bookViews>
    <workbookView xWindow="-108" yWindow="-108" windowWidth="23256" windowHeight="12456" xr2:uid="{CD0F5B55-CCFA-4C90-A4DB-A5E0E7CEC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P25" i="1"/>
  <c r="P19" i="1"/>
  <c r="P17" i="1"/>
  <c r="P27" i="1"/>
  <c r="P23" i="1"/>
  <c r="P21" i="1" s="1"/>
  <c r="P11" i="1"/>
  <c r="P13" i="1"/>
  <c r="P15" i="1"/>
  <c r="P9" i="1"/>
  <c r="P7" i="1" s="1"/>
</calcChain>
</file>

<file path=xl/sharedStrings.xml><?xml version="1.0" encoding="utf-8"?>
<sst xmlns="http://schemas.openxmlformats.org/spreadsheetml/2006/main" count="26" uniqueCount="25">
  <si>
    <t>PROCEDIMIENTO</t>
  </si>
  <si>
    <t>PORCENTAJE</t>
  </si>
  <si>
    <t>NOTA SUB-PROCEDIMIENTO</t>
  </si>
  <si>
    <t>NOTA</t>
  </si>
  <si>
    <t>COMENTARIO</t>
  </si>
  <si>
    <t>SUB-PROCEDIMIENTO</t>
  </si>
  <si>
    <t>Resultado sin redondear</t>
  </si>
  <si>
    <t>Resultado final (Redondeado, el cual esta en las actas de notas)</t>
  </si>
  <si>
    <t>Trabajos prácticos</t>
  </si>
  <si>
    <t>Práctica 1. Análisis coste-beneficio de la adquisición de ordenadores para la UBU</t>
  </si>
  <si>
    <t>Práctica correcta. Enhorabuena</t>
  </si>
  <si>
    <t>Práctica 2. Análisis de escenarios y búsqueda de objetivos con Excel</t>
  </si>
  <si>
    <t>Muy buen trabajo, enhorabuena</t>
  </si>
  <si>
    <t>Práctica 3. Google Looker</t>
  </si>
  <si>
    <t>Práctica 4. Gestor de una cartera de bolsa</t>
  </si>
  <si>
    <t>Muy buen trabajo Ángel y Rubén, sin embargo yo creo que habéis trabajado excesivamente. Es más fácil hacer todos los cálculos y gráficos sobre un único ticker y cambiar el ticker nada más para actualizar la información. En todo caso, enhorabuena</t>
  </si>
  <si>
    <t>Práctica 5. Filtro colaborativo basado en modelos</t>
  </si>
  <si>
    <t>Muy bien. Solo un comentario, las recomendaciones para nuevos usuarios se hacen sobre una muestra aleatoria, mejor sobre todas las películas para obtener las mejores.</t>
  </si>
  <si>
    <t>Práctica 6. Filtro colaborativo basado en memoria (usuarios/productos)</t>
  </si>
  <si>
    <t>Muy bien</t>
  </si>
  <si>
    <t>Proyecto final</t>
  </si>
  <si>
    <t>Agentic Workflow (LangGraph)</t>
  </si>
  <si>
    <t>Bastante bien, un sencillo workflow con RAG. Comentarios: (1) hay algunas inconsistencias en las variables de estado, threshold_desc, threshold_symp no se usan, y las variables service_description_desc, service_description_symp que devuelve el nodo retriever no están declaradas en el estado del agente; (2) el validador solo de la clasificación del LLM, sin usar de verdad los threshold de similitud; (3) el trabajo mejoraría con una pequeña discusión sobre limitaciones y posibles mejoras.</t>
  </si>
  <si>
    <t>Examen final</t>
  </si>
  <si>
    <t>NOTAS DE LA ASIGNATURA GESTIÓN DE LA INFORMACIÓN DEL ALUMNO RUBÉN CASTAÑEDA MATUTE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</si>
</sst>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2" fontId="0" fillId="0" borderId="27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9" fontId="0" fillId="0" borderId="2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164" fontId="0" fillId="3" borderId="27" xfId="0" applyNumberFormat="1" applyFill="1" applyBorder="1" applyAlignment="1">
      <alignment horizontal="center" vertical="center" wrapText="1"/>
    </xf>
    <xf numFmtId="164" fontId="0" fillId="3" borderId="30" xfId="0" applyNumberFormat="1" applyFill="1" applyBorder="1" applyAlignment="1">
      <alignment horizontal="center" vertical="center" wrapText="1"/>
    </xf>
    <xf numFmtId="164" fontId="0" fillId="3" borderId="32" xfId="0" applyNumberFormat="1" applyFill="1" applyBorder="1" applyAlignment="1">
      <alignment horizontal="center" vertical="center" wrapText="1"/>
    </xf>
    <xf numFmtId="164" fontId="0" fillId="3" borderId="35" xfId="0" applyNumberForma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9" fontId="0" fillId="2" borderId="27" xfId="0" applyNumberFormat="1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 vertical="center" wrapText="1"/>
    </xf>
    <xf numFmtId="2" fontId="0" fillId="2" borderId="30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0" fillId="2" borderId="28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EC35-A1D1-4A5F-891D-33F673A698C3}">
  <dimension ref="B1:Q33"/>
  <sheetViews>
    <sheetView tabSelected="1" topLeftCell="A19" zoomScale="85" zoomScaleNormal="85" workbookViewId="0">
      <selection activeCell="I33" sqref="I33"/>
    </sheetView>
  </sheetViews>
  <sheetFormatPr baseColWidth="10" defaultRowHeight="14.4" x14ac:dyDescent="0.3"/>
  <cols>
    <col min="15" max="15" width="58.5546875" customWidth="1"/>
  </cols>
  <sheetData>
    <row r="1" spans="2:17" ht="15" thickBot="1" x14ac:dyDescent="0.35"/>
    <row r="2" spans="2:17" ht="15" customHeight="1" thickTop="1" x14ac:dyDescent="0.3">
      <c r="B2" s="44" t="s">
        <v>24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2:17" x14ac:dyDescent="0.3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2:17" ht="15" thickBot="1" x14ac:dyDescent="0.35"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</row>
    <row r="5" spans="2:17" ht="15" customHeight="1" thickTop="1" x14ac:dyDescent="0.3">
      <c r="B5" s="53" t="s">
        <v>0</v>
      </c>
      <c r="C5" s="54"/>
      <c r="D5" s="54"/>
      <c r="E5" s="54" t="s">
        <v>5</v>
      </c>
      <c r="F5" s="54"/>
      <c r="G5" s="54"/>
      <c r="H5" s="54"/>
      <c r="I5" s="54" t="s">
        <v>1</v>
      </c>
      <c r="J5" s="54"/>
      <c r="K5" s="60" t="s">
        <v>2</v>
      </c>
      <c r="L5" s="61"/>
      <c r="M5" s="64" t="s">
        <v>4</v>
      </c>
      <c r="N5" s="65"/>
      <c r="O5" s="66"/>
      <c r="P5" s="54" t="s">
        <v>3</v>
      </c>
      <c r="Q5" s="58"/>
    </row>
    <row r="6" spans="2:17" x14ac:dyDescent="0.3">
      <c r="B6" s="55"/>
      <c r="C6" s="56"/>
      <c r="D6" s="56"/>
      <c r="E6" s="56"/>
      <c r="F6" s="56"/>
      <c r="G6" s="56"/>
      <c r="H6" s="56"/>
      <c r="I6" s="56"/>
      <c r="J6" s="56"/>
      <c r="K6" s="62"/>
      <c r="L6" s="63"/>
      <c r="M6" s="15"/>
      <c r="N6" s="10"/>
      <c r="O6" s="11"/>
      <c r="P6" s="56"/>
      <c r="Q6" s="59"/>
    </row>
    <row r="7" spans="2:17" ht="14.4" customHeight="1" x14ac:dyDescent="0.3">
      <c r="B7" s="39" t="s">
        <v>8</v>
      </c>
      <c r="C7" s="40"/>
      <c r="D7" s="40"/>
      <c r="E7" s="33"/>
      <c r="F7" s="34"/>
      <c r="G7" s="34"/>
      <c r="H7" s="35"/>
      <c r="I7" s="57">
        <v>0.4</v>
      </c>
      <c r="J7" s="35"/>
      <c r="K7" s="33"/>
      <c r="L7" s="34"/>
      <c r="M7" s="34"/>
      <c r="N7" s="34"/>
      <c r="O7" s="35"/>
      <c r="P7" s="42">
        <f>(P9+P11+P13+P15+P17+P19)*I7</f>
        <v>3.8280000000000003</v>
      </c>
      <c r="Q7" s="43"/>
    </row>
    <row r="8" spans="2:17" x14ac:dyDescent="0.3">
      <c r="B8" s="39"/>
      <c r="C8" s="40"/>
      <c r="D8" s="40"/>
      <c r="E8" s="36"/>
      <c r="F8" s="37"/>
      <c r="G8" s="37"/>
      <c r="H8" s="38"/>
      <c r="I8" s="36"/>
      <c r="J8" s="38"/>
      <c r="K8" s="36"/>
      <c r="L8" s="37"/>
      <c r="M8" s="37"/>
      <c r="N8" s="37"/>
      <c r="O8" s="38"/>
      <c r="P8" s="42"/>
      <c r="Q8" s="43"/>
    </row>
    <row r="9" spans="2:17" x14ac:dyDescent="0.3">
      <c r="B9" s="3"/>
      <c r="C9" s="4"/>
      <c r="D9" s="5"/>
      <c r="E9" s="12" t="s">
        <v>9</v>
      </c>
      <c r="F9" s="12"/>
      <c r="G9" s="12"/>
      <c r="H9" s="12"/>
      <c r="I9" s="13">
        <v>0.1</v>
      </c>
      <c r="J9" s="12"/>
      <c r="K9" s="14">
        <v>9</v>
      </c>
      <c r="L9" s="5"/>
      <c r="M9" s="14" t="s">
        <v>10</v>
      </c>
      <c r="N9" s="4"/>
      <c r="O9" s="5"/>
      <c r="P9" s="1">
        <f>I9*K9</f>
        <v>0.9</v>
      </c>
      <c r="Q9" s="2"/>
    </row>
    <row r="10" spans="2:17" x14ac:dyDescent="0.3">
      <c r="B10" s="6"/>
      <c r="C10" s="7"/>
      <c r="D10" s="8"/>
      <c r="E10" s="12"/>
      <c r="F10" s="12"/>
      <c r="G10" s="12"/>
      <c r="H10" s="12"/>
      <c r="I10" s="12"/>
      <c r="J10" s="12"/>
      <c r="K10" s="15"/>
      <c r="L10" s="11"/>
      <c r="M10" s="15"/>
      <c r="N10" s="10"/>
      <c r="O10" s="11"/>
      <c r="P10" s="1"/>
      <c r="Q10" s="2"/>
    </row>
    <row r="11" spans="2:17" x14ac:dyDescent="0.3">
      <c r="B11" s="6"/>
      <c r="C11" s="7"/>
      <c r="D11" s="8"/>
      <c r="E11" s="12" t="s">
        <v>11</v>
      </c>
      <c r="F11" s="12"/>
      <c r="G11" s="12"/>
      <c r="H11" s="12"/>
      <c r="I11" s="13">
        <v>0.1</v>
      </c>
      <c r="J11" s="12"/>
      <c r="K11" s="14">
        <v>9.5</v>
      </c>
      <c r="L11" s="5"/>
      <c r="M11" s="14" t="s">
        <v>12</v>
      </c>
      <c r="N11" s="4"/>
      <c r="O11" s="5"/>
      <c r="P11" s="1">
        <f t="shared" ref="P11" si="0">I11*K11</f>
        <v>0.95000000000000007</v>
      </c>
      <c r="Q11" s="2"/>
    </row>
    <row r="12" spans="2:17" x14ac:dyDescent="0.3">
      <c r="B12" s="6"/>
      <c r="C12" s="7"/>
      <c r="D12" s="8"/>
      <c r="E12" s="12"/>
      <c r="F12" s="12"/>
      <c r="G12" s="12"/>
      <c r="H12" s="12"/>
      <c r="I12" s="12"/>
      <c r="J12" s="12"/>
      <c r="K12" s="15"/>
      <c r="L12" s="11"/>
      <c r="M12" s="15"/>
      <c r="N12" s="10"/>
      <c r="O12" s="11"/>
      <c r="P12" s="1"/>
      <c r="Q12" s="2"/>
    </row>
    <row r="13" spans="2:17" ht="34.799999999999997" customHeight="1" x14ac:dyDescent="0.3">
      <c r="B13" s="6"/>
      <c r="C13" s="7"/>
      <c r="D13" s="8"/>
      <c r="E13" s="12" t="s">
        <v>13</v>
      </c>
      <c r="F13" s="12"/>
      <c r="G13" s="12"/>
      <c r="H13" s="12"/>
      <c r="I13" s="13">
        <v>0.2</v>
      </c>
      <c r="J13" s="12"/>
      <c r="K13" s="14">
        <v>9.5</v>
      </c>
      <c r="L13" s="5"/>
      <c r="M13" s="14" t="s">
        <v>12</v>
      </c>
      <c r="N13" s="4"/>
      <c r="O13" s="5"/>
      <c r="P13" s="1">
        <f t="shared" ref="P13" si="1">I13*K13</f>
        <v>1.9000000000000001</v>
      </c>
      <c r="Q13" s="2"/>
    </row>
    <row r="14" spans="2:17" ht="45.6" customHeight="1" x14ac:dyDescent="0.3">
      <c r="B14" s="6"/>
      <c r="C14" s="7"/>
      <c r="D14" s="8"/>
      <c r="E14" s="12"/>
      <c r="F14" s="12"/>
      <c r="G14" s="12"/>
      <c r="H14" s="12"/>
      <c r="I14" s="12"/>
      <c r="J14" s="12"/>
      <c r="K14" s="15"/>
      <c r="L14" s="11"/>
      <c r="M14" s="15"/>
      <c r="N14" s="10"/>
      <c r="O14" s="11"/>
      <c r="P14" s="1"/>
      <c r="Q14" s="2"/>
    </row>
    <row r="15" spans="2:17" ht="89.4" customHeight="1" x14ac:dyDescent="0.3">
      <c r="B15" s="6"/>
      <c r="C15" s="7"/>
      <c r="D15" s="8"/>
      <c r="E15" s="12" t="s">
        <v>14</v>
      </c>
      <c r="F15" s="12"/>
      <c r="G15" s="12"/>
      <c r="H15" s="12"/>
      <c r="I15" s="13">
        <v>0.2</v>
      </c>
      <c r="J15" s="12"/>
      <c r="K15" s="14">
        <v>9.1</v>
      </c>
      <c r="L15" s="5"/>
      <c r="M15" s="14" t="s">
        <v>15</v>
      </c>
      <c r="N15" s="4"/>
      <c r="O15" s="5"/>
      <c r="P15" s="1">
        <f t="shared" ref="P15" si="2">I15*K15</f>
        <v>1.82</v>
      </c>
      <c r="Q15" s="2"/>
    </row>
    <row r="16" spans="2:17" x14ac:dyDescent="0.3">
      <c r="B16" s="6"/>
      <c r="C16" s="7"/>
      <c r="D16" s="8"/>
      <c r="E16" s="12"/>
      <c r="F16" s="12"/>
      <c r="G16" s="12"/>
      <c r="H16" s="12"/>
      <c r="I16" s="12"/>
      <c r="J16" s="12"/>
      <c r="K16" s="15"/>
      <c r="L16" s="11"/>
      <c r="M16" s="15"/>
      <c r="N16" s="10"/>
      <c r="O16" s="11"/>
      <c r="P16" s="1"/>
      <c r="Q16" s="2"/>
    </row>
    <row r="17" spans="2:17" x14ac:dyDescent="0.3">
      <c r="B17" s="6"/>
      <c r="C17" s="7"/>
      <c r="D17" s="8"/>
      <c r="E17" s="12" t="s">
        <v>16</v>
      </c>
      <c r="F17" s="12"/>
      <c r="G17" s="12"/>
      <c r="H17" s="12"/>
      <c r="I17" s="13">
        <v>0.2</v>
      </c>
      <c r="J17" s="12"/>
      <c r="K17" s="14">
        <v>10</v>
      </c>
      <c r="L17" s="5"/>
      <c r="M17" s="14" t="s">
        <v>17</v>
      </c>
      <c r="N17" s="4"/>
      <c r="O17" s="5"/>
      <c r="P17" s="1">
        <f t="shared" ref="P17" si="3">I17*K17</f>
        <v>2</v>
      </c>
      <c r="Q17" s="2"/>
    </row>
    <row r="18" spans="2:17" ht="51.6" customHeight="1" x14ac:dyDescent="0.3">
      <c r="B18" s="6"/>
      <c r="C18" s="7"/>
      <c r="D18" s="8"/>
      <c r="E18" s="12"/>
      <c r="F18" s="12"/>
      <c r="G18" s="12"/>
      <c r="H18" s="12"/>
      <c r="I18" s="12"/>
      <c r="J18" s="12"/>
      <c r="K18" s="15"/>
      <c r="L18" s="11"/>
      <c r="M18" s="15"/>
      <c r="N18" s="10"/>
      <c r="O18" s="11"/>
      <c r="P18" s="1"/>
      <c r="Q18" s="2"/>
    </row>
    <row r="19" spans="2:17" x14ac:dyDescent="0.3">
      <c r="B19" s="6"/>
      <c r="C19" s="7"/>
      <c r="D19" s="8"/>
      <c r="E19" s="12" t="s">
        <v>18</v>
      </c>
      <c r="F19" s="12"/>
      <c r="G19" s="12"/>
      <c r="H19" s="12"/>
      <c r="I19" s="13">
        <v>0.2</v>
      </c>
      <c r="J19" s="12"/>
      <c r="K19" s="14">
        <v>10</v>
      </c>
      <c r="L19" s="5"/>
      <c r="M19" s="14" t="s">
        <v>19</v>
      </c>
      <c r="N19" s="4"/>
      <c r="O19" s="5"/>
      <c r="P19" s="1">
        <f t="shared" ref="P19" si="4">I19*K19</f>
        <v>2</v>
      </c>
      <c r="Q19" s="2"/>
    </row>
    <row r="20" spans="2:17" x14ac:dyDescent="0.3">
      <c r="B20" s="9"/>
      <c r="C20" s="10"/>
      <c r="D20" s="11"/>
      <c r="E20" s="12"/>
      <c r="F20" s="12"/>
      <c r="G20" s="12"/>
      <c r="H20" s="12"/>
      <c r="I20" s="12"/>
      <c r="J20" s="12"/>
      <c r="K20" s="15"/>
      <c r="L20" s="11"/>
      <c r="M20" s="15"/>
      <c r="N20" s="10"/>
      <c r="O20" s="11"/>
      <c r="P20" s="1"/>
      <c r="Q20" s="2"/>
    </row>
    <row r="21" spans="2:17" x14ac:dyDescent="0.3">
      <c r="B21" s="39" t="s">
        <v>20</v>
      </c>
      <c r="C21" s="40"/>
      <c r="D21" s="40"/>
      <c r="E21" s="40"/>
      <c r="F21" s="40"/>
      <c r="G21" s="40"/>
      <c r="H21" s="40"/>
      <c r="I21" s="41">
        <v>0.2</v>
      </c>
      <c r="J21" s="40"/>
      <c r="K21" s="33"/>
      <c r="L21" s="34"/>
      <c r="M21" s="34"/>
      <c r="N21" s="34"/>
      <c r="O21" s="35"/>
      <c r="P21" s="42">
        <f>P23*I21</f>
        <v>1.6</v>
      </c>
      <c r="Q21" s="43"/>
    </row>
    <row r="22" spans="2:17" x14ac:dyDescent="0.3">
      <c r="B22" s="39"/>
      <c r="C22" s="40"/>
      <c r="D22" s="40"/>
      <c r="E22" s="40"/>
      <c r="F22" s="40"/>
      <c r="G22" s="40"/>
      <c r="H22" s="40"/>
      <c r="I22" s="40"/>
      <c r="J22" s="40"/>
      <c r="K22" s="36"/>
      <c r="L22" s="37"/>
      <c r="M22" s="37"/>
      <c r="N22" s="37"/>
      <c r="O22" s="38"/>
      <c r="P22" s="42"/>
      <c r="Q22" s="43"/>
    </row>
    <row r="23" spans="2:17" x14ac:dyDescent="0.3">
      <c r="B23" s="28"/>
      <c r="C23" s="12"/>
      <c r="D23" s="12"/>
      <c r="E23" s="12" t="s">
        <v>21</v>
      </c>
      <c r="F23" s="12"/>
      <c r="G23" s="12"/>
      <c r="H23" s="12"/>
      <c r="I23" s="13">
        <v>1</v>
      </c>
      <c r="J23" s="12"/>
      <c r="K23" s="14">
        <v>8</v>
      </c>
      <c r="L23" s="5"/>
      <c r="M23" s="14" t="s">
        <v>22</v>
      </c>
      <c r="N23" s="4"/>
      <c r="O23" s="5"/>
      <c r="P23" s="1">
        <f>I23*K23</f>
        <v>8</v>
      </c>
      <c r="Q23" s="2"/>
    </row>
    <row r="24" spans="2:17" ht="126.6" customHeight="1" x14ac:dyDescent="0.3">
      <c r="B24" s="28"/>
      <c r="C24" s="12"/>
      <c r="D24" s="12"/>
      <c r="E24" s="12"/>
      <c r="F24" s="12"/>
      <c r="G24" s="12"/>
      <c r="H24" s="12"/>
      <c r="I24" s="12"/>
      <c r="J24" s="12"/>
      <c r="K24" s="15"/>
      <c r="L24" s="11"/>
      <c r="M24" s="15"/>
      <c r="N24" s="10"/>
      <c r="O24" s="11"/>
      <c r="P24" s="1"/>
      <c r="Q24" s="2"/>
    </row>
    <row r="25" spans="2:17" x14ac:dyDescent="0.3">
      <c r="B25" s="39" t="s">
        <v>23</v>
      </c>
      <c r="C25" s="40"/>
      <c r="D25" s="40"/>
      <c r="E25" s="40"/>
      <c r="F25" s="40"/>
      <c r="G25" s="40"/>
      <c r="H25" s="40"/>
      <c r="I25" s="41">
        <v>0.4</v>
      </c>
      <c r="J25" s="40"/>
      <c r="K25" s="33"/>
      <c r="L25" s="34"/>
      <c r="M25" s="34"/>
      <c r="N25" s="34"/>
      <c r="O25" s="35"/>
      <c r="P25" s="42">
        <f>P27*I25</f>
        <v>1.8800000000000001</v>
      </c>
      <c r="Q25" s="43"/>
    </row>
    <row r="26" spans="2:17" x14ac:dyDescent="0.3">
      <c r="B26" s="39"/>
      <c r="C26" s="40"/>
      <c r="D26" s="40"/>
      <c r="E26" s="40"/>
      <c r="F26" s="40"/>
      <c r="G26" s="40"/>
      <c r="H26" s="40"/>
      <c r="I26" s="40"/>
      <c r="J26" s="40"/>
      <c r="K26" s="36"/>
      <c r="L26" s="37"/>
      <c r="M26" s="37"/>
      <c r="N26" s="37"/>
      <c r="O26" s="38"/>
      <c r="P26" s="42"/>
      <c r="Q26" s="43"/>
    </row>
    <row r="27" spans="2:17" x14ac:dyDescent="0.3">
      <c r="B27" s="28"/>
      <c r="C27" s="12"/>
      <c r="D27" s="12"/>
      <c r="E27" s="12"/>
      <c r="F27" s="12"/>
      <c r="G27" s="12"/>
      <c r="H27" s="12"/>
      <c r="I27" s="13">
        <v>1</v>
      </c>
      <c r="J27" s="12"/>
      <c r="K27" s="14">
        <v>4.7</v>
      </c>
      <c r="L27" s="5"/>
      <c r="M27" s="14"/>
      <c r="N27" s="4"/>
      <c r="O27" s="5"/>
      <c r="P27" s="1">
        <f>I27*K27</f>
        <v>4.7</v>
      </c>
      <c r="Q27" s="2"/>
    </row>
    <row r="28" spans="2:17" ht="15" thickBot="1" x14ac:dyDescent="0.35">
      <c r="B28" s="29"/>
      <c r="C28" s="30"/>
      <c r="D28" s="30"/>
      <c r="E28" s="30"/>
      <c r="F28" s="30"/>
      <c r="G28" s="30"/>
      <c r="H28" s="30"/>
      <c r="I28" s="30"/>
      <c r="J28" s="30"/>
      <c r="K28" s="31"/>
      <c r="L28" s="32"/>
      <c r="M28" s="15"/>
      <c r="N28" s="10"/>
      <c r="O28" s="11"/>
      <c r="P28" s="1"/>
      <c r="Q28" s="2"/>
    </row>
    <row r="29" spans="2:17" ht="15" thickTop="1" x14ac:dyDescent="0.3">
      <c r="M29" s="3" t="s">
        <v>6</v>
      </c>
      <c r="N29" s="4"/>
      <c r="O29" s="5"/>
      <c r="P29" s="1">
        <f>P7+P21+P25</f>
        <v>7.3080000000000007</v>
      </c>
      <c r="Q29" s="2"/>
    </row>
    <row r="30" spans="2:17" x14ac:dyDescent="0.3">
      <c r="M30" s="6"/>
      <c r="N30" s="7"/>
      <c r="O30" s="8"/>
      <c r="P30" s="16"/>
      <c r="Q30" s="17"/>
    </row>
    <row r="31" spans="2:17" x14ac:dyDescent="0.3">
      <c r="M31" s="18" t="s">
        <v>7</v>
      </c>
      <c r="N31" s="19"/>
      <c r="O31" s="20"/>
      <c r="P31" s="24">
        <v>7.3</v>
      </c>
      <c r="Q31" s="25"/>
    </row>
    <row r="32" spans="2:17" ht="15" thickBot="1" x14ac:dyDescent="0.35">
      <c r="M32" s="21"/>
      <c r="N32" s="22"/>
      <c r="O32" s="23"/>
      <c r="P32" s="26"/>
      <c r="Q32" s="27"/>
    </row>
    <row r="33" ht="15" thickTop="1" x14ac:dyDescent="0.3"/>
  </sheetData>
  <mergeCells count="69">
    <mergeCell ref="B2:Q4"/>
    <mergeCell ref="B5:D6"/>
    <mergeCell ref="I7:J8"/>
    <mergeCell ref="P7:Q8"/>
    <mergeCell ref="I9:J10"/>
    <mergeCell ref="P9:Q10"/>
    <mergeCell ref="I5:J6"/>
    <mergeCell ref="P5:Q6"/>
    <mergeCell ref="E5:H6"/>
    <mergeCell ref="E7:H8"/>
    <mergeCell ref="B7:D8"/>
    <mergeCell ref="E9:H10"/>
    <mergeCell ref="K5:L6"/>
    <mergeCell ref="M5:O6"/>
    <mergeCell ref="K9:L10"/>
    <mergeCell ref="I13:J14"/>
    <mergeCell ref="P13:Q14"/>
    <mergeCell ref="E15:H16"/>
    <mergeCell ref="E11:H12"/>
    <mergeCell ref="E13:H14"/>
    <mergeCell ref="I15:J16"/>
    <mergeCell ref="P15:Q16"/>
    <mergeCell ref="M15:O16"/>
    <mergeCell ref="K11:L12"/>
    <mergeCell ref="K13:L14"/>
    <mergeCell ref="K15:L16"/>
    <mergeCell ref="B25:D26"/>
    <mergeCell ref="E25:H26"/>
    <mergeCell ref="I25:J26"/>
    <mergeCell ref="P25:Q26"/>
    <mergeCell ref="B21:D22"/>
    <mergeCell ref="E21:H22"/>
    <mergeCell ref="I21:J22"/>
    <mergeCell ref="P21:Q22"/>
    <mergeCell ref="B23:D24"/>
    <mergeCell ref="E23:H24"/>
    <mergeCell ref="I23:J24"/>
    <mergeCell ref="P23:Q24"/>
    <mergeCell ref="K7:O8"/>
    <mergeCell ref="K21:O22"/>
    <mergeCell ref="K25:O26"/>
    <mergeCell ref="M23:O24"/>
    <mergeCell ref="K23:L24"/>
    <mergeCell ref="B27:D28"/>
    <mergeCell ref="E27:H28"/>
    <mergeCell ref="I27:J28"/>
    <mergeCell ref="K27:L28"/>
    <mergeCell ref="M27:O28"/>
    <mergeCell ref="P29:Q30"/>
    <mergeCell ref="M29:O30"/>
    <mergeCell ref="M31:O32"/>
    <mergeCell ref="P31:Q32"/>
    <mergeCell ref="P27:Q28"/>
    <mergeCell ref="P19:Q20"/>
    <mergeCell ref="B9:D20"/>
    <mergeCell ref="E19:H20"/>
    <mergeCell ref="I19:J20"/>
    <mergeCell ref="K19:L20"/>
    <mergeCell ref="M19:O20"/>
    <mergeCell ref="E17:H18"/>
    <mergeCell ref="I17:J18"/>
    <mergeCell ref="K17:L18"/>
    <mergeCell ref="M17:O18"/>
    <mergeCell ref="P17:Q18"/>
    <mergeCell ref="M9:O10"/>
    <mergeCell ref="M11:O12"/>
    <mergeCell ref="M13:O14"/>
    <mergeCell ref="I11:J12"/>
    <mergeCell ref="P11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Castañeda Matute</dc:creator>
  <cp:lastModifiedBy>Rubén Castañeda Matute</cp:lastModifiedBy>
  <dcterms:created xsi:type="dcterms:W3CDTF">2026-03-20T00:51:49Z</dcterms:created>
  <dcterms:modified xsi:type="dcterms:W3CDTF">2026-03-26T07:55:27Z</dcterms:modified>
</cp:coreProperties>
</file>